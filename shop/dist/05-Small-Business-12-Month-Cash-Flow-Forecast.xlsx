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ssumptions" sheetId="2" state="visible" r:id="rId2"/>
    <sheet name="Revenue" sheetId="3" state="visible" r:id="rId3"/>
    <sheet name="Costs" sheetId="4" state="visible" r:id="rId4"/>
    <sheet name="Cash Flow" sheetId="5" state="visible" r:id="rId5"/>
    <sheet name="Dashboard" sheetId="6" state="visible" r:id="rId6"/>
  </sheets>
  <definedNames/>
  <calcPr calcId="124519" fullCalcOnLoad="1"/>
</workbook>
</file>

<file path=xl/styles.xml><?xml version="1.0" encoding="utf-8"?>
<styleSheet xmlns="http://schemas.openxmlformats.org/spreadsheetml/2006/main">
  <numFmts count="4">
    <numFmt numFmtId="164" formatCode="mmm yyyy"/>
    <numFmt numFmtId="165" formatCode="$#,##0"/>
    <numFmt numFmtId="166" formatCode="0.0%"/>
    <numFmt numFmtId="167" formatCode="$#,##0.00"/>
  </numFmts>
  <fonts count="13">
    <font>
      <name val="Calibri"/>
      <family val="2"/>
      <color theme="1"/>
      <sz val="11"/>
      <scheme val="minor"/>
    </font>
    <font>
      <name val="Calibri"/>
      <b val="1"/>
      <color rgb="00FFFFFF"/>
      <sz val="18"/>
    </font>
    <font>
      <name val="Calibri"/>
      <color rgb="00C9A84C"/>
      <sz val="10"/>
    </font>
    <font>
      <b val="1"/>
      <color rgb="00FFFFFF"/>
      <sz val="11"/>
    </font>
    <font>
      <b val="1"/>
    </font>
    <font>
      <b val="1"/>
      <color rgb="001A1A1A"/>
    </font>
    <font>
      <i val="1"/>
      <color rgb="008A97AB"/>
      <sz val="9"/>
    </font>
    <font/>
    <font>
      <b val="1"/>
      <color rgb="00FFFFFF"/>
      <sz val="10"/>
    </font>
    <font>
      <b val="1"/>
      <color rgb="00C0392B"/>
    </font>
    <font>
      <b val="1"/>
      <color rgb="000D1F3C"/>
      <sz val="12"/>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D1F3C"/>
      </patternFill>
    </fill>
    <fill>
      <patternFill patternType="solid">
        <fgColor rgb="00FFF7DC"/>
      </patternFill>
    </fill>
    <fill>
      <patternFill patternType="solid">
        <fgColor rgb="00EDF1F6"/>
      </patternFill>
    </fill>
    <fill>
      <patternFill patternType="solid">
        <fgColor rgb="0000B4A6"/>
      </patternFill>
    </fill>
  </fills>
  <borders count="2">
    <border>
      <left/>
      <right/>
      <top/>
      <bottom/>
      <diagonal/>
    </border>
    <border>
      <left style="thin">
        <color rgb="00C7D0DB"/>
      </left>
      <right style="thin">
        <color rgb="00C7D0DB"/>
      </right>
      <top style="thin">
        <color rgb="00C7D0DB"/>
      </top>
      <bottom style="thin">
        <color rgb="00C7D0DB"/>
      </bottom>
    </border>
  </borders>
  <cellStyleXfs count="1">
    <xf numFmtId="0" fontId="0" fillId="0" borderId="0"/>
  </cellStyleXfs>
  <cellXfs count="30">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10" fillId="0"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11" fillId="0" borderId="0" applyAlignment="1" pivotButton="0" quotePrefix="0" xfId="0">
      <alignment vertical="top" wrapText="1"/>
    </xf>
    <xf numFmtId="0" fontId="12" fillId="0" borderId="0" pivotButton="0" quotePrefix="0" xfId="0"/>
    <xf numFmtId="0" fontId="11" fillId="0" borderId="0" pivotButton="0" quotePrefix="0" xfId="0"/>
    <xf numFmtId="0" fontId="3" fillId="3" borderId="0" pivotButton="0" quotePrefix="0" xfId="0"/>
    <xf numFmtId="0" fontId="0" fillId="3" borderId="0" pivotButton="0" quotePrefix="0" xfId="0"/>
    <xf numFmtId="0" fontId="4" fillId="0" borderId="0" pivotButton="0" quotePrefix="0" xfId="0"/>
    <xf numFmtId="164" fontId="5" fillId="4" borderId="1" pivotButton="0" quotePrefix="0" xfId="0"/>
    <xf numFmtId="0" fontId="5" fillId="4" borderId="1" pivotButton="0" quotePrefix="0" xfId="0"/>
    <xf numFmtId="165" fontId="5" fillId="4" borderId="1" pivotButton="0" quotePrefix="0" xfId="0"/>
    <xf numFmtId="9" fontId="5" fillId="4" borderId="1" pivotButton="0" quotePrefix="0" xfId="0"/>
    <xf numFmtId="166" fontId="5" fillId="4" borderId="1" pivotButton="0" quotePrefix="0" xfId="0"/>
    <xf numFmtId="0" fontId="6" fillId="0" borderId="0" pivotButton="0" quotePrefix="0" xfId="0"/>
    <xf numFmtId="0" fontId="7" fillId="5" borderId="1" pivotButton="0" quotePrefix="0" xfId="0"/>
    <xf numFmtId="0" fontId="8" fillId="6" borderId="1" applyAlignment="1" pivotButton="0" quotePrefix="0" xfId="0">
      <alignment horizontal="center" vertical="center" wrapText="1"/>
    </xf>
    <xf numFmtId="165" fontId="7" fillId="5" borderId="1" pivotButton="0" quotePrefix="0" xfId="0"/>
    <xf numFmtId="165" fontId="4" fillId="5" borderId="1" pivotButton="0" quotePrefix="0" xfId="0"/>
    <xf numFmtId="3" fontId="5" fillId="4" borderId="1" pivotButton="0" quotePrefix="0" xfId="0"/>
    <xf numFmtId="167" fontId="7" fillId="5" borderId="1" pivotButton="0" quotePrefix="0" xfId="0"/>
    <xf numFmtId="0" fontId="7" fillId="0" borderId="0" pivotButton="0" quotePrefix="0" xfId="0"/>
    <xf numFmtId="0" fontId="9" fillId="0" borderId="0" pivotButton="0" quotePrefix="0" xfId="0"/>
    <xf numFmtId="166" fontId="4" fillId="5" borderId="1" pivotButton="0" quotePrefix="0" xfId="0"/>
    <xf numFmtId="1"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Closing cash by month</a:t>
            </a:r>
          </a:p>
        </rich>
      </tx>
    </title>
    <plotArea>
      <lineChart>
        <grouping val="standard"/>
        <ser>
          <idx val="0"/>
          <order val="0"/>
          <tx>
            <strRef>
              <f>'Cash Flow'!A23</f>
            </strRef>
          </tx>
          <spPr>
            <a:ln>
              <a:prstDash val="solid"/>
            </a:ln>
          </spPr>
          <marker>
            <symbol val="none"/>
            <spPr>
              <a:ln>
                <a:prstDash val="solid"/>
              </a:ln>
            </spPr>
          </marker>
          <val>
            <numRef>
              <f>'Cash Flow'!$B$23:$M$23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Cash in vs cash out</a:t>
            </a:r>
          </a:p>
        </rich>
      </tx>
    </title>
    <plotArea>
      <barChart>
        <barDir val="col"/>
        <grouping val="clustered"/>
        <ser>
          <idx val="0"/>
          <order val="0"/>
          <tx>
            <strRef>
              <f>'Cash Flow'!A11</f>
            </strRef>
          </tx>
          <spPr>
            <a:ln>
              <a:prstDash val="solid"/>
            </a:ln>
          </spPr>
          <val>
            <numRef>
              <f>'Cash Flow'!$B$11:$M$11</f>
            </numRef>
          </val>
        </ser>
        <ser>
          <idx val="1"/>
          <order val="1"/>
          <tx>
            <strRef>
              <f>'Cash Flow'!A20</f>
            </strRef>
          </tx>
          <spPr>
            <a:ln>
              <a:prstDash val="solid"/>
            </a:ln>
          </spPr>
          <val>
            <numRef>
              <f>'Cash Flow'!$B$20:$M$20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5</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25</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7"/>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Small Business 12-Month Cash Flow Forecast</t>
        </is>
      </c>
      <c r="B1" s="2" t="n"/>
      <c r="C1" s="2" t="n"/>
    </row>
    <row r="2" ht="18" customHeight="1">
      <c r="A2" s="3" t="inlineStr">
        <is>
          <t>Profit is an opinion; cash is a fact. This shows you the fact, month by month.</t>
        </is>
      </c>
      <c r="B2" s="2" t="n"/>
      <c r="C2" s="2" t="n"/>
    </row>
    <row r="4">
      <c r="B4" s="4" t="inlineStr">
        <is>
          <t>WHAT'S INSIDE</t>
        </is>
      </c>
    </row>
    <row r="5">
      <c r="B5" s="5" t="inlineStr">
        <is>
          <t>•  Start Here — this page.</t>
        </is>
      </c>
    </row>
    <row r="6">
      <c r="B6" s="5" t="inlineStr">
        <is>
          <t>•  Assumptions — one screen that drives the whole model, with built-in sanity checks.</t>
        </is>
      </c>
    </row>
    <row r="7">
      <c r="B7" s="5" t="inlineStr">
        <is>
          <t>•  Revenue — four streams with growth and unit economics.</t>
        </is>
      </c>
    </row>
    <row r="8">
      <c r="B8" s="5" t="inlineStr">
        <is>
          <t>•  Costs — COGS driven off revenue, 14 overhead lines, capital and financing.</t>
        </is>
      </c>
    </row>
    <row r="9">
      <c r="B9" s="5" t="inlineStr">
        <is>
          <t>•  Cash Flow — timing-aware collections, supplier terms, HST remitted net of input tax credits, tax instalments.</t>
        </is>
      </c>
    </row>
    <row r="10">
      <c r="B10" s="5" t="inlineStr">
        <is>
          <t>•  Dashboard — margins, break-even revenue, lowest cash point and two charts.</t>
        </is>
      </c>
    </row>
    <row r="12">
      <c r="B12" s="4" t="inlineStr">
        <is>
          <t>HOW TO USE IT</t>
        </is>
      </c>
    </row>
    <row r="13">
      <c r="B13" s="5" t="inlineStr">
        <is>
          <t>1.  Set your start month, opening cash and month-1 revenue on the Assumptions tab.</t>
        </is>
      </c>
    </row>
    <row r="14">
      <c r="B14" s="5" t="inlineStr">
        <is>
          <t>2.  Set your collection terms, and enter anything customers already owe you as opening receivables.</t>
        </is>
      </c>
    </row>
    <row r="15">
      <c r="B15" s="5" t="inlineStr">
        <is>
          <t>3.  Adjust the revenue streams and their growth on the Revenue tab.</t>
        </is>
      </c>
    </row>
    <row r="16">
      <c r="B16" s="5" t="inlineStr">
        <is>
          <t>4.  Type your real overheads on the Costs tab. Add capital spend and loan movements at the bottom.</t>
        </is>
      </c>
    </row>
    <row r="17">
      <c r="B17" s="5" t="inlineStr">
        <is>
          <t>5.  Read Cash Flow and the Dashboard: the lowest cash balance and any ⚠ SHORT months are what to act on.</t>
        </is>
      </c>
    </row>
    <row r="19">
      <c r="B19" s="4" t="inlineStr">
        <is>
          <t>COLOUR KEY</t>
        </is>
      </c>
    </row>
    <row r="20">
      <c r="B20" s="6" t="inlineStr">
        <is>
          <t>Yellow cells = you type here.</t>
        </is>
      </c>
    </row>
    <row r="21">
      <c r="B21" s="7" t="inlineStr">
        <is>
          <t>Grey cells = formulas. Do not overwrite them.</t>
        </is>
      </c>
    </row>
    <row r="23" ht="46" customHeight="1">
      <c r="B23" s="8" t="inlineStr">
        <is>
          <t>LICENSE: Single-user personal/business licence. You may use and edit this file for yourself or your own business. You may NOT resell, redistribute, share, or publish this file or any edited version of it. All rights reserved.</t>
        </is>
      </c>
    </row>
    <row r="24" ht="46" customHeight="1">
      <c r="B24"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6">
      <c r="B26" s="9" t="inlineStr">
        <is>
          <t>Created by Kartik Joshi, MBA — Financial Analyst &amp; Banking Professional</t>
        </is>
      </c>
    </row>
    <row r="27">
      <c r="B27"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F25"/>
  <sheetViews>
    <sheetView showGridLines="0" workbookViewId="0">
      <selection activeCell="A1" sqref="A1"/>
    </sheetView>
  </sheetViews>
  <sheetFormatPr baseColWidth="8" defaultRowHeight="15"/>
  <cols>
    <col width="42" customWidth="1" min="1" max="1"/>
    <col width="20" customWidth="1" min="2" max="2"/>
  </cols>
  <sheetData>
    <row r="1" ht="30" customHeight="1">
      <c r="A1" s="1" t="inlineStr">
        <is>
          <t>Assumptions</t>
        </is>
      </c>
      <c r="B1" s="2" t="n"/>
      <c r="C1" s="2" t="n"/>
      <c r="D1" s="2" t="n"/>
      <c r="E1" s="2" t="n"/>
      <c r="F1" s="2" t="n"/>
    </row>
    <row r="2" ht="18" customHeight="1">
      <c r="A2" s="3" t="inlineStr">
        <is>
          <t>Change these and the whole forecast moves. Nothing else needs touching.</t>
        </is>
      </c>
      <c r="B2" s="2" t="n"/>
      <c r="C2" s="2" t="n"/>
      <c r="D2" s="2" t="n"/>
      <c r="E2" s="2" t="n"/>
      <c r="F2" s="2" t="n"/>
    </row>
    <row r="4" ht="20" customHeight="1">
      <c r="A4" s="11" t="inlineStr">
        <is>
          <t>BUSINESS SETUP</t>
        </is>
      </c>
      <c r="B4" s="12" t="n"/>
      <c r="C4" s="12" t="n"/>
      <c r="D4" s="12" t="n"/>
      <c r="E4" s="12" t="n"/>
      <c r="F4" s="12" t="n"/>
    </row>
    <row r="5">
      <c r="A5" s="13" t="inlineStr">
        <is>
          <t>Forecast start month</t>
        </is>
      </c>
      <c r="B5" s="14" t="inlineStr">
        <is>
          <t>2026-01-01</t>
        </is>
      </c>
    </row>
    <row r="6">
      <c r="A6" s="13" t="inlineStr">
        <is>
          <t>Business name</t>
        </is>
      </c>
      <c r="B6" s="15" t="inlineStr">
        <is>
          <t>My Business Inc.</t>
        </is>
      </c>
    </row>
    <row r="7">
      <c r="A7" s="13" t="inlineStr">
        <is>
          <t>Opening cash balance</t>
        </is>
      </c>
      <c r="B7" s="16" t="n">
        <v>25000</v>
      </c>
    </row>
    <row r="8">
      <c r="A8" s="13" t="inlineStr">
        <is>
          <t>Sales collected in the month of sale</t>
        </is>
      </c>
      <c r="B8" s="17" t="n">
        <v>0.6</v>
      </c>
    </row>
    <row r="9">
      <c r="A9" s="13" t="inlineStr">
        <is>
          <t>Sales collected 30 days later</t>
        </is>
      </c>
      <c r="B9" s="17" t="n">
        <v>0.35</v>
      </c>
    </row>
    <row r="10">
      <c r="A10" s="13" t="inlineStr">
        <is>
          <t>Sales never collected (bad debt)</t>
        </is>
      </c>
      <c r="B10" s="17" t="n">
        <v>0.05</v>
      </c>
    </row>
    <row r="11">
      <c r="A11" s="13" t="inlineStr">
        <is>
          <t>Supplier terms — paid in month</t>
        </is>
      </c>
      <c r="B11" s="17" t="n">
        <v>0.7</v>
      </c>
    </row>
    <row r="12">
      <c r="A12" s="13" t="inlineStr">
        <is>
          <t>Supplier terms — paid 30 days later</t>
        </is>
      </c>
      <c r="B12" s="17" t="n">
        <v>0.3</v>
      </c>
    </row>
    <row r="13">
      <c r="A13" s="13" t="inlineStr">
        <is>
          <t>Cost of goods sold as % of revenue</t>
        </is>
      </c>
      <c r="B13" s="17" t="n">
        <v>0.42</v>
      </c>
    </row>
    <row r="14">
      <c r="A14" s="13" t="inlineStr">
        <is>
          <t>Sales tax collected on revenue (HST)</t>
        </is>
      </c>
      <c r="B14" s="17" t="n">
        <v>0.13</v>
      </c>
    </row>
    <row r="15">
      <c r="A15" s="13" t="inlineStr">
        <is>
          <t>Sales tax remitted quarterly?</t>
        </is>
      </c>
      <c r="B15" s="15" t="inlineStr">
        <is>
          <t>Yes</t>
        </is>
      </c>
    </row>
    <row r="16">
      <c r="A16" s="13" t="inlineStr">
        <is>
          <t>Corporate tax rate on profit</t>
        </is>
      </c>
      <c r="B16" s="17" t="n">
        <v>0.12</v>
      </c>
    </row>
    <row r="17">
      <c r="A17" s="13" t="inlineStr">
        <is>
          <t>Monthly revenue growth</t>
        </is>
      </c>
      <c r="B17" s="18" t="n">
        <v>0.03</v>
      </c>
    </row>
    <row r="18">
      <c r="A18" s="13" t="inlineStr">
        <is>
          <t>Month 1 revenue</t>
        </is>
      </c>
      <c r="B18" s="16" t="n">
        <v>48000</v>
      </c>
    </row>
    <row r="19">
      <c r="A19" s="13" t="inlineStr">
        <is>
          <t>Opening accounts receivable (collected in month 1)</t>
        </is>
      </c>
      <c r="B19" s="16" t="n">
        <v>0</v>
      </c>
    </row>
    <row r="20">
      <c r="A20" s="13" t="inlineStr">
        <is>
          <t>Share of costs that carry HST (for input tax credits)</t>
        </is>
      </c>
      <c r="B20" s="17" t="n">
        <v>0.75</v>
      </c>
    </row>
    <row r="21">
      <c r="A21" s="19" t="inlineStr">
        <is>
          <t>Collection percentages should add to 100%. Supplier terms should add to 100%.</t>
        </is>
      </c>
    </row>
    <row r="22">
      <c r="B22" s="20">
        <f>IF(ROUND(B8+B9+B10,4)=1,"Collections OK","⚠ Collections do not add to 100%")</f>
        <v/>
      </c>
    </row>
    <row r="23">
      <c r="B23" s="20">
        <f>IF(ROUND(B11+B12,4)=1,"Supplier terms OK","⚠ Supplier terms do not add to 100%")</f>
        <v/>
      </c>
    </row>
    <row r="24">
      <c r="A24" s="19" t="inlineStr">
        <is>
          <t>Opening accounts receivable is what customers already owe you on day one. It lands in month 1 collections.</t>
        </is>
      </c>
    </row>
    <row r="25">
      <c r="A25" s="19" t="inlineStr">
        <is>
          <t>Input tax credits: HST you pay on purchases is claimed back, so the model remits sales tax NET, not gross.</t>
        </is>
      </c>
    </row>
  </sheetData>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N1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ht="30" customHeight="1">
      <c r="A1" s="1" t="inlineStr">
        <is>
          <t>Revenue</t>
        </is>
      </c>
      <c r="B1" s="2" t="n"/>
      <c r="C1" s="2" t="n"/>
      <c r="D1" s="2" t="n"/>
      <c r="E1" s="2" t="n"/>
      <c r="F1" s="2" t="n"/>
      <c r="G1" s="2" t="n"/>
      <c r="H1" s="2" t="n"/>
      <c r="I1" s="2" t="n"/>
      <c r="J1" s="2" t="n"/>
      <c r="K1" s="2" t="n"/>
      <c r="L1" s="2" t="n"/>
      <c r="M1" s="2" t="n"/>
      <c r="N1" s="2" t="n"/>
    </row>
    <row r="2" ht="18" customHeight="1">
      <c r="A2" s="3" t="inlineStr">
        <is>
          <t>Build the top line by stream. Growth applies to the base case.</t>
        </is>
      </c>
      <c r="B2" s="2" t="n"/>
      <c r="C2" s="2" t="n"/>
      <c r="D2" s="2" t="n"/>
      <c r="E2" s="2" t="n"/>
      <c r="F2" s="2" t="n"/>
      <c r="G2" s="2" t="n"/>
      <c r="H2" s="2" t="n"/>
      <c r="I2" s="2" t="n"/>
      <c r="J2" s="2" t="n"/>
      <c r="K2" s="2" t="n"/>
      <c r="L2" s="2" t="n"/>
      <c r="M2" s="2" t="n"/>
      <c r="N2" s="2" t="n"/>
    </row>
    <row r="4" ht="28" customHeight="1">
      <c r="A4" s="21" t="inlineStr">
        <is>
          <t>Revenue stream</t>
        </is>
      </c>
      <c r="B4" s="21">
        <f>TEXT(EDATE(Assumptions!$B$5,0),"mmm yy")</f>
        <v/>
      </c>
      <c r="C4" s="21">
        <f>TEXT(EDATE(Assumptions!$B$5,1),"mmm yy")</f>
        <v/>
      </c>
      <c r="D4" s="21">
        <f>TEXT(EDATE(Assumptions!$B$5,2),"mmm yy")</f>
        <v/>
      </c>
      <c r="E4" s="21">
        <f>TEXT(EDATE(Assumptions!$B$5,3),"mmm yy")</f>
        <v/>
      </c>
      <c r="F4" s="21">
        <f>TEXT(EDATE(Assumptions!$B$5,4),"mmm yy")</f>
        <v/>
      </c>
      <c r="G4" s="21">
        <f>TEXT(EDATE(Assumptions!$B$5,5),"mmm yy")</f>
        <v/>
      </c>
      <c r="H4" s="21">
        <f>TEXT(EDATE(Assumptions!$B$5,6),"mmm yy")</f>
        <v/>
      </c>
      <c r="I4" s="21">
        <f>TEXT(EDATE(Assumptions!$B$5,7),"mmm yy")</f>
        <v/>
      </c>
      <c r="J4" s="21">
        <f>TEXT(EDATE(Assumptions!$B$5,8),"mmm yy")</f>
        <v/>
      </c>
      <c r="K4" s="21">
        <f>TEXT(EDATE(Assumptions!$B$5,9),"mmm yy")</f>
        <v/>
      </c>
      <c r="L4" s="21">
        <f>TEXT(EDATE(Assumptions!$B$5,10),"mmm yy")</f>
        <v/>
      </c>
      <c r="M4" s="21">
        <f>TEXT(EDATE(Assumptions!$B$5,11),"mmm yy")</f>
        <v/>
      </c>
      <c r="N4" s="21" t="inlineStr">
        <is>
          <t>Total</t>
        </is>
      </c>
    </row>
    <row r="5">
      <c r="A5" s="15" t="inlineStr">
        <is>
          <t>Core product / service</t>
        </is>
      </c>
      <c r="B5" s="22">
        <f>Assumptions!$B$18*0.62</f>
        <v/>
      </c>
      <c r="C5" s="22">
        <f>B5*(1+Assumptions!$B$17)</f>
        <v/>
      </c>
      <c r="D5" s="22">
        <f>C5*(1+Assumptions!$B$17)</f>
        <v/>
      </c>
      <c r="E5" s="22">
        <f>D5*(1+Assumptions!$B$17)</f>
        <v/>
      </c>
      <c r="F5" s="22">
        <f>E5*(1+Assumptions!$B$17)</f>
        <v/>
      </c>
      <c r="G5" s="22">
        <f>F5*(1+Assumptions!$B$17)</f>
        <v/>
      </c>
      <c r="H5" s="22">
        <f>G5*(1+Assumptions!$B$17)</f>
        <v/>
      </c>
      <c r="I5" s="22">
        <f>H5*(1+Assumptions!$B$17)</f>
        <v/>
      </c>
      <c r="J5" s="22">
        <f>I5*(1+Assumptions!$B$17)</f>
        <v/>
      </c>
      <c r="K5" s="22">
        <f>J5*(1+Assumptions!$B$17)</f>
        <v/>
      </c>
      <c r="L5" s="22">
        <f>K5*(1+Assumptions!$B$17)</f>
        <v/>
      </c>
      <c r="M5" s="22">
        <f>L5*(1+Assumptions!$B$17)</f>
        <v/>
      </c>
      <c r="N5" s="23">
        <f>SUM(B5:M5)</f>
        <v/>
      </c>
    </row>
    <row r="6">
      <c r="A6" s="15" t="inlineStr">
        <is>
          <t>Recurring / retainer</t>
        </is>
      </c>
      <c r="B6" s="22">
        <f>Assumptions!$B$18*0.22</f>
        <v/>
      </c>
      <c r="C6" s="22">
        <f>B6*(1+Assumptions!$B$17)</f>
        <v/>
      </c>
      <c r="D6" s="22">
        <f>C6*(1+Assumptions!$B$17)</f>
        <v/>
      </c>
      <c r="E6" s="22">
        <f>D6*(1+Assumptions!$B$17)</f>
        <v/>
      </c>
      <c r="F6" s="22">
        <f>E6*(1+Assumptions!$B$17)</f>
        <v/>
      </c>
      <c r="G6" s="22">
        <f>F6*(1+Assumptions!$B$17)</f>
        <v/>
      </c>
      <c r="H6" s="22">
        <f>G6*(1+Assumptions!$B$17)</f>
        <v/>
      </c>
      <c r="I6" s="22">
        <f>H6*(1+Assumptions!$B$17)</f>
        <v/>
      </c>
      <c r="J6" s="22">
        <f>I6*(1+Assumptions!$B$17)</f>
        <v/>
      </c>
      <c r="K6" s="22">
        <f>J6*(1+Assumptions!$B$17)</f>
        <v/>
      </c>
      <c r="L6" s="22">
        <f>K6*(1+Assumptions!$B$17)</f>
        <v/>
      </c>
      <c r="M6" s="22">
        <f>L6*(1+Assumptions!$B$17)</f>
        <v/>
      </c>
      <c r="N6" s="23">
        <f>SUM(B6:M6)</f>
        <v/>
      </c>
    </row>
    <row r="7">
      <c r="A7" s="15" t="inlineStr">
        <is>
          <t>Add-ons &amp; upsells</t>
        </is>
      </c>
      <c r="B7" s="22">
        <f>Assumptions!$B$18*0.11</f>
        <v/>
      </c>
      <c r="C7" s="22">
        <f>B7*(1+Assumptions!$B$17)</f>
        <v/>
      </c>
      <c r="D7" s="22">
        <f>C7*(1+Assumptions!$B$17)</f>
        <v/>
      </c>
      <c r="E7" s="22">
        <f>D7*(1+Assumptions!$B$17)</f>
        <v/>
      </c>
      <c r="F7" s="22">
        <f>E7*(1+Assumptions!$B$17)</f>
        <v/>
      </c>
      <c r="G7" s="22">
        <f>F7*(1+Assumptions!$B$17)</f>
        <v/>
      </c>
      <c r="H7" s="22">
        <f>G7*(1+Assumptions!$B$17)</f>
        <v/>
      </c>
      <c r="I7" s="22">
        <f>H7*(1+Assumptions!$B$17)</f>
        <v/>
      </c>
      <c r="J7" s="22">
        <f>I7*(1+Assumptions!$B$17)</f>
        <v/>
      </c>
      <c r="K7" s="22">
        <f>J7*(1+Assumptions!$B$17)</f>
        <v/>
      </c>
      <c r="L7" s="22">
        <f>K7*(1+Assumptions!$B$17)</f>
        <v/>
      </c>
      <c r="M7" s="22">
        <f>L7*(1+Assumptions!$B$17)</f>
        <v/>
      </c>
      <c r="N7" s="23">
        <f>SUM(B7:M7)</f>
        <v/>
      </c>
    </row>
    <row r="8">
      <c r="A8" s="15" t="inlineStr">
        <is>
          <t>Other income</t>
        </is>
      </c>
      <c r="B8" s="22">
        <f>Assumptions!$B$18*0.05</f>
        <v/>
      </c>
      <c r="C8" s="22">
        <f>B8*(1+Assumptions!$B$17)</f>
        <v/>
      </c>
      <c r="D8" s="22">
        <f>C8*(1+Assumptions!$B$17)</f>
        <v/>
      </c>
      <c r="E8" s="22">
        <f>D8*(1+Assumptions!$B$17)</f>
        <v/>
      </c>
      <c r="F8" s="22">
        <f>E8*(1+Assumptions!$B$17)</f>
        <v/>
      </c>
      <c r="G8" s="22">
        <f>F8*(1+Assumptions!$B$17)</f>
        <v/>
      </c>
      <c r="H8" s="22">
        <f>G8*(1+Assumptions!$B$17)</f>
        <v/>
      </c>
      <c r="I8" s="22">
        <f>H8*(1+Assumptions!$B$17)</f>
        <v/>
      </c>
      <c r="J8" s="22">
        <f>I8*(1+Assumptions!$B$17)</f>
        <v/>
      </c>
      <c r="K8" s="22">
        <f>J8*(1+Assumptions!$B$17)</f>
        <v/>
      </c>
      <c r="L8" s="22">
        <f>K8*(1+Assumptions!$B$17)</f>
        <v/>
      </c>
      <c r="M8" s="22">
        <f>L8*(1+Assumptions!$B$17)</f>
        <v/>
      </c>
      <c r="N8" s="23">
        <f>SUM(B8:M8)</f>
        <v/>
      </c>
    </row>
    <row r="9">
      <c r="A9" s="13" t="inlineStr">
        <is>
          <t>TOTAL REVENUE</t>
        </is>
      </c>
      <c r="B9" s="23">
        <f>SUM(B5:B8)</f>
        <v/>
      </c>
      <c r="C9" s="23">
        <f>SUM(C5:C8)</f>
        <v/>
      </c>
      <c r="D9" s="23">
        <f>SUM(D5:D8)</f>
        <v/>
      </c>
      <c r="E9" s="23">
        <f>SUM(E5:E8)</f>
        <v/>
      </c>
      <c r="F9" s="23">
        <f>SUM(F5:F8)</f>
        <v/>
      </c>
      <c r="G9" s="23">
        <f>SUM(G5:G8)</f>
        <v/>
      </c>
      <c r="H9" s="23">
        <f>SUM(H5:H8)</f>
        <v/>
      </c>
      <c r="I9" s="23">
        <f>SUM(I5:I8)</f>
        <v/>
      </c>
      <c r="J9" s="23">
        <f>SUM(J5:J8)</f>
        <v/>
      </c>
      <c r="K9" s="23">
        <f>SUM(K5:K8)</f>
        <v/>
      </c>
      <c r="L9" s="23">
        <f>SUM(L5:L8)</f>
        <v/>
      </c>
      <c r="M9" s="23">
        <f>SUM(M5:M8)</f>
        <v/>
      </c>
      <c r="N9" s="23">
        <f>SUM(N5:N8)</f>
        <v/>
      </c>
    </row>
    <row r="11" ht="20" customHeight="1">
      <c r="A11" s="11" t="inlineStr">
        <is>
          <t>UNIT ECONOMICS (OPTIONAL)</t>
        </is>
      </c>
      <c r="B11" s="12" t="n"/>
      <c r="C11" s="12" t="n"/>
      <c r="D11" s="12" t="n"/>
      <c r="E11" s="12" t="n"/>
      <c r="F11" s="12" t="n"/>
      <c r="G11" s="12" t="n"/>
      <c r="H11" s="12" t="n"/>
      <c r="I11" s="12" t="n"/>
      <c r="J11" s="12" t="n"/>
      <c r="K11" s="12" t="n"/>
      <c r="L11" s="12" t="n"/>
      <c r="M11" s="12" t="n"/>
      <c r="N11" s="12" t="n"/>
    </row>
    <row r="12">
      <c r="A12" s="13" t="inlineStr">
        <is>
          <t>Customers served</t>
        </is>
      </c>
      <c r="B12" s="24" t="n">
        <v>40</v>
      </c>
      <c r="C12" s="24" t="n">
        <v>40</v>
      </c>
      <c r="D12" s="24" t="n">
        <v>40</v>
      </c>
      <c r="E12" s="24" t="n">
        <v>40</v>
      </c>
      <c r="F12" s="24" t="n">
        <v>40</v>
      </c>
      <c r="G12" s="24" t="n">
        <v>40</v>
      </c>
      <c r="H12" s="24" t="n">
        <v>40</v>
      </c>
      <c r="I12" s="24" t="n">
        <v>40</v>
      </c>
      <c r="J12" s="24" t="n">
        <v>40</v>
      </c>
      <c r="K12" s="24" t="n">
        <v>40</v>
      </c>
      <c r="L12" s="24" t="n">
        <v>40</v>
      </c>
      <c r="M12" s="24" t="n">
        <v>40</v>
      </c>
    </row>
    <row r="13">
      <c r="A13" s="13" t="inlineStr">
        <is>
          <t>Average revenue per customer</t>
        </is>
      </c>
      <c r="B13" s="25">
        <f>IF(B12=0,0,B9/B12)</f>
        <v/>
      </c>
      <c r="C13" s="25">
        <f>IF(C12=0,0,C9/C12)</f>
        <v/>
      </c>
      <c r="D13" s="25">
        <f>IF(D12=0,0,D9/D12)</f>
        <v/>
      </c>
      <c r="E13" s="25">
        <f>IF(E12=0,0,E9/E12)</f>
        <v/>
      </c>
      <c r="F13" s="25">
        <f>IF(F12=0,0,F9/F12)</f>
        <v/>
      </c>
      <c r="G13" s="25">
        <f>IF(G12=0,0,G9/G12)</f>
        <v/>
      </c>
      <c r="H13" s="25">
        <f>IF(H12=0,0,H9/H12)</f>
        <v/>
      </c>
      <c r="I13" s="25">
        <f>IF(I12=0,0,I9/I12)</f>
        <v/>
      </c>
      <c r="J13" s="25">
        <f>IF(J12=0,0,J9/J12)</f>
        <v/>
      </c>
      <c r="K13" s="25">
        <f>IF(K12=0,0,K9/K12)</f>
        <v/>
      </c>
      <c r="L13" s="25">
        <f>IF(L12=0,0,L9/L12)</f>
        <v/>
      </c>
      <c r="M13" s="25">
        <f>IF(M12=0,0,M9/M12)</f>
        <v/>
      </c>
    </row>
  </sheetData>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N29"/>
  <sheetViews>
    <sheetView showGridLines="0"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ht="30" customHeight="1">
      <c r="A1" s="1" t="inlineStr">
        <is>
          <t>Costs</t>
        </is>
      </c>
      <c r="B1" s="2" t="n"/>
      <c r="C1" s="2" t="n"/>
      <c r="D1" s="2" t="n"/>
      <c r="E1" s="2" t="n"/>
      <c r="F1" s="2" t="n"/>
      <c r="G1" s="2" t="n"/>
      <c r="H1" s="2" t="n"/>
      <c r="I1" s="2" t="n"/>
      <c r="J1" s="2" t="n"/>
      <c r="K1" s="2" t="n"/>
      <c r="L1" s="2" t="n"/>
      <c r="M1" s="2" t="n"/>
      <c r="N1" s="2" t="n"/>
    </row>
    <row r="2" ht="18" customHeight="1">
      <c r="A2" s="3" t="inlineStr">
        <is>
          <t>Direct costs move with revenue. Overheads are what you type.</t>
        </is>
      </c>
      <c r="B2" s="2" t="n"/>
      <c r="C2" s="2" t="n"/>
      <c r="D2" s="2" t="n"/>
      <c r="E2" s="2" t="n"/>
      <c r="F2" s="2" t="n"/>
      <c r="G2" s="2" t="n"/>
      <c r="H2" s="2" t="n"/>
      <c r="I2" s="2" t="n"/>
      <c r="J2" s="2" t="n"/>
      <c r="K2" s="2" t="n"/>
      <c r="L2" s="2" t="n"/>
      <c r="M2" s="2" t="n"/>
      <c r="N2" s="2" t="n"/>
    </row>
    <row r="4" ht="28" customHeight="1">
      <c r="A4" s="21" t="inlineStr">
        <is>
          <t>Cost line</t>
        </is>
      </c>
      <c r="B4" s="21">
        <f>TEXT(EDATE(Assumptions!$B$5,0),"mmm yy")</f>
        <v/>
      </c>
      <c r="C4" s="21">
        <f>TEXT(EDATE(Assumptions!$B$5,1),"mmm yy")</f>
        <v/>
      </c>
      <c r="D4" s="21">
        <f>TEXT(EDATE(Assumptions!$B$5,2),"mmm yy")</f>
        <v/>
      </c>
      <c r="E4" s="21">
        <f>TEXT(EDATE(Assumptions!$B$5,3),"mmm yy")</f>
        <v/>
      </c>
      <c r="F4" s="21">
        <f>TEXT(EDATE(Assumptions!$B$5,4),"mmm yy")</f>
        <v/>
      </c>
      <c r="G4" s="21">
        <f>TEXT(EDATE(Assumptions!$B$5,5),"mmm yy")</f>
        <v/>
      </c>
      <c r="H4" s="21">
        <f>TEXT(EDATE(Assumptions!$B$5,6),"mmm yy")</f>
        <v/>
      </c>
      <c r="I4" s="21">
        <f>TEXT(EDATE(Assumptions!$B$5,7),"mmm yy")</f>
        <v/>
      </c>
      <c r="J4" s="21">
        <f>TEXT(EDATE(Assumptions!$B$5,8),"mmm yy")</f>
        <v/>
      </c>
      <c r="K4" s="21">
        <f>TEXT(EDATE(Assumptions!$B$5,9),"mmm yy")</f>
        <v/>
      </c>
      <c r="L4" s="21">
        <f>TEXT(EDATE(Assumptions!$B$5,10),"mmm yy")</f>
        <v/>
      </c>
      <c r="M4" s="21">
        <f>TEXT(EDATE(Assumptions!$B$5,11),"mmm yy")</f>
        <v/>
      </c>
      <c r="N4" s="21" t="inlineStr">
        <is>
          <t>Total</t>
        </is>
      </c>
    </row>
    <row r="5">
      <c r="A5" s="13" t="inlineStr">
        <is>
          <t>Cost of goods sold</t>
        </is>
      </c>
      <c r="B5" s="22">
        <f>Revenue!B9*Assumptions!$B$13</f>
        <v/>
      </c>
      <c r="C5" s="22">
        <f>Revenue!C9*Assumptions!$B$13</f>
        <v/>
      </c>
      <c r="D5" s="22">
        <f>Revenue!D9*Assumptions!$B$13</f>
        <v/>
      </c>
      <c r="E5" s="22">
        <f>Revenue!E9*Assumptions!$B$13</f>
        <v/>
      </c>
      <c r="F5" s="22">
        <f>Revenue!F9*Assumptions!$B$13</f>
        <v/>
      </c>
      <c r="G5" s="22">
        <f>Revenue!G9*Assumptions!$B$13</f>
        <v/>
      </c>
      <c r="H5" s="22">
        <f>Revenue!H9*Assumptions!$B$13</f>
        <v/>
      </c>
      <c r="I5" s="22">
        <f>Revenue!I9*Assumptions!$B$13</f>
        <v/>
      </c>
      <c r="J5" s="22">
        <f>Revenue!J9*Assumptions!$B$13</f>
        <v/>
      </c>
      <c r="K5" s="22">
        <f>Revenue!K9*Assumptions!$B$13</f>
        <v/>
      </c>
      <c r="L5" s="22">
        <f>Revenue!L9*Assumptions!$B$13</f>
        <v/>
      </c>
      <c r="M5" s="22">
        <f>Revenue!M9*Assumptions!$B$13</f>
        <v/>
      </c>
      <c r="N5" s="23">
        <f>SUM(B5:M5)</f>
        <v/>
      </c>
    </row>
    <row r="7" ht="20" customHeight="1">
      <c r="A7" s="11" t="inlineStr">
        <is>
          <t>OPERATING EXPENSES</t>
        </is>
      </c>
      <c r="B7" s="12" t="n"/>
      <c r="C7" s="12" t="n"/>
      <c r="D7" s="12" t="n"/>
      <c r="E7" s="12" t="n"/>
      <c r="F7" s="12" t="n"/>
      <c r="G7" s="12" t="n"/>
      <c r="H7" s="12" t="n"/>
      <c r="I7" s="12" t="n"/>
      <c r="J7" s="12" t="n"/>
      <c r="K7" s="12" t="n"/>
      <c r="L7" s="12" t="n"/>
      <c r="M7" s="12" t="n"/>
      <c r="N7" s="12" t="n"/>
    </row>
    <row r="8">
      <c r="A8" s="15" t="inlineStr">
        <is>
          <t>Salaries &amp; wages</t>
        </is>
      </c>
      <c r="B8" s="16" t="n">
        <v>14000</v>
      </c>
      <c r="C8" s="16" t="n">
        <v>14000</v>
      </c>
      <c r="D8" s="16" t="n">
        <v>14000</v>
      </c>
      <c r="E8" s="16" t="n">
        <v>14000</v>
      </c>
      <c r="F8" s="16" t="n">
        <v>14000</v>
      </c>
      <c r="G8" s="16" t="n">
        <v>14000</v>
      </c>
      <c r="H8" s="16" t="n">
        <v>14000</v>
      </c>
      <c r="I8" s="16" t="n">
        <v>14000</v>
      </c>
      <c r="J8" s="16" t="n">
        <v>14000</v>
      </c>
      <c r="K8" s="16" t="n">
        <v>14000</v>
      </c>
      <c r="L8" s="16" t="n">
        <v>14000</v>
      </c>
      <c r="M8" s="16" t="n">
        <v>14000</v>
      </c>
      <c r="N8" s="23">
        <f>SUM(B8:M8)</f>
        <v/>
      </c>
    </row>
    <row r="9">
      <c r="A9" s="15" t="inlineStr">
        <is>
          <t>Payroll taxes &amp; benefits</t>
        </is>
      </c>
      <c r="B9" s="16" t="n">
        <v>2100</v>
      </c>
      <c r="C9" s="16" t="n">
        <v>2100</v>
      </c>
      <c r="D9" s="16" t="n">
        <v>2100</v>
      </c>
      <c r="E9" s="16" t="n">
        <v>2100</v>
      </c>
      <c r="F9" s="16" t="n">
        <v>2100</v>
      </c>
      <c r="G9" s="16" t="n">
        <v>2100</v>
      </c>
      <c r="H9" s="16" t="n">
        <v>2100</v>
      </c>
      <c r="I9" s="16" t="n">
        <v>2100</v>
      </c>
      <c r="J9" s="16" t="n">
        <v>2100</v>
      </c>
      <c r="K9" s="16" t="n">
        <v>2100</v>
      </c>
      <c r="L9" s="16" t="n">
        <v>2100</v>
      </c>
      <c r="M9" s="16" t="n">
        <v>2100</v>
      </c>
      <c r="N9" s="23">
        <f>SUM(B9:M9)</f>
        <v/>
      </c>
    </row>
    <row r="10">
      <c r="A10" s="15" t="inlineStr">
        <is>
          <t>Rent</t>
        </is>
      </c>
      <c r="B10" s="16" t="n">
        <v>3200</v>
      </c>
      <c r="C10" s="16" t="n">
        <v>3200</v>
      </c>
      <c r="D10" s="16" t="n">
        <v>3200</v>
      </c>
      <c r="E10" s="16" t="n">
        <v>3200</v>
      </c>
      <c r="F10" s="16" t="n">
        <v>3200</v>
      </c>
      <c r="G10" s="16" t="n">
        <v>3200</v>
      </c>
      <c r="H10" s="16" t="n">
        <v>3200</v>
      </c>
      <c r="I10" s="16" t="n">
        <v>3200</v>
      </c>
      <c r="J10" s="16" t="n">
        <v>3200</v>
      </c>
      <c r="K10" s="16" t="n">
        <v>3200</v>
      </c>
      <c r="L10" s="16" t="n">
        <v>3200</v>
      </c>
      <c r="M10" s="16" t="n">
        <v>3200</v>
      </c>
      <c r="N10" s="23">
        <f>SUM(B10:M10)</f>
        <v/>
      </c>
    </row>
    <row r="11">
      <c r="A11" s="15" t="inlineStr">
        <is>
          <t>Utilities</t>
        </is>
      </c>
      <c r="B11" s="16" t="n">
        <v>480</v>
      </c>
      <c r="C11" s="16" t="n">
        <v>480</v>
      </c>
      <c r="D11" s="16" t="n">
        <v>480</v>
      </c>
      <c r="E11" s="16" t="n">
        <v>480</v>
      </c>
      <c r="F11" s="16" t="n">
        <v>480</v>
      </c>
      <c r="G11" s="16" t="n">
        <v>480</v>
      </c>
      <c r="H11" s="16" t="n">
        <v>480</v>
      </c>
      <c r="I11" s="16" t="n">
        <v>480</v>
      </c>
      <c r="J11" s="16" t="n">
        <v>480</v>
      </c>
      <c r="K11" s="16" t="n">
        <v>480</v>
      </c>
      <c r="L11" s="16" t="n">
        <v>480</v>
      </c>
      <c r="M11" s="16" t="n">
        <v>480</v>
      </c>
      <c r="N11" s="23">
        <f>SUM(B11:M11)</f>
        <v/>
      </c>
    </row>
    <row r="12">
      <c r="A12" s="15" t="inlineStr">
        <is>
          <t>Insurance</t>
        </is>
      </c>
      <c r="B12" s="16" t="n">
        <v>390</v>
      </c>
      <c r="C12" s="16" t="n">
        <v>390</v>
      </c>
      <c r="D12" s="16" t="n">
        <v>390</v>
      </c>
      <c r="E12" s="16" t="n">
        <v>390</v>
      </c>
      <c r="F12" s="16" t="n">
        <v>390</v>
      </c>
      <c r="G12" s="16" t="n">
        <v>390</v>
      </c>
      <c r="H12" s="16" t="n">
        <v>390</v>
      </c>
      <c r="I12" s="16" t="n">
        <v>390</v>
      </c>
      <c r="J12" s="16" t="n">
        <v>390</v>
      </c>
      <c r="K12" s="16" t="n">
        <v>390</v>
      </c>
      <c r="L12" s="16" t="n">
        <v>390</v>
      </c>
      <c r="M12" s="16" t="n">
        <v>390</v>
      </c>
      <c r="N12" s="23">
        <f>SUM(B12:M12)</f>
        <v/>
      </c>
    </row>
    <row r="13">
      <c r="A13" s="15" t="inlineStr">
        <is>
          <t>Software &amp; subscriptions</t>
        </is>
      </c>
      <c r="B13" s="16" t="n">
        <v>620</v>
      </c>
      <c r="C13" s="16" t="n">
        <v>620</v>
      </c>
      <c r="D13" s="16" t="n">
        <v>620</v>
      </c>
      <c r="E13" s="16" t="n">
        <v>620</v>
      </c>
      <c r="F13" s="16" t="n">
        <v>620</v>
      </c>
      <c r="G13" s="16" t="n">
        <v>620</v>
      </c>
      <c r="H13" s="16" t="n">
        <v>620</v>
      </c>
      <c r="I13" s="16" t="n">
        <v>620</v>
      </c>
      <c r="J13" s="16" t="n">
        <v>620</v>
      </c>
      <c r="K13" s="16" t="n">
        <v>620</v>
      </c>
      <c r="L13" s="16" t="n">
        <v>620</v>
      </c>
      <c r="M13" s="16" t="n">
        <v>620</v>
      </c>
      <c r="N13" s="23">
        <f>SUM(B13:M13)</f>
        <v/>
      </c>
    </row>
    <row r="14">
      <c r="A14" s="15" t="inlineStr">
        <is>
          <t>Marketing &amp; advertising</t>
        </is>
      </c>
      <c r="B14" s="16" t="n">
        <v>2400</v>
      </c>
      <c r="C14" s="16" t="n">
        <v>2400</v>
      </c>
      <c r="D14" s="16" t="n">
        <v>2400</v>
      </c>
      <c r="E14" s="16" t="n">
        <v>2400</v>
      </c>
      <c r="F14" s="16" t="n">
        <v>2400</v>
      </c>
      <c r="G14" s="16" t="n">
        <v>2400</v>
      </c>
      <c r="H14" s="16" t="n">
        <v>2400</v>
      </c>
      <c r="I14" s="16" t="n">
        <v>2400</v>
      </c>
      <c r="J14" s="16" t="n">
        <v>2400</v>
      </c>
      <c r="K14" s="16" t="n">
        <v>2400</v>
      </c>
      <c r="L14" s="16" t="n">
        <v>2400</v>
      </c>
      <c r="M14" s="16" t="n">
        <v>2400</v>
      </c>
      <c r="N14" s="23">
        <f>SUM(B14:M14)</f>
        <v/>
      </c>
    </row>
    <row r="15">
      <c r="A15" s="15" t="inlineStr">
        <is>
          <t>Professional fees (legal, accounting)</t>
        </is>
      </c>
      <c r="B15" s="16" t="n">
        <v>750</v>
      </c>
      <c r="C15" s="16" t="n">
        <v>750</v>
      </c>
      <c r="D15" s="16" t="n">
        <v>750</v>
      </c>
      <c r="E15" s="16" t="n">
        <v>750</v>
      </c>
      <c r="F15" s="16" t="n">
        <v>750</v>
      </c>
      <c r="G15" s="16" t="n">
        <v>750</v>
      </c>
      <c r="H15" s="16" t="n">
        <v>750</v>
      </c>
      <c r="I15" s="16" t="n">
        <v>750</v>
      </c>
      <c r="J15" s="16" t="n">
        <v>750</v>
      </c>
      <c r="K15" s="16" t="n">
        <v>750</v>
      </c>
      <c r="L15" s="16" t="n">
        <v>750</v>
      </c>
      <c r="M15" s="16" t="n">
        <v>750</v>
      </c>
      <c r="N15" s="23">
        <f>SUM(B15:M15)</f>
        <v/>
      </c>
    </row>
    <row r="16">
      <c r="A16" s="15" t="inlineStr">
        <is>
          <t>Bank &amp; merchant fees</t>
        </is>
      </c>
      <c r="B16" s="16" t="n">
        <v>540</v>
      </c>
      <c r="C16" s="16" t="n">
        <v>540</v>
      </c>
      <c r="D16" s="16" t="n">
        <v>540</v>
      </c>
      <c r="E16" s="16" t="n">
        <v>540</v>
      </c>
      <c r="F16" s="16" t="n">
        <v>540</v>
      </c>
      <c r="G16" s="16" t="n">
        <v>540</v>
      </c>
      <c r="H16" s="16" t="n">
        <v>540</v>
      </c>
      <c r="I16" s="16" t="n">
        <v>540</v>
      </c>
      <c r="J16" s="16" t="n">
        <v>540</v>
      </c>
      <c r="K16" s="16" t="n">
        <v>540</v>
      </c>
      <c r="L16" s="16" t="n">
        <v>540</v>
      </c>
      <c r="M16" s="16" t="n">
        <v>540</v>
      </c>
      <c r="N16" s="23">
        <f>SUM(B16:M16)</f>
        <v/>
      </c>
    </row>
    <row r="17">
      <c r="A17" s="15" t="inlineStr">
        <is>
          <t>Repairs &amp; maintenance</t>
        </is>
      </c>
      <c r="B17" s="16" t="n">
        <v>300</v>
      </c>
      <c r="C17" s="16" t="n">
        <v>300</v>
      </c>
      <c r="D17" s="16" t="n">
        <v>300</v>
      </c>
      <c r="E17" s="16" t="n">
        <v>300</v>
      </c>
      <c r="F17" s="16" t="n">
        <v>300</v>
      </c>
      <c r="G17" s="16" t="n">
        <v>300</v>
      </c>
      <c r="H17" s="16" t="n">
        <v>300</v>
      </c>
      <c r="I17" s="16" t="n">
        <v>300</v>
      </c>
      <c r="J17" s="16" t="n">
        <v>300</v>
      </c>
      <c r="K17" s="16" t="n">
        <v>300</v>
      </c>
      <c r="L17" s="16" t="n">
        <v>300</v>
      </c>
      <c r="M17" s="16" t="n">
        <v>300</v>
      </c>
      <c r="N17" s="23">
        <f>SUM(B17:M17)</f>
        <v/>
      </c>
    </row>
    <row r="18">
      <c r="A18" s="15" t="inlineStr">
        <is>
          <t>Travel &amp; vehicle</t>
        </is>
      </c>
      <c r="B18" s="16" t="n">
        <v>650</v>
      </c>
      <c r="C18" s="16" t="n">
        <v>650</v>
      </c>
      <c r="D18" s="16" t="n">
        <v>650</v>
      </c>
      <c r="E18" s="16" t="n">
        <v>650</v>
      </c>
      <c r="F18" s="16" t="n">
        <v>650</v>
      </c>
      <c r="G18" s="16" t="n">
        <v>650</v>
      </c>
      <c r="H18" s="16" t="n">
        <v>650</v>
      </c>
      <c r="I18" s="16" t="n">
        <v>650</v>
      </c>
      <c r="J18" s="16" t="n">
        <v>650</v>
      </c>
      <c r="K18" s="16" t="n">
        <v>650</v>
      </c>
      <c r="L18" s="16" t="n">
        <v>650</v>
      </c>
      <c r="M18" s="16" t="n">
        <v>650</v>
      </c>
      <c r="N18" s="23">
        <f>SUM(B18:M18)</f>
        <v/>
      </c>
    </row>
    <row r="19">
      <c r="A19" s="15" t="inlineStr">
        <is>
          <t>Office supplies</t>
        </is>
      </c>
      <c r="B19" s="16" t="n">
        <v>220</v>
      </c>
      <c r="C19" s="16" t="n">
        <v>220</v>
      </c>
      <c r="D19" s="16" t="n">
        <v>220</v>
      </c>
      <c r="E19" s="16" t="n">
        <v>220</v>
      </c>
      <c r="F19" s="16" t="n">
        <v>220</v>
      </c>
      <c r="G19" s="16" t="n">
        <v>220</v>
      </c>
      <c r="H19" s="16" t="n">
        <v>220</v>
      </c>
      <c r="I19" s="16" t="n">
        <v>220</v>
      </c>
      <c r="J19" s="16" t="n">
        <v>220</v>
      </c>
      <c r="K19" s="16" t="n">
        <v>220</v>
      </c>
      <c r="L19" s="16" t="n">
        <v>220</v>
      </c>
      <c r="M19" s="16" t="n">
        <v>220</v>
      </c>
      <c r="N19" s="23">
        <f>SUM(B19:M19)</f>
        <v/>
      </c>
    </row>
    <row r="20">
      <c r="A20" s="15" t="inlineStr">
        <is>
          <t>Training &amp; development</t>
        </is>
      </c>
      <c r="B20" s="16" t="n">
        <v>250</v>
      </c>
      <c r="C20" s="16" t="n">
        <v>250</v>
      </c>
      <c r="D20" s="16" t="n">
        <v>250</v>
      </c>
      <c r="E20" s="16" t="n">
        <v>250</v>
      </c>
      <c r="F20" s="16" t="n">
        <v>250</v>
      </c>
      <c r="G20" s="16" t="n">
        <v>250</v>
      </c>
      <c r="H20" s="16" t="n">
        <v>250</v>
      </c>
      <c r="I20" s="16" t="n">
        <v>250</v>
      </c>
      <c r="J20" s="16" t="n">
        <v>250</v>
      </c>
      <c r="K20" s="16" t="n">
        <v>250</v>
      </c>
      <c r="L20" s="16" t="n">
        <v>250</v>
      </c>
      <c r="M20" s="16" t="n">
        <v>250</v>
      </c>
      <c r="N20" s="23">
        <f>SUM(B20:M20)</f>
        <v/>
      </c>
    </row>
    <row r="21">
      <c r="A21" s="15" t="inlineStr">
        <is>
          <t>Other overhead</t>
        </is>
      </c>
      <c r="B21" s="16" t="n">
        <v>400</v>
      </c>
      <c r="C21" s="16" t="n">
        <v>400</v>
      </c>
      <c r="D21" s="16" t="n">
        <v>400</v>
      </c>
      <c r="E21" s="16" t="n">
        <v>400</v>
      </c>
      <c r="F21" s="16" t="n">
        <v>400</v>
      </c>
      <c r="G21" s="16" t="n">
        <v>400</v>
      </c>
      <c r="H21" s="16" t="n">
        <v>400</v>
      </c>
      <c r="I21" s="16" t="n">
        <v>400</v>
      </c>
      <c r="J21" s="16" t="n">
        <v>400</v>
      </c>
      <c r="K21" s="16" t="n">
        <v>400</v>
      </c>
      <c r="L21" s="16" t="n">
        <v>400</v>
      </c>
      <c r="M21" s="16" t="n">
        <v>400</v>
      </c>
      <c r="N21" s="23">
        <f>SUM(B21:M21)</f>
        <v/>
      </c>
    </row>
    <row r="22">
      <c r="A22" s="13" t="inlineStr">
        <is>
          <t>TOTAL OPERATING EXPENSES</t>
        </is>
      </c>
      <c r="B22" s="23">
        <f>SUM(B8:B21)</f>
        <v/>
      </c>
      <c r="C22" s="23">
        <f>SUM(C8:C21)</f>
        <v/>
      </c>
      <c r="D22" s="23">
        <f>SUM(D8:D21)</f>
        <v/>
      </c>
      <c r="E22" s="23">
        <f>SUM(E8:E21)</f>
        <v/>
      </c>
      <c r="F22" s="23">
        <f>SUM(F8:F21)</f>
        <v/>
      </c>
      <c r="G22" s="23">
        <f>SUM(G8:G21)</f>
        <v/>
      </c>
      <c r="H22" s="23">
        <f>SUM(H8:H21)</f>
        <v/>
      </c>
      <c r="I22" s="23">
        <f>SUM(I8:I21)</f>
        <v/>
      </c>
      <c r="J22" s="23">
        <f>SUM(J8:J21)</f>
        <v/>
      </c>
      <c r="K22" s="23">
        <f>SUM(K8:K21)</f>
        <v/>
      </c>
      <c r="L22" s="23">
        <f>SUM(L8:L21)</f>
        <v/>
      </c>
      <c r="M22" s="23">
        <f>SUM(M8:M21)</f>
        <v/>
      </c>
      <c r="N22" s="23">
        <f>SUM(N8:N21)</f>
        <v/>
      </c>
    </row>
    <row r="24" ht="20" customHeight="1">
      <c r="A24" s="11" t="inlineStr">
        <is>
          <t>CAPITAL &amp; FINANCING</t>
        </is>
      </c>
      <c r="B24" s="12" t="n"/>
      <c r="C24" s="12" t="n"/>
      <c r="D24" s="12" t="n"/>
      <c r="E24" s="12" t="n"/>
      <c r="F24" s="12" t="n"/>
      <c r="G24" s="12" t="n"/>
      <c r="H24" s="12" t="n"/>
      <c r="I24" s="12" t="n"/>
      <c r="J24" s="12" t="n"/>
      <c r="K24" s="12" t="n"/>
      <c r="L24" s="12" t="n"/>
      <c r="M24" s="12" t="n"/>
      <c r="N24" s="12" t="n"/>
    </row>
    <row r="25">
      <c r="A25" s="13" t="inlineStr">
        <is>
          <t>Equipment purchases</t>
        </is>
      </c>
      <c r="B25" s="16" t="n">
        <v>0</v>
      </c>
      <c r="C25" s="16" t="n">
        <v>0</v>
      </c>
      <c r="D25" s="16" t="n">
        <v>0</v>
      </c>
      <c r="E25" s="16" t="n">
        <v>0</v>
      </c>
      <c r="F25" s="16" t="n">
        <v>0</v>
      </c>
      <c r="G25" s="16" t="n">
        <v>0</v>
      </c>
      <c r="H25" s="16" t="n">
        <v>0</v>
      </c>
      <c r="I25" s="16" t="n">
        <v>0</v>
      </c>
      <c r="J25" s="16" t="n">
        <v>0</v>
      </c>
      <c r="K25" s="16" t="n">
        <v>0</v>
      </c>
      <c r="L25" s="16" t="n">
        <v>0</v>
      </c>
      <c r="M25" s="16" t="n">
        <v>0</v>
      </c>
      <c r="N25" s="22">
        <f>SUM(B25:M25)</f>
        <v/>
      </c>
    </row>
    <row r="26">
      <c r="A26" s="13" t="inlineStr">
        <is>
          <t>Loan drawdown (money in)</t>
        </is>
      </c>
      <c r="B26" s="16" t="n">
        <v>0</v>
      </c>
      <c r="C26" s="16" t="n">
        <v>0</v>
      </c>
      <c r="D26" s="16" t="n">
        <v>0</v>
      </c>
      <c r="E26" s="16" t="n">
        <v>0</v>
      </c>
      <c r="F26" s="16" t="n">
        <v>0</v>
      </c>
      <c r="G26" s="16" t="n">
        <v>0</v>
      </c>
      <c r="H26" s="16" t="n">
        <v>0</v>
      </c>
      <c r="I26" s="16" t="n">
        <v>0</v>
      </c>
      <c r="J26" s="16" t="n">
        <v>0</v>
      </c>
      <c r="K26" s="16" t="n">
        <v>0</v>
      </c>
      <c r="L26" s="16" t="n">
        <v>0</v>
      </c>
      <c r="M26" s="16" t="n">
        <v>0</v>
      </c>
      <c r="N26" s="22">
        <f>SUM(B26:M26)</f>
        <v/>
      </c>
    </row>
    <row r="27">
      <c r="A27" s="13" t="inlineStr">
        <is>
          <t>Loan repayment (money out)</t>
        </is>
      </c>
      <c r="B27" s="16" t="n">
        <v>0</v>
      </c>
      <c r="C27" s="16" t="n">
        <v>0</v>
      </c>
      <c r="D27" s="16" t="n">
        <v>0</v>
      </c>
      <c r="E27" s="16" t="n">
        <v>0</v>
      </c>
      <c r="F27" s="16" t="n">
        <v>0</v>
      </c>
      <c r="G27" s="16" t="n">
        <v>0</v>
      </c>
      <c r="H27" s="16" t="n">
        <v>0</v>
      </c>
      <c r="I27" s="16" t="n">
        <v>0</v>
      </c>
      <c r="J27" s="16" t="n">
        <v>0</v>
      </c>
      <c r="K27" s="16" t="n">
        <v>0</v>
      </c>
      <c r="L27" s="16" t="n">
        <v>0</v>
      </c>
      <c r="M27" s="16" t="n">
        <v>0</v>
      </c>
      <c r="N27" s="22">
        <f>SUM(B27:M27)</f>
        <v/>
      </c>
    </row>
    <row r="28">
      <c r="A28" s="13" t="inlineStr">
        <is>
          <t>Owner draw / dividends</t>
        </is>
      </c>
      <c r="B28" s="16" t="n">
        <v>0</v>
      </c>
      <c r="C28" s="16" t="n">
        <v>0</v>
      </c>
      <c r="D28" s="16" t="n">
        <v>0</v>
      </c>
      <c r="E28" s="16" t="n">
        <v>0</v>
      </c>
      <c r="F28" s="16" t="n">
        <v>0</v>
      </c>
      <c r="G28" s="16" t="n">
        <v>0</v>
      </c>
      <c r="H28" s="16" t="n">
        <v>0</v>
      </c>
      <c r="I28" s="16" t="n">
        <v>0</v>
      </c>
      <c r="J28" s="16" t="n">
        <v>0</v>
      </c>
      <c r="K28" s="16" t="n">
        <v>0</v>
      </c>
      <c r="L28" s="16" t="n">
        <v>0</v>
      </c>
      <c r="M28" s="16" t="n">
        <v>0</v>
      </c>
      <c r="N28" s="22">
        <f>SUM(B28:M28)</f>
        <v/>
      </c>
    </row>
    <row r="29">
      <c r="A29" s="13" t="inlineStr">
        <is>
          <t>Owner injection (money in)</t>
        </is>
      </c>
      <c r="B29" s="16" t="n">
        <v>0</v>
      </c>
      <c r="C29" s="16" t="n">
        <v>0</v>
      </c>
      <c r="D29" s="16" t="n">
        <v>0</v>
      </c>
      <c r="E29" s="16" t="n">
        <v>0</v>
      </c>
      <c r="F29" s="16" t="n">
        <v>0</v>
      </c>
      <c r="G29" s="16" t="n">
        <v>0</v>
      </c>
      <c r="H29" s="16" t="n">
        <v>0</v>
      </c>
      <c r="I29" s="16" t="n">
        <v>0</v>
      </c>
      <c r="J29" s="16" t="n">
        <v>0</v>
      </c>
      <c r="K29" s="16" t="n">
        <v>0</v>
      </c>
      <c r="L29" s="16" t="n">
        <v>0</v>
      </c>
      <c r="M29" s="16" t="n">
        <v>0</v>
      </c>
      <c r="N29" s="22">
        <f>SUM(B29:M29)</f>
        <v/>
      </c>
    </row>
  </sheetData>
  <pageMargins left="0.75" right="0.75" top="1" bottom="1" header="0.5" footer="0.5"/>
</worksheet>
</file>

<file path=xl/worksheets/sheet5.xml><?xml version="1.0" encoding="utf-8"?>
<worksheet xmlns="http://schemas.openxmlformats.org/spreadsheetml/2006/main">
  <sheetPr>
    <tabColor rgb="0000B4A6"/>
    <outlinePr summaryBelow="1" summaryRight="1"/>
    <pageSetUpPr/>
  </sheetPr>
  <dimension ref="A1:N25"/>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ht="30" customHeight="1">
      <c r="A1" s="1" t="inlineStr">
        <is>
          <t>Cash Flow</t>
        </is>
      </c>
      <c r="B1" s="2" t="n"/>
      <c r="C1" s="2" t="n"/>
      <c r="D1" s="2" t="n"/>
      <c r="E1" s="2" t="n"/>
      <c r="F1" s="2" t="n"/>
      <c r="G1" s="2" t="n"/>
      <c r="H1" s="2" t="n"/>
      <c r="I1" s="2" t="n"/>
      <c r="J1" s="2" t="n"/>
      <c r="K1" s="2" t="n"/>
      <c r="L1" s="2" t="n"/>
      <c r="M1" s="2" t="n"/>
      <c r="N1" s="2" t="n"/>
    </row>
    <row r="2" ht="18" customHeight="1">
      <c r="A2" s="3" t="inlineStr">
        <is>
          <t>The tab that matters: when cash actually lands and leaves.</t>
        </is>
      </c>
      <c r="B2" s="2" t="n"/>
      <c r="C2" s="2" t="n"/>
      <c r="D2" s="2" t="n"/>
      <c r="E2" s="2" t="n"/>
      <c r="F2" s="2" t="n"/>
      <c r="G2" s="2" t="n"/>
      <c r="H2" s="2" t="n"/>
      <c r="I2" s="2" t="n"/>
      <c r="J2" s="2" t="n"/>
      <c r="K2" s="2" t="n"/>
      <c r="L2" s="2" t="n"/>
      <c r="M2" s="2" t="n"/>
      <c r="N2" s="2" t="n"/>
    </row>
    <row r="4" ht="28" customHeight="1">
      <c r="A4" s="21" t="inlineStr">
        <is>
          <t>Cash movement</t>
        </is>
      </c>
      <c r="B4" s="21">
        <f>TEXT(EDATE(Assumptions!$B$5,0),"mmm yy")</f>
        <v/>
      </c>
      <c r="C4" s="21">
        <f>TEXT(EDATE(Assumptions!$B$5,1),"mmm yy")</f>
        <v/>
      </c>
      <c r="D4" s="21">
        <f>TEXT(EDATE(Assumptions!$B$5,2),"mmm yy")</f>
        <v/>
      </c>
      <c r="E4" s="21">
        <f>TEXT(EDATE(Assumptions!$B$5,3),"mmm yy")</f>
        <v/>
      </c>
      <c r="F4" s="21">
        <f>TEXT(EDATE(Assumptions!$B$5,4),"mmm yy")</f>
        <v/>
      </c>
      <c r="G4" s="21">
        <f>TEXT(EDATE(Assumptions!$B$5,5),"mmm yy")</f>
        <v/>
      </c>
      <c r="H4" s="21">
        <f>TEXT(EDATE(Assumptions!$B$5,6),"mmm yy")</f>
        <v/>
      </c>
      <c r="I4" s="21">
        <f>TEXT(EDATE(Assumptions!$B$5,7),"mmm yy")</f>
        <v/>
      </c>
      <c r="J4" s="21">
        <f>TEXT(EDATE(Assumptions!$B$5,8),"mmm yy")</f>
        <v/>
      </c>
      <c r="K4" s="21">
        <f>TEXT(EDATE(Assumptions!$B$5,9),"mmm yy")</f>
        <v/>
      </c>
      <c r="L4" s="21">
        <f>TEXT(EDATE(Assumptions!$B$5,10),"mmm yy")</f>
        <v/>
      </c>
      <c r="M4" s="21">
        <f>TEXT(EDATE(Assumptions!$B$5,11),"mmm yy")</f>
        <v/>
      </c>
      <c r="N4" s="21" t="inlineStr">
        <is>
          <t>Total</t>
        </is>
      </c>
    </row>
    <row r="5">
      <c r="A5" s="13" t="inlineStr">
        <is>
          <t>Opening cash</t>
        </is>
      </c>
      <c r="B5" s="23">
        <f>Assumptions!$B$7</f>
        <v/>
      </c>
      <c r="C5" s="23">
        <f>B23</f>
        <v/>
      </c>
      <c r="D5" s="23">
        <f>C23</f>
        <v/>
      </c>
      <c r="E5" s="23">
        <f>D23</f>
        <v/>
      </c>
      <c r="F5" s="23">
        <f>E23</f>
        <v/>
      </c>
      <c r="G5" s="23">
        <f>F23</f>
        <v/>
      </c>
      <c r="H5" s="23">
        <f>G23</f>
        <v/>
      </c>
      <c r="I5" s="23">
        <f>H23</f>
        <v/>
      </c>
      <c r="J5" s="23">
        <f>I23</f>
        <v/>
      </c>
      <c r="K5" s="23">
        <f>J23</f>
        <v/>
      </c>
      <c r="L5" s="23">
        <f>K23</f>
        <v/>
      </c>
      <c r="M5" s="23">
        <f>L23</f>
        <v/>
      </c>
    </row>
    <row r="7" ht="20" customHeight="1">
      <c r="A7" s="11" t="inlineStr">
        <is>
          <t>CASH IN</t>
        </is>
      </c>
      <c r="B7" s="12" t="n"/>
      <c r="C7" s="12" t="n"/>
      <c r="D7" s="12" t="n"/>
      <c r="E7" s="12" t="n"/>
      <c r="F7" s="12" t="n"/>
      <c r="G7" s="12" t="n"/>
      <c r="H7" s="12" t="n"/>
      <c r="I7" s="12" t="n"/>
      <c r="J7" s="12" t="n"/>
      <c r="K7" s="12" t="n"/>
      <c r="L7" s="12" t="n"/>
      <c r="M7" s="12" t="n"/>
      <c r="N7" s="12" t="n"/>
    </row>
    <row r="8">
      <c r="A8" s="26" t="inlineStr">
        <is>
          <t>Collections from sales</t>
        </is>
      </c>
      <c r="B8" s="22">
        <f>Revenue!B9*Assumptions!$B$8+Assumptions!$B$19</f>
        <v/>
      </c>
      <c r="C8" s="22">
        <f>Revenue!C9*Assumptions!$B$8+Revenue!B9*Assumptions!$B$9</f>
        <v/>
      </c>
      <c r="D8" s="22">
        <f>Revenue!D9*Assumptions!$B$8+Revenue!C9*Assumptions!$B$9</f>
        <v/>
      </c>
      <c r="E8" s="22">
        <f>Revenue!E9*Assumptions!$B$8+Revenue!D9*Assumptions!$B$9</f>
        <v/>
      </c>
      <c r="F8" s="22">
        <f>Revenue!F9*Assumptions!$B$8+Revenue!E9*Assumptions!$B$9</f>
        <v/>
      </c>
      <c r="G8" s="22">
        <f>Revenue!G9*Assumptions!$B$8+Revenue!F9*Assumptions!$B$9</f>
        <v/>
      </c>
      <c r="H8" s="22">
        <f>Revenue!H9*Assumptions!$B$8+Revenue!G9*Assumptions!$B$9</f>
        <v/>
      </c>
      <c r="I8" s="22">
        <f>Revenue!I9*Assumptions!$B$8+Revenue!H9*Assumptions!$B$9</f>
        <v/>
      </c>
      <c r="J8" s="22">
        <f>Revenue!J9*Assumptions!$B$8+Revenue!I9*Assumptions!$B$9</f>
        <v/>
      </c>
      <c r="K8" s="22">
        <f>Revenue!K9*Assumptions!$B$8+Revenue!J9*Assumptions!$B$9</f>
        <v/>
      </c>
      <c r="L8" s="22">
        <f>Revenue!L9*Assumptions!$B$8+Revenue!K9*Assumptions!$B$9</f>
        <v/>
      </c>
      <c r="M8" s="22">
        <f>Revenue!M9*Assumptions!$B$8+Revenue!L9*Assumptions!$B$9</f>
        <v/>
      </c>
      <c r="N8" s="22">
        <f>SUM(B8:M8)</f>
        <v/>
      </c>
    </row>
    <row r="9">
      <c r="A9" s="26" t="inlineStr">
        <is>
          <t>Sales tax collected</t>
        </is>
      </c>
      <c r="B9" s="22">
        <f>Revenue!B9*Assumptions!$B$14</f>
        <v/>
      </c>
      <c r="C9" s="22">
        <f>Revenue!C9*Assumptions!$B$14</f>
        <v/>
      </c>
      <c r="D9" s="22">
        <f>Revenue!D9*Assumptions!$B$14</f>
        <v/>
      </c>
      <c r="E9" s="22">
        <f>Revenue!E9*Assumptions!$B$14</f>
        <v/>
      </c>
      <c r="F9" s="22">
        <f>Revenue!F9*Assumptions!$B$14</f>
        <v/>
      </c>
      <c r="G9" s="22">
        <f>Revenue!G9*Assumptions!$B$14</f>
        <v/>
      </c>
      <c r="H9" s="22">
        <f>Revenue!H9*Assumptions!$B$14</f>
        <v/>
      </c>
      <c r="I9" s="22">
        <f>Revenue!I9*Assumptions!$B$14</f>
        <v/>
      </c>
      <c r="J9" s="22">
        <f>Revenue!J9*Assumptions!$B$14</f>
        <v/>
      </c>
      <c r="K9" s="22">
        <f>Revenue!K9*Assumptions!$B$14</f>
        <v/>
      </c>
      <c r="L9" s="22">
        <f>Revenue!L9*Assumptions!$B$14</f>
        <v/>
      </c>
      <c r="M9" s="22">
        <f>Revenue!M9*Assumptions!$B$14</f>
        <v/>
      </c>
      <c r="N9" s="22">
        <f>SUM(B9:M9)</f>
        <v/>
      </c>
    </row>
    <row r="10">
      <c r="A10" s="26" t="inlineStr">
        <is>
          <t>Loan drawdown &amp; owner injections</t>
        </is>
      </c>
      <c r="B10" s="22">
        <f>Costs!B26+Costs!B29</f>
        <v/>
      </c>
      <c r="C10" s="22">
        <f>Costs!C26+Costs!C29</f>
        <v/>
      </c>
      <c r="D10" s="22">
        <f>Costs!D26+Costs!D29</f>
        <v/>
      </c>
      <c r="E10" s="22">
        <f>Costs!E26+Costs!E29</f>
        <v/>
      </c>
      <c r="F10" s="22">
        <f>Costs!F26+Costs!F29</f>
        <v/>
      </c>
      <c r="G10" s="22">
        <f>Costs!G26+Costs!G29</f>
        <v/>
      </c>
      <c r="H10" s="22">
        <f>Costs!H26+Costs!H29</f>
        <v/>
      </c>
      <c r="I10" s="22">
        <f>Costs!I26+Costs!I29</f>
        <v/>
      </c>
      <c r="J10" s="22">
        <f>Costs!J26+Costs!J29</f>
        <v/>
      </c>
      <c r="K10" s="22">
        <f>Costs!K26+Costs!K29</f>
        <v/>
      </c>
      <c r="L10" s="22">
        <f>Costs!L26+Costs!L29</f>
        <v/>
      </c>
      <c r="M10" s="22">
        <f>Costs!M26+Costs!M29</f>
        <v/>
      </c>
      <c r="N10" s="22">
        <f>SUM(B10:M10)</f>
        <v/>
      </c>
    </row>
    <row r="11">
      <c r="A11" s="13" t="inlineStr">
        <is>
          <t>TOTAL CASH IN</t>
        </is>
      </c>
      <c r="B11" s="23">
        <f>B8+B9+B10</f>
        <v/>
      </c>
      <c r="C11" s="23">
        <f>C8+C9+C10</f>
        <v/>
      </c>
      <c r="D11" s="23">
        <f>D8+D9+D10</f>
        <v/>
      </c>
      <c r="E11" s="23">
        <f>E8+E9+E10</f>
        <v/>
      </c>
      <c r="F11" s="23">
        <f>F8+F9+F10</f>
        <v/>
      </c>
      <c r="G11" s="23">
        <f>G8+G9+G10</f>
        <v/>
      </c>
      <c r="H11" s="23">
        <f>H8+H9+H10</f>
        <v/>
      </c>
      <c r="I11" s="23">
        <f>I8+I9+I10</f>
        <v/>
      </c>
      <c r="J11" s="23">
        <f>J8+J9+J10</f>
        <v/>
      </c>
      <c r="K11" s="23">
        <f>K8+K9+K10</f>
        <v/>
      </c>
      <c r="L11" s="23">
        <f>L8+L9+L10</f>
        <v/>
      </c>
      <c r="M11" s="23">
        <f>M8+M9+M10</f>
        <v/>
      </c>
      <c r="N11" s="23">
        <f>SUM(B11:M11)</f>
        <v/>
      </c>
    </row>
    <row r="13" ht="20" customHeight="1">
      <c r="A13" s="11" t="inlineStr">
        <is>
          <t>CASH OUT</t>
        </is>
      </c>
      <c r="B13" s="12" t="n"/>
      <c r="C13" s="12" t="n"/>
      <c r="D13" s="12" t="n"/>
      <c r="E13" s="12" t="n"/>
      <c r="F13" s="12" t="n"/>
      <c r="G13" s="12" t="n"/>
      <c r="H13" s="12" t="n"/>
      <c r="I13" s="12" t="n"/>
      <c r="J13" s="12" t="n"/>
      <c r="K13" s="12" t="n"/>
      <c r="L13" s="12" t="n"/>
      <c r="M13" s="12" t="n"/>
      <c r="N13" s="12" t="n"/>
    </row>
    <row r="14">
      <c r="A14" s="26" t="inlineStr">
        <is>
          <t>Payments to suppliers (COGS)</t>
        </is>
      </c>
      <c r="B14" s="22">
        <f>Costs!B5*Assumptions!$B$11</f>
        <v/>
      </c>
      <c r="C14" s="22">
        <f>Costs!C5*Assumptions!$B$11+Costs!B5*Assumptions!$B$12</f>
        <v/>
      </c>
      <c r="D14" s="22">
        <f>Costs!D5*Assumptions!$B$11+Costs!C5*Assumptions!$B$12</f>
        <v/>
      </c>
      <c r="E14" s="22">
        <f>Costs!E5*Assumptions!$B$11+Costs!D5*Assumptions!$B$12</f>
        <v/>
      </c>
      <c r="F14" s="22">
        <f>Costs!F5*Assumptions!$B$11+Costs!E5*Assumptions!$B$12</f>
        <v/>
      </c>
      <c r="G14" s="22">
        <f>Costs!G5*Assumptions!$B$11+Costs!F5*Assumptions!$B$12</f>
        <v/>
      </c>
      <c r="H14" s="22">
        <f>Costs!H5*Assumptions!$B$11+Costs!G5*Assumptions!$B$12</f>
        <v/>
      </c>
      <c r="I14" s="22">
        <f>Costs!I5*Assumptions!$B$11+Costs!H5*Assumptions!$B$12</f>
        <v/>
      </c>
      <c r="J14" s="22">
        <f>Costs!J5*Assumptions!$B$11+Costs!I5*Assumptions!$B$12</f>
        <v/>
      </c>
      <c r="K14" s="22">
        <f>Costs!K5*Assumptions!$B$11+Costs!J5*Assumptions!$B$12</f>
        <v/>
      </c>
      <c r="L14" s="22">
        <f>Costs!L5*Assumptions!$B$11+Costs!K5*Assumptions!$B$12</f>
        <v/>
      </c>
      <c r="M14" s="22">
        <f>Costs!M5*Assumptions!$B$11+Costs!L5*Assumptions!$B$12</f>
        <v/>
      </c>
      <c r="N14" s="22">
        <f>SUM(B14:M14)</f>
        <v/>
      </c>
    </row>
    <row r="15">
      <c r="A15" s="26" t="inlineStr">
        <is>
          <t>Operating expenses</t>
        </is>
      </c>
      <c r="B15" s="22">
        <f>Costs!B22</f>
        <v/>
      </c>
      <c r="C15" s="22">
        <f>Costs!C22</f>
        <v/>
      </c>
      <c r="D15" s="22">
        <f>Costs!D22</f>
        <v/>
      </c>
      <c r="E15" s="22">
        <f>Costs!E22</f>
        <v/>
      </c>
      <c r="F15" s="22">
        <f>Costs!F22</f>
        <v/>
      </c>
      <c r="G15" s="22">
        <f>Costs!G22</f>
        <v/>
      </c>
      <c r="H15" s="22">
        <f>Costs!H22</f>
        <v/>
      </c>
      <c r="I15" s="22">
        <f>Costs!I22</f>
        <v/>
      </c>
      <c r="J15" s="22">
        <f>Costs!J22</f>
        <v/>
      </c>
      <c r="K15" s="22">
        <f>Costs!K22</f>
        <v/>
      </c>
      <c r="L15" s="22">
        <f>Costs!L22</f>
        <v/>
      </c>
      <c r="M15" s="22">
        <f>Costs!M22</f>
        <v/>
      </c>
      <c r="N15" s="22">
        <f>SUM(B15:M15)</f>
        <v/>
      </c>
    </row>
    <row r="16">
      <c r="A16" s="26" t="inlineStr">
        <is>
          <t>Sales tax paid on purchases</t>
        </is>
      </c>
      <c r="B16" s="22">
        <f>(Costs!B5+Costs!B22+Costs!B25)*Assumptions!$B$20*Assumptions!$B$14</f>
        <v/>
      </c>
      <c r="C16" s="22">
        <f>(Costs!C5+Costs!C22+Costs!C25)*Assumptions!$B$20*Assumptions!$B$14</f>
        <v/>
      </c>
      <c r="D16" s="22">
        <f>(Costs!D5+Costs!D22+Costs!D25)*Assumptions!$B$20*Assumptions!$B$14</f>
        <v/>
      </c>
      <c r="E16" s="22">
        <f>(Costs!E5+Costs!E22+Costs!E25)*Assumptions!$B$20*Assumptions!$B$14</f>
        <v/>
      </c>
      <c r="F16" s="22">
        <f>(Costs!F5+Costs!F22+Costs!F25)*Assumptions!$B$20*Assumptions!$B$14</f>
        <v/>
      </c>
      <c r="G16" s="22">
        <f>(Costs!G5+Costs!G22+Costs!G25)*Assumptions!$B$20*Assumptions!$B$14</f>
        <v/>
      </c>
      <c r="H16" s="22">
        <f>(Costs!H5+Costs!H22+Costs!H25)*Assumptions!$B$20*Assumptions!$B$14</f>
        <v/>
      </c>
      <c r="I16" s="22">
        <f>(Costs!I5+Costs!I22+Costs!I25)*Assumptions!$B$20*Assumptions!$B$14</f>
        <v/>
      </c>
      <c r="J16" s="22">
        <f>(Costs!J5+Costs!J22+Costs!J25)*Assumptions!$B$20*Assumptions!$B$14</f>
        <v/>
      </c>
      <c r="K16" s="22">
        <f>(Costs!K5+Costs!K22+Costs!K25)*Assumptions!$B$20*Assumptions!$B$14</f>
        <v/>
      </c>
      <c r="L16" s="22">
        <f>(Costs!L5+Costs!L22+Costs!L25)*Assumptions!$B$20*Assumptions!$B$14</f>
        <v/>
      </c>
      <c r="M16" s="22">
        <f>(Costs!M5+Costs!M22+Costs!M25)*Assumptions!$B$20*Assumptions!$B$14</f>
        <v/>
      </c>
      <c r="N16" s="22">
        <f>SUM(B16:M16)</f>
        <v/>
      </c>
    </row>
    <row r="17">
      <c r="A17" s="26" t="inlineStr">
        <is>
          <t>Sales tax remitted (net of input tax credits)</t>
        </is>
      </c>
      <c r="B17" s="22">
        <f>IF(Assumptions!$B$14=0,0,IF(Assumptions!$B$15="Yes",IF(MOD(1,3)=0,SUM(B9:B9)-SUM(B16:B16),0),B9-B16))</f>
        <v/>
      </c>
      <c r="C17" s="22">
        <f>IF(Assumptions!$B$14=0,0,IF(Assumptions!$B$15="Yes",IF(MOD(2,3)=0,SUM(B9:C9)-SUM(B16:C16),0),C9-C16))</f>
        <v/>
      </c>
      <c r="D17" s="22">
        <f>IF(Assumptions!$B$14=0,0,IF(Assumptions!$B$15="Yes",IF(MOD(3,3)=0,SUM(B9:D9)-SUM(B16:D16),0),D9-D16))</f>
        <v/>
      </c>
      <c r="E17" s="22">
        <f>IF(Assumptions!$B$14=0,0,IF(Assumptions!$B$15="Yes",IF(MOD(4,3)=0,SUM(C9:E9)-SUM(C16:E16),0),E9-E16))</f>
        <v/>
      </c>
      <c r="F17" s="22">
        <f>IF(Assumptions!$B$14=0,0,IF(Assumptions!$B$15="Yes",IF(MOD(5,3)=0,SUM(D9:F9)-SUM(D16:F16),0),F9-F16))</f>
        <v/>
      </c>
      <c r="G17" s="22">
        <f>IF(Assumptions!$B$14=0,0,IF(Assumptions!$B$15="Yes",IF(MOD(6,3)=0,SUM(E9:G9)-SUM(E16:G16),0),G9-G16))</f>
        <v/>
      </c>
      <c r="H17" s="22">
        <f>IF(Assumptions!$B$14=0,0,IF(Assumptions!$B$15="Yes",IF(MOD(7,3)=0,SUM(F9:H9)-SUM(F16:H16),0),H9-H16))</f>
        <v/>
      </c>
      <c r="I17" s="22">
        <f>IF(Assumptions!$B$14=0,0,IF(Assumptions!$B$15="Yes",IF(MOD(8,3)=0,SUM(G9:I9)-SUM(G16:I16),0),I9-I16))</f>
        <v/>
      </c>
      <c r="J17" s="22">
        <f>IF(Assumptions!$B$14=0,0,IF(Assumptions!$B$15="Yes",IF(MOD(9,3)=0,SUM(H9:J9)-SUM(H16:J16),0),J9-J16))</f>
        <v/>
      </c>
      <c r="K17" s="22">
        <f>IF(Assumptions!$B$14=0,0,IF(Assumptions!$B$15="Yes",IF(MOD(10,3)=0,SUM(I9:K9)-SUM(I16:K16),0),K9-K16))</f>
        <v/>
      </c>
      <c r="L17" s="22">
        <f>IF(Assumptions!$B$14=0,0,IF(Assumptions!$B$15="Yes",IF(MOD(11,3)=0,SUM(J9:L9)-SUM(J16:L16),0),L9-L16))</f>
        <v/>
      </c>
      <c r="M17" s="22">
        <f>IF(Assumptions!$B$14=0,0,IF(Assumptions!$B$15="Yes",IF(MOD(12,3)=0,SUM(K9:M9)-SUM(K16:M16),0),M9-M16))</f>
        <v/>
      </c>
      <c r="N17" s="22">
        <f>SUM(B17:M17)</f>
        <v/>
      </c>
    </row>
    <row r="18">
      <c r="A18" s="26" t="inlineStr">
        <is>
          <t>Equipment, loan repayments &amp; draws</t>
        </is>
      </c>
      <c r="B18" s="22">
        <f>Costs!B25+Costs!B27+Costs!B28</f>
        <v/>
      </c>
      <c r="C18" s="22">
        <f>Costs!C25+Costs!C27+Costs!C28</f>
        <v/>
      </c>
      <c r="D18" s="22">
        <f>Costs!D25+Costs!D27+Costs!D28</f>
        <v/>
      </c>
      <c r="E18" s="22">
        <f>Costs!E25+Costs!E27+Costs!E28</f>
        <v/>
      </c>
      <c r="F18" s="22">
        <f>Costs!F25+Costs!F27+Costs!F28</f>
        <v/>
      </c>
      <c r="G18" s="22">
        <f>Costs!G25+Costs!G27+Costs!G28</f>
        <v/>
      </c>
      <c r="H18" s="22">
        <f>Costs!H25+Costs!H27+Costs!H28</f>
        <v/>
      </c>
      <c r="I18" s="22">
        <f>Costs!I25+Costs!I27+Costs!I28</f>
        <v/>
      </c>
      <c r="J18" s="22">
        <f>Costs!J25+Costs!J27+Costs!J28</f>
        <v/>
      </c>
      <c r="K18" s="22">
        <f>Costs!K25+Costs!K27+Costs!K28</f>
        <v/>
      </c>
      <c r="L18" s="22">
        <f>Costs!L25+Costs!L27+Costs!L28</f>
        <v/>
      </c>
      <c r="M18" s="22">
        <f>Costs!M25+Costs!M27+Costs!M28</f>
        <v/>
      </c>
      <c r="N18" s="22">
        <f>SUM(B18:M18)</f>
        <v/>
      </c>
    </row>
    <row r="19">
      <c r="A19" s="26" t="inlineStr">
        <is>
          <t>Income tax instalment</t>
        </is>
      </c>
      <c r="B19" s="22">
        <f>MAX(0,(Revenue!B9-Costs!B5-Costs!B22))*Assumptions!$B$16</f>
        <v/>
      </c>
      <c r="C19" s="22">
        <f>MAX(0,(Revenue!C9-Costs!C5-Costs!C22))*Assumptions!$B$16</f>
        <v/>
      </c>
      <c r="D19" s="22">
        <f>MAX(0,(Revenue!D9-Costs!D5-Costs!D22))*Assumptions!$B$16</f>
        <v/>
      </c>
      <c r="E19" s="22">
        <f>MAX(0,(Revenue!E9-Costs!E5-Costs!E22))*Assumptions!$B$16</f>
        <v/>
      </c>
      <c r="F19" s="22">
        <f>MAX(0,(Revenue!F9-Costs!F5-Costs!F22))*Assumptions!$B$16</f>
        <v/>
      </c>
      <c r="G19" s="22">
        <f>MAX(0,(Revenue!G9-Costs!G5-Costs!G22))*Assumptions!$B$16</f>
        <v/>
      </c>
      <c r="H19" s="22">
        <f>MAX(0,(Revenue!H9-Costs!H5-Costs!H22))*Assumptions!$B$16</f>
        <v/>
      </c>
      <c r="I19" s="22">
        <f>MAX(0,(Revenue!I9-Costs!I5-Costs!I22))*Assumptions!$B$16</f>
        <v/>
      </c>
      <c r="J19" s="22">
        <f>MAX(0,(Revenue!J9-Costs!J5-Costs!J22))*Assumptions!$B$16</f>
        <v/>
      </c>
      <c r="K19" s="22">
        <f>MAX(0,(Revenue!K9-Costs!K5-Costs!K22))*Assumptions!$B$16</f>
        <v/>
      </c>
      <c r="L19" s="22">
        <f>MAX(0,(Revenue!L9-Costs!L5-Costs!L22))*Assumptions!$B$16</f>
        <v/>
      </c>
      <c r="M19" s="22">
        <f>MAX(0,(Revenue!M9-Costs!M5-Costs!M22))*Assumptions!$B$16</f>
        <v/>
      </c>
      <c r="N19" s="22">
        <f>SUM(B19:M19)</f>
        <v/>
      </c>
    </row>
    <row r="20">
      <c r="A20" s="13" t="inlineStr">
        <is>
          <t>TOTAL CASH OUT</t>
        </is>
      </c>
      <c r="B20" s="23">
        <f>B14+B15+B16+B17+B18+B19</f>
        <v/>
      </c>
      <c r="C20" s="23">
        <f>C14+C15+C16+C17+C18+C19</f>
        <v/>
      </c>
      <c r="D20" s="23">
        <f>D14+D15+D16+D17+D18+D19</f>
        <v/>
      </c>
      <c r="E20" s="23">
        <f>E14+E15+E16+E17+E18+E19</f>
        <v/>
      </c>
      <c r="F20" s="23">
        <f>F14+F15+F16+F17+F18+F19</f>
        <v/>
      </c>
      <c r="G20" s="23">
        <f>G14+G15+G16+G17+G18+G19</f>
        <v/>
      </c>
      <c r="H20" s="23">
        <f>H14+H15+H16+H17+H18+H19</f>
        <v/>
      </c>
      <c r="I20" s="23">
        <f>I14+I15+I16+I17+I18+I19</f>
        <v/>
      </c>
      <c r="J20" s="23">
        <f>J14+J15+J16+J17+J18+J19</f>
        <v/>
      </c>
      <c r="K20" s="23">
        <f>K14+K15+K16+K17+K18+K19</f>
        <v/>
      </c>
      <c r="L20" s="23">
        <f>L14+L15+L16+L17+L18+L19</f>
        <v/>
      </c>
      <c r="M20" s="23">
        <f>M14+M15+M16+M17+M18+M19</f>
        <v/>
      </c>
      <c r="N20" s="23">
        <f>SUM(B20:M20)</f>
        <v/>
      </c>
    </row>
    <row r="22">
      <c r="A22" s="13" t="inlineStr">
        <is>
          <t>NET CASH MOVEMENT</t>
        </is>
      </c>
      <c r="B22" s="23">
        <f>B11-B20</f>
        <v/>
      </c>
      <c r="C22" s="23">
        <f>C11-C20</f>
        <v/>
      </c>
      <c r="D22" s="23">
        <f>D11-D20</f>
        <v/>
      </c>
      <c r="E22" s="23">
        <f>E11-E20</f>
        <v/>
      </c>
      <c r="F22" s="23">
        <f>F11-F20</f>
        <v/>
      </c>
      <c r="G22" s="23">
        <f>G11-G20</f>
        <v/>
      </c>
      <c r="H22" s="23">
        <f>H11-H20</f>
        <v/>
      </c>
      <c r="I22" s="23">
        <f>I11-I20</f>
        <v/>
      </c>
      <c r="J22" s="23">
        <f>J11-J20</f>
        <v/>
      </c>
      <c r="K22" s="23">
        <f>K11-K20</f>
        <v/>
      </c>
      <c r="L22" s="23">
        <f>L11-L20</f>
        <v/>
      </c>
      <c r="M22" s="23">
        <f>M11-M20</f>
        <v/>
      </c>
      <c r="N22" s="23">
        <f>SUM(B22:M22)</f>
        <v/>
      </c>
    </row>
    <row r="23">
      <c r="A23" s="13" t="inlineStr">
        <is>
          <t>CLOSING CASH</t>
        </is>
      </c>
      <c r="B23" s="23">
        <f>B5+B22</f>
        <v/>
      </c>
      <c r="C23" s="23">
        <f>C5+C22</f>
        <v/>
      </c>
      <c r="D23" s="23">
        <f>D5+D22</f>
        <v/>
      </c>
      <c r="E23" s="23">
        <f>E5+E22</f>
        <v/>
      </c>
      <c r="F23" s="23">
        <f>F5+F22</f>
        <v/>
      </c>
      <c r="G23" s="23">
        <f>G5+G22</f>
        <v/>
      </c>
      <c r="H23" s="23">
        <f>H5+H22</f>
        <v/>
      </c>
      <c r="I23" s="23">
        <f>I5+I22</f>
        <v/>
      </c>
      <c r="J23" s="23">
        <f>J5+J22</f>
        <v/>
      </c>
      <c r="K23" s="23">
        <f>K5+K22</f>
        <v/>
      </c>
      <c r="L23" s="23">
        <f>L5+L22</f>
        <v/>
      </c>
      <c r="M23" s="23">
        <f>M5+M22</f>
        <v/>
      </c>
      <c r="N23" s="23">
        <f>SUM(B23:M23)</f>
        <v/>
      </c>
    </row>
    <row r="25">
      <c r="A25" s="27" t="inlineStr">
        <is>
          <t>Cash warning</t>
        </is>
      </c>
      <c r="B25" s="20">
        <f>IF(B23&lt;0,"⚠ SHORT","OK")</f>
        <v/>
      </c>
      <c r="C25" s="20">
        <f>IF(C23&lt;0,"⚠ SHORT","OK")</f>
        <v/>
      </c>
      <c r="D25" s="20">
        <f>IF(D23&lt;0,"⚠ SHORT","OK")</f>
        <v/>
      </c>
      <c r="E25" s="20">
        <f>IF(E23&lt;0,"⚠ SHORT","OK")</f>
        <v/>
      </c>
      <c r="F25" s="20">
        <f>IF(F23&lt;0,"⚠ SHORT","OK")</f>
        <v/>
      </c>
      <c r="G25" s="20">
        <f>IF(G23&lt;0,"⚠ SHORT","OK")</f>
        <v/>
      </c>
      <c r="H25" s="20">
        <f>IF(H23&lt;0,"⚠ SHORT","OK")</f>
        <v/>
      </c>
      <c r="I25" s="20">
        <f>IF(I23&lt;0,"⚠ SHORT","OK")</f>
        <v/>
      </c>
      <c r="J25" s="20">
        <f>IF(J23&lt;0,"⚠ SHORT","OK")</f>
        <v/>
      </c>
      <c r="K25" s="20">
        <f>IF(K23&lt;0,"⚠ SHORT","OK")</f>
        <v/>
      </c>
      <c r="L25" s="20">
        <f>IF(L23&lt;0,"⚠ SHORT","OK")</f>
        <v/>
      </c>
      <c r="M25" s="20">
        <f>IF(M23&lt;0,"⚠ SHORT","OK")</f>
        <v/>
      </c>
    </row>
  </sheetData>
  <pageMargins left="0.75" right="0.75" top="1" bottom="1" header="0.5" footer="0.5"/>
</worksheet>
</file>

<file path=xl/worksheets/sheet6.xml><?xml version="1.0" encoding="utf-8"?>
<worksheet xmlns="http://schemas.openxmlformats.org/spreadsheetml/2006/main">
  <sheetPr>
    <tabColor rgb="0000B4A6"/>
    <outlinePr summaryBelow="1" summaryRight="1"/>
    <pageSetUpPr/>
  </sheetPr>
  <dimension ref="A1:F16"/>
  <sheetViews>
    <sheetView showGridLines="0" workbookViewId="0">
      <selection activeCell="A1" sqref="A1"/>
    </sheetView>
  </sheetViews>
  <sheetFormatPr baseColWidth="8" defaultRowHeight="15"/>
  <cols>
    <col width="34" customWidth="1" min="1" max="1"/>
    <col width="18" customWidth="1" min="2" max="2"/>
  </cols>
  <sheetData>
    <row r="1" ht="30" customHeight="1">
      <c r="A1" s="1" t="inlineStr">
        <is>
          <t>Dashboard</t>
        </is>
      </c>
      <c r="B1" s="2" t="n"/>
      <c r="C1" s="2" t="n"/>
      <c r="D1" s="2" t="n"/>
      <c r="E1" s="2" t="n"/>
      <c r="F1" s="2" t="n"/>
    </row>
    <row r="2" ht="18" customHeight="1">
      <c r="A2" s="3" t="inlineStr">
        <is>
          <t>Twelve months on one screen.</t>
        </is>
      </c>
      <c r="B2" s="2" t="n"/>
      <c r="C2" s="2" t="n"/>
      <c r="D2" s="2" t="n"/>
      <c r="E2" s="2" t="n"/>
      <c r="F2" s="2" t="n"/>
    </row>
    <row r="4" ht="20" customHeight="1">
      <c r="A4" s="11" t="inlineStr">
        <is>
          <t>HEADLINES</t>
        </is>
      </c>
      <c r="B4" s="12" t="n"/>
      <c r="C4" s="12" t="n"/>
      <c r="D4" s="12" t="n"/>
      <c r="E4" s="12" t="n"/>
      <c r="F4" s="12" t="n"/>
    </row>
    <row r="6">
      <c r="A6" s="13" t="inlineStr">
        <is>
          <t>Total revenue</t>
        </is>
      </c>
      <c r="B6" s="23">
        <f>Revenue!N9</f>
        <v/>
      </c>
    </row>
    <row r="7">
      <c r="A7" s="13" t="inlineStr">
        <is>
          <t>Gross profit</t>
        </is>
      </c>
      <c r="B7" s="23">
        <f>Revenue!N9-Costs!N5</f>
        <v/>
      </c>
    </row>
    <row r="8">
      <c r="A8" s="13" t="inlineStr">
        <is>
          <t>Gross margin</t>
        </is>
      </c>
      <c r="B8" s="28">
        <f>IF(B6=0,"—",B7/B6)</f>
        <v/>
      </c>
    </row>
    <row r="9">
      <c r="A9" s="13" t="inlineStr">
        <is>
          <t>Operating expenses</t>
        </is>
      </c>
      <c r="B9" s="23">
        <f>Costs!N22</f>
        <v/>
      </c>
    </row>
    <row r="10">
      <c r="A10" s="13" t="inlineStr">
        <is>
          <t>Net operating profit</t>
        </is>
      </c>
      <c r="B10" s="23">
        <f>B7-B9</f>
        <v/>
      </c>
    </row>
    <row r="11">
      <c r="A11" s="13" t="inlineStr">
        <is>
          <t>Net margin</t>
        </is>
      </c>
      <c r="B11" s="28">
        <f>IF(B6=0,"—",B10/B6)</f>
        <v/>
      </c>
    </row>
    <row r="12">
      <c r="A12" s="13" t="inlineStr">
        <is>
          <t>Opening cash</t>
        </is>
      </c>
      <c r="B12" s="23">
        <f>Assumptions!$B$7</f>
        <v/>
      </c>
    </row>
    <row r="13">
      <c r="A13" s="13" t="inlineStr">
        <is>
          <t>Closing cash after 12 months</t>
        </is>
      </c>
      <c r="B13" s="23">
        <f>'Cash Flow'!M23</f>
        <v/>
      </c>
    </row>
    <row r="14">
      <c r="A14" s="13" t="inlineStr">
        <is>
          <t>Lowest cash balance in the year</t>
        </is>
      </c>
      <c r="B14" s="23">
        <f>MIN('Cash Flow'!B23:M23)</f>
        <v/>
      </c>
    </row>
    <row r="15">
      <c r="A15" s="13" t="inlineStr">
        <is>
          <t>Months with negative cash</t>
        </is>
      </c>
      <c r="B15" s="29">
        <f>COUNTIF('Cash Flow'!B23:M23,"&lt;0")</f>
        <v/>
      </c>
    </row>
    <row r="16">
      <c r="A16" s="13" t="inlineStr">
        <is>
          <t>Monthly break-even revenue</t>
        </is>
      </c>
      <c r="B16" s="23">
        <f>IF(1-Assumptions!$B$13=0,"—",AVERAGE(Costs!B22:M22)/(1-Assumptions!$B$13))</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2026-09-05T09:02:00Z</dcterms:created>
  <dcterms:modified xsi:type="dcterms:W3CDTF">2026-09-05T09:02:00Z</dcterms:modified>
</cp:coreProperties>
</file>