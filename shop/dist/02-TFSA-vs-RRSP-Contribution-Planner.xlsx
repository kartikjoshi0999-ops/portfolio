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Your Numbers" sheetId="2" state="visible" r:id="rId2"/>
    <sheet name="TFSA Room" sheetId="3" state="visible" r:id="rId3"/>
    <sheet name="RRSP Room" sheetId="4" state="visible" r:id="rId4"/>
    <sheet name="TFSA vs RRSP" sheetId="5" state="visible" r:id="rId5"/>
    <sheet name="Projection" sheetId="6" state="visible" r:id="rId6"/>
  </sheets>
  <definedNames/>
  <calcPr calcId="124519" fullCalcOnLoad="1"/>
</workbook>
</file>

<file path=xl/styles.xml><?xml version="1.0" encoding="utf-8"?>
<styleSheet xmlns="http://schemas.openxmlformats.org/spreadsheetml/2006/main">
  <numFmts count="1">
    <numFmt numFmtId="164" formatCode="$#,##0"/>
  </numFmts>
  <fonts count="13">
    <font>
      <name val="Calibri"/>
      <family val="2"/>
      <color theme="1"/>
      <sz val="11"/>
      <scheme val="minor"/>
    </font>
    <font>
      <name val="Calibri"/>
      <b val="1"/>
      <color rgb="00FFFFFF"/>
      <sz val="18"/>
    </font>
    <font>
      <name val="Calibri"/>
      <color rgb="00C9A84C"/>
      <sz val="10"/>
    </font>
    <font>
      <b val="1"/>
      <color rgb="00FFFFFF"/>
      <sz val="11"/>
    </font>
    <font>
      <b val="1"/>
    </font>
    <font>
      <b val="1"/>
      <color rgb="001A1A1A"/>
    </font>
    <font>
      <i val="1"/>
      <color rgb="008A97AB"/>
      <sz val="9"/>
    </font>
    <font>
      <b val="1"/>
      <color rgb="00FFFFFF"/>
      <sz val="10"/>
    </font>
    <font/>
    <font>
      <b val="1"/>
      <color rgb="000D1F3C"/>
      <sz val="12"/>
    </font>
    <font>
      <b val="1"/>
      <color rgb="000D1F3C"/>
      <sz val="11"/>
    </font>
    <font>
      <color rgb="008A97AB"/>
      <sz val="9"/>
    </font>
    <font>
      <b val="1"/>
      <color rgb="000D1F3C"/>
      <sz val="10"/>
    </font>
  </fonts>
  <fills count="7">
    <fill>
      <patternFill/>
    </fill>
    <fill>
      <patternFill patternType="gray125"/>
    </fill>
    <fill>
      <patternFill patternType="solid">
        <fgColor rgb="000A1628"/>
      </patternFill>
    </fill>
    <fill>
      <patternFill patternType="solid">
        <fgColor rgb="000D1F3C"/>
      </patternFill>
    </fill>
    <fill>
      <patternFill patternType="solid">
        <fgColor rgb="00FFF7DC"/>
      </patternFill>
    </fill>
    <fill>
      <patternFill patternType="solid">
        <fgColor rgb="0000B4A6"/>
      </patternFill>
    </fill>
    <fill>
      <patternFill patternType="solid">
        <fgColor rgb="00EDF1F6"/>
      </patternFill>
    </fill>
  </fills>
  <borders count="6">
    <border>
      <left/>
      <right/>
      <top/>
      <bottom/>
      <diagonal/>
    </border>
    <border>
      <left style="thin">
        <color rgb="00C7D0DB"/>
      </left>
      <right style="thin">
        <color rgb="00C7D0DB"/>
      </right>
      <top style="thin">
        <color rgb="00C7D0DB"/>
      </top>
      <bottom style="thin">
        <color rgb="00C7D0DB"/>
      </bottom>
    </border>
    <border>
      <left/>
      <right/>
      <top style="thin">
        <color rgb="00C7D0DB"/>
      </top>
      <bottom/>
      <diagonal/>
    </border>
    <border>
      <left/>
      <right style="thin">
        <color rgb="00C7D0DB"/>
      </right>
      <top style="thin">
        <color rgb="00C7D0DB"/>
      </top>
      <bottom/>
      <diagonal/>
    </border>
    <border>
      <left/>
      <right/>
      <top style="thin">
        <color rgb="00C7D0DB"/>
      </top>
      <bottom style="thin">
        <color rgb="00C7D0DB"/>
      </bottom>
      <diagonal/>
    </border>
    <border>
      <left/>
      <right style="thin">
        <color rgb="00C7D0DB"/>
      </right>
      <top style="thin">
        <color rgb="00C7D0DB"/>
      </top>
      <bottom style="thin">
        <color rgb="00C7D0DB"/>
      </bottom>
      <diagonal/>
    </border>
  </borders>
  <cellStyleXfs count="1">
    <xf numFmtId="0" fontId="0" fillId="0" borderId="0"/>
  </cellStyleXfs>
  <cellXfs count="29">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9" fillId="0" borderId="0" pivotButton="0" quotePrefix="0" xfId="0"/>
    <xf numFmtId="0" fontId="0" fillId="0" borderId="0" applyAlignment="1" pivotButton="0" quotePrefix="0" xfId="0">
      <alignment wrapText="1"/>
    </xf>
    <xf numFmtId="0" fontId="0" fillId="4" borderId="0" pivotButton="0" quotePrefix="0" xfId="0"/>
    <xf numFmtId="0" fontId="0" fillId="6" borderId="0" pivotButton="0" quotePrefix="0" xfId="0"/>
    <xf numFmtId="0" fontId="11" fillId="0" borderId="0" applyAlignment="1" pivotButton="0" quotePrefix="0" xfId="0">
      <alignment vertical="top" wrapText="1"/>
    </xf>
    <xf numFmtId="0" fontId="12" fillId="0" borderId="0" pivotButton="0" quotePrefix="0" xfId="0"/>
    <xf numFmtId="0" fontId="11" fillId="0" borderId="0" pivotButton="0" quotePrefix="0" xfId="0"/>
    <xf numFmtId="0" fontId="3" fillId="3" borderId="0" pivotButton="0" quotePrefix="0" xfId="0"/>
    <xf numFmtId="0" fontId="0" fillId="3" borderId="0" pivotButton="0" quotePrefix="0" xfId="0"/>
    <xf numFmtId="0" fontId="4" fillId="0" borderId="0" pivotButton="0" quotePrefix="0" xfId="0"/>
    <xf numFmtId="0" fontId="5" fillId="4" borderId="1" pivotButton="0" quotePrefix="0" xfId="0"/>
    <xf numFmtId="1" fontId="5" fillId="4" borderId="1" pivotButton="0" quotePrefix="0" xfId="0"/>
    <xf numFmtId="0" fontId="6" fillId="0" borderId="0" pivotButton="0" quotePrefix="0" xfId="0"/>
    <xf numFmtId="164" fontId="5" fillId="4" borderId="1" pivotButton="0" quotePrefix="0" xfId="0"/>
    <xf numFmtId="10" fontId="5" fillId="4" borderId="1" pivotButton="0" quotePrefix="0" xfId="0"/>
    <xf numFmtId="0" fontId="7" fillId="5" borderId="1" applyAlignment="1" pivotButton="0" quotePrefix="0" xfId="0">
      <alignment horizontal="center" vertical="center" wrapText="1"/>
    </xf>
    <xf numFmtId="0" fontId="0" fillId="0" borderId="1" pivotButton="0" quotePrefix="0" xfId="0"/>
    <xf numFmtId="164" fontId="0" fillId="0" borderId="1" pivotButton="0" quotePrefix="0" xfId="0"/>
    <xf numFmtId="0" fontId="8" fillId="6" borderId="1" pivotButton="0" quotePrefix="0" xfId="0"/>
    <xf numFmtId="164" fontId="8" fillId="6" borderId="1" pivotButton="0" quotePrefix="0" xfId="0"/>
    <xf numFmtId="164" fontId="4" fillId="6" borderId="1" pivotButton="0" quotePrefix="0" xfId="0"/>
    <xf numFmtId="0" fontId="8" fillId="0" borderId="0" pivotButton="0" quotePrefix="0" xfId="0"/>
    <xf numFmtId="0" fontId="10" fillId="6" borderId="1" applyAlignment="1" pivotButton="0" quotePrefix="0" xfId="0">
      <alignment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Projected balance</a:t>
            </a:r>
          </a:p>
        </rich>
      </tx>
    </title>
    <plotArea>
      <lineChart>
        <grouping val="standard"/>
        <ser>
          <idx val="0"/>
          <order val="0"/>
          <tx>
            <strRef>
              <f>'Projection'!E4</f>
            </strRef>
          </tx>
          <spPr>
            <a:ln>
              <a:prstDash val="solid"/>
            </a:ln>
          </spPr>
          <marker>
            <symbol val="none"/>
            <spPr>
              <a:ln>
                <a:prstDash val="solid"/>
              </a:ln>
            </spPr>
          </marker>
          <cat>
            <numRef>
              <f>'Projection'!$A$5:$A$34</f>
            </numRef>
          </cat>
          <val>
            <numRef>
              <f>'Projection'!$E$5:$E$34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4</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C9A84C"/>
    <outlinePr summaryBelow="1" summaryRight="1"/>
    <pageSetUpPr/>
  </sheetPr>
  <dimension ref="A1:C26"/>
  <sheetViews>
    <sheetView showGridLines="0" workbookViewId="0">
      <selection activeCell="A1" sqref="A1"/>
    </sheetView>
  </sheetViews>
  <sheetFormatPr baseColWidth="8" defaultRowHeight="15"/>
  <cols>
    <col width="4" customWidth="1" min="1" max="1"/>
    <col width="100" customWidth="1" min="2" max="2"/>
  </cols>
  <sheetData>
    <row r="1" ht="30" customHeight="1">
      <c r="A1" s="1" t="inlineStr">
        <is>
          <t>TFSA vs RRSP Contribution Planner (Canada)</t>
        </is>
      </c>
      <c r="B1" s="2" t="n"/>
      <c r="C1" s="2" t="n"/>
    </row>
    <row r="2" ht="18" customHeight="1">
      <c r="A2" s="3" t="inlineStr">
        <is>
          <t>Know your real room, and know which account to fill first.</t>
        </is>
      </c>
      <c r="B2" s="2" t="n"/>
      <c r="C2" s="2" t="n"/>
    </row>
    <row r="4">
      <c r="B4" s="4" t="inlineStr">
        <is>
          <t>WHAT'S INSIDE</t>
        </is>
      </c>
    </row>
    <row r="5">
      <c r="B5" s="5" t="inlineStr">
        <is>
          <t>•  Your Numbers — every input in one place.</t>
        </is>
      </c>
    </row>
    <row r="6">
      <c r="B6" s="5" t="inlineStr">
        <is>
          <t>•  TFSA Room — 2009-2026 limits, counted from age 18 AND Canadian residency.</t>
        </is>
      </c>
    </row>
    <row r="7">
      <c r="B7" s="5" t="inlineStr">
        <is>
          <t>•  RRSP Room — today's room from your CRA notice, and next year's earned room.</t>
        </is>
      </c>
    </row>
    <row r="8">
      <c r="B8" s="5" t="inlineStr">
        <is>
          <t>•  TFSA vs RRSP — after-tax comparison capped at your real room, with a plain-English verdict.</t>
        </is>
      </c>
    </row>
    <row r="9">
      <c r="B9" s="5" t="inlineStr">
        <is>
          <t>•  Projection — 30-year contribution and growth schedule with a chart.</t>
        </is>
      </c>
    </row>
    <row r="11">
      <c r="B11" s="4" t="inlineStr">
        <is>
          <t>HOW TO USE IT</t>
        </is>
      </c>
    </row>
    <row r="12">
      <c r="B12" s="5" t="inlineStr">
        <is>
          <t>1.  Fill in the yellow cells on the Your Numbers tab — that is the only typing you do.</t>
        </is>
      </c>
    </row>
    <row r="13">
      <c r="B13" s="5" t="inlineStr">
        <is>
          <t>2.  Open TFSA Room: room builds from the later of the year you turned 18 and the year you became a resident.</t>
        </is>
      </c>
    </row>
    <row r="14">
      <c r="B14" s="5" t="inlineStr">
        <is>
          <t>3.  Open RRSP Room: today's room comes straight off your CRA notice; next year's is 18% of last year's income.</t>
        </is>
      </c>
    </row>
    <row r="15">
      <c r="B15" s="5" t="inlineStr">
        <is>
          <t>4.  Open TFSA vs RRSP for the after-tax answer — capped at the room you actually have.</t>
        </is>
      </c>
    </row>
    <row r="16">
      <c r="B16" s="5" t="inlineStr">
        <is>
          <t>5.  Use Projection to see what steady contributions turn into over your time horizon.</t>
        </is>
      </c>
    </row>
    <row r="18">
      <c r="B18" s="4" t="inlineStr">
        <is>
          <t>COLOUR KEY</t>
        </is>
      </c>
    </row>
    <row r="19">
      <c r="B19" s="6" t="inlineStr">
        <is>
          <t>Yellow cells = you type here.</t>
        </is>
      </c>
    </row>
    <row r="20">
      <c r="B20" s="7" t="inlineStr">
        <is>
          <t>Grey cells = formulas. Do not overwrite them.</t>
        </is>
      </c>
    </row>
    <row r="22" ht="46" customHeight="1">
      <c r="B22" s="8" t="inlineStr">
        <is>
          <t>LICENSE: Single-user personal/business licence. You may use and edit this file for yourself or your own business. You may NOT resell, redistribute, share, or publish this file or any edited version of it. All rights reserved.</t>
        </is>
      </c>
    </row>
    <row r="23" ht="46" customHeight="1">
      <c r="B23" s="8" t="inlineStr">
        <is>
          <t>DISCLAIMER: This template is an educational planning tool only. It is not financial, tax, investment, or legal advice. Figures such as contribution limits and tax rates change — always confirm current numbers with the CRA or a licensed advisor before acting on any output.</t>
        </is>
      </c>
    </row>
    <row r="25">
      <c r="B25" s="9" t="inlineStr">
        <is>
          <t>Created by Kartik Joshi, MBA — Financial Analyst &amp; Banking Professional</t>
        </is>
      </c>
    </row>
    <row r="26">
      <c r="B26" s="10" t="inlineStr">
        <is>
          <t>Questions or a problem with the file? Message me through Etsy and I will help.</t>
        </is>
      </c>
    </row>
  </sheetData>
  <pageMargins left="0.75" right="0.75" top="1" bottom="1" header="0.5" footer="0.5"/>
</worksheet>
</file>

<file path=xl/worksheets/sheet2.xml><?xml version="1.0" encoding="utf-8"?>
<worksheet xmlns="http://schemas.openxmlformats.org/spreadsheetml/2006/main">
  <sheetPr>
    <tabColor rgb="0000B4A6"/>
    <outlinePr summaryBelow="1" summaryRight="1"/>
    <pageSetUpPr/>
  </sheetPr>
  <dimension ref="A1:E33"/>
  <sheetViews>
    <sheetView showGridLines="0" workbookViewId="0">
      <selection activeCell="A1" sqref="A1"/>
    </sheetView>
  </sheetViews>
  <sheetFormatPr baseColWidth="8" defaultRowHeight="15"/>
  <cols>
    <col width="56" customWidth="1" min="1" max="1"/>
    <col width="18" customWidth="1" min="2" max="2"/>
  </cols>
  <sheetData>
    <row r="1" ht="30" customHeight="1">
      <c r="A1" s="1" t="inlineStr">
        <is>
          <t>Your Numbers</t>
        </is>
      </c>
      <c r="B1" s="2" t="n"/>
      <c r="C1" s="2" t="n"/>
      <c r="D1" s="2" t="n"/>
      <c r="E1" s="2" t="n"/>
    </row>
    <row r="2" ht="18" customHeight="1">
      <c r="A2" s="3" t="inlineStr">
        <is>
          <t>Fill in the yellow cells. Everything else calculates.</t>
        </is>
      </c>
      <c r="B2" s="2" t="n"/>
      <c r="C2" s="2" t="n"/>
      <c r="D2" s="2" t="n"/>
      <c r="E2" s="2" t="n"/>
    </row>
    <row r="4" ht="20" customHeight="1">
      <c r="A4" s="11" t="inlineStr">
        <is>
          <t>ABOUT YOU</t>
        </is>
      </c>
      <c r="B4" s="12" t="n"/>
      <c r="C4" s="12" t="n"/>
      <c r="D4" s="12" t="n"/>
      <c r="E4" s="12" t="n"/>
    </row>
    <row r="5">
      <c r="A5" s="13" t="inlineStr">
        <is>
          <t>Your name</t>
        </is>
      </c>
      <c r="B5" s="14" t="inlineStr"/>
    </row>
    <row r="6">
      <c r="A6" s="13" t="inlineStr">
        <is>
          <t>Current age</t>
        </is>
      </c>
      <c r="B6" s="15" t="n">
        <v>30</v>
      </c>
    </row>
    <row r="7">
      <c r="A7" s="13" t="inlineStr">
        <is>
          <t>Year you turned 18</t>
        </is>
      </c>
      <c r="B7" s="15" t="n">
        <v>2013</v>
      </c>
    </row>
    <row r="8">
      <c r="A8" s="13" t="inlineStr">
        <is>
          <t>Year you became a Canadian resident</t>
        </is>
      </c>
      <c r="B8" s="15" t="n">
        <v>2013</v>
      </c>
    </row>
    <row r="9">
      <c r="A9" s="13" t="inlineStr">
        <is>
          <t>Planning year</t>
        </is>
      </c>
      <c r="B9" s="15" t="n">
        <v>2026</v>
      </c>
    </row>
    <row r="10">
      <c r="A10" s="13" t="inlineStr">
        <is>
          <t>Province / territory</t>
        </is>
      </c>
      <c r="B10" s="14" t="inlineStr">
        <is>
          <t>Ontario</t>
        </is>
      </c>
    </row>
    <row r="11">
      <c r="A11" s="16" t="inlineStr">
        <is>
          <t>TFSA room starts in the LATER of the year you turned 18 and the year you became a Canadian resident.</t>
        </is>
      </c>
    </row>
    <row r="12">
      <c r="A12" s="16" t="inlineStr">
        <is>
          <t>If you were born in Canada, put the same year in both boxes.</t>
        </is>
      </c>
    </row>
    <row r="14" ht="20" customHeight="1">
      <c r="A14" s="11" t="inlineStr">
        <is>
          <t>INCOME &amp; TAX</t>
        </is>
      </c>
      <c r="B14" s="12" t="n"/>
      <c r="C14" s="12" t="n"/>
      <c r="D14" s="12" t="n"/>
      <c r="E14" s="12" t="n"/>
    </row>
    <row r="15">
      <c r="A15" s="13" t="inlineStr">
        <is>
          <t>Earned income LAST year (employment + net self-employment)</t>
        </is>
      </c>
      <c r="B15" s="17" t="n">
        <v>78000</v>
      </c>
    </row>
    <row r="16">
      <c r="A16" s="13" t="inlineStr">
        <is>
          <t>Marginal tax rate NOW (combined fed + prov)</t>
        </is>
      </c>
      <c r="B16" s="18" t="n">
        <v>0.2965</v>
      </c>
    </row>
    <row r="17">
      <c r="A17" s="13" t="inlineStr">
        <is>
          <t>Expected marginal tax rate IN RETIREMENT</t>
        </is>
      </c>
      <c r="B17" s="18" t="n">
        <v>0.2005</v>
      </c>
    </row>
    <row r="18">
      <c r="A18" s="13" t="inlineStr">
        <is>
          <t>Pension adjustment last year (box 52 of your T4)</t>
        </is>
      </c>
      <c r="B18" s="17" t="n">
        <v>0</v>
      </c>
    </row>
    <row r="19">
      <c r="A19" s="16" t="inlineStr">
        <is>
          <t>RRSP room is earned on LAST year's income and becomes available THIS year — that is why last year's figure is what belongs here.</t>
        </is>
      </c>
    </row>
    <row r="20">
      <c r="A20" s="16" t="inlineStr">
        <is>
          <t>Marginal rate = the tax you pay on your NEXT dollar of income, not your average rate.</t>
        </is>
      </c>
    </row>
    <row r="22" ht="20" customHeight="1">
      <c r="A22" s="11" t="inlineStr">
        <is>
          <t>WHAT YOU HAVE ALREADY</t>
        </is>
      </c>
      <c r="B22" s="12" t="n"/>
      <c r="C22" s="12" t="n"/>
      <c r="D22" s="12" t="n"/>
      <c r="E22" s="12" t="n"/>
    </row>
    <row r="23">
      <c r="A23" s="13" t="inlineStr">
        <is>
          <t>Total TFSA contributions made to date</t>
        </is>
      </c>
      <c r="B23" s="17" t="n">
        <v>21000</v>
      </c>
    </row>
    <row r="24">
      <c r="A24" s="13" t="inlineStr">
        <is>
          <t>Total TFSA withdrawals in PREVIOUS years</t>
        </is>
      </c>
      <c r="B24" s="17" t="n">
        <v>0</v>
      </c>
    </row>
    <row r="25">
      <c r="A25" s="13" t="inlineStr">
        <is>
          <t>RRSP deduction limit for this year (from your CRA notice)</t>
        </is>
      </c>
      <c r="B25" s="17" t="n">
        <v>44000</v>
      </c>
    </row>
    <row r="26">
      <c r="A26" s="13" t="inlineStr">
        <is>
          <t>RRSP contributions already made this year</t>
        </is>
      </c>
      <c r="B26" s="17" t="n">
        <v>3000</v>
      </c>
    </row>
    <row r="27">
      <c r="A27" s="16" t="inlineStr">
        <is>
          <t>Your CRA My Account notice of assessment is the authoritative source. The RRSP deduction limit it shows ALREADY includes your carry-forward — do not add anything to it.</t>
        </is>
      </c>
    </row>
    <row r="30" ht="20" customHeight="1">
      <c r="A30" s="11" t="inlineStr">
        <is>
          <t>PLANNING ASSUMPTIONS</t>
        </is>
      </c>
      <c r="B30" s="12" t="n"/>
      <c r="C30" s="12" t="n"/>
      <c r="D30" s="12" t="n"/>
      <c r="E30" s="12" t="n"/>
    </row>
    <row r="31">
      <c r="A31" s="13" t="inlineStr">
        <is>
          <t>Amount you can save per year</t>
        </is>
      </c>
      <c r="B31" s="17" t="n">
        <v>12000</v>
      </c>
    </row>
    <row r="32">
      <c r="A32" s="13" t="inlineStr">
        <is>
          <t>Expected annual investment return</t>
        </is>
      </c>
      <c r="B32" s="18" t="n">
        <v>0.06</v>
      </c>
    </row>
    <row r="33">
      <c r="A33" s="13" t="inlineStr">
        <is>
          <t>Years until you draw the money</t>
        </is>
      </c>
      <c r="B33" s="15" t="n">
        <v>25</v>
      </c>
    </row>
  </sheetData>
  <pageMargins left="0.75" right="0.75" top="1" bottom="1" header="0.5" footer="0.5"/>
</worksheet>
</file>

<file path=xl/worksheets/sheet3.xml><?xml version="1.0" encoding="utf-8"?>
<worksheet xmlns="http://schemas.openxmlformats.org/spreadsheetml/2006/main">
  <sheetPr>
    <tabColor rgb="0000B4A6"/>
    <outlinePr summaryBelow="1" summaryRight="1"/>
    <pageSetUpPr/>
  </sheetPr>
  <dimension ref="A1:D32"/>
  <sheetViews>
    <sheetView showGridLines="0" workbookViewId="0">
      <selection activeCell="A1" sqref="A1"/>
    </sheetView>
  </sheetViews>
  <sheetFormatPr baseColWidth="8" defaultRowHeight="15"/>
  <cols>
    <col width="12" customWidth="1" min="1" max="1"/>
    <col width="22" customWidth="1" min="2" max="2"/>
    <col width="18" customWidth="1" min="3" max="3"/>
    <col width="16" customWidth="1" min="4" max="4"/>
  </cols>
  <sheetData>
    <row r="1" ht="30" customHeight="1">
      <c r="A1" s="1" t="inlineStr">
        <is>
          <t>TFSA Room</t>
        </is>
      </c>
      <c r="B1" s="2" t="n"/>
      <c r="C1" s="2" t="n"/>
      <c r="D1" s="2" t="n"/>
    </row>
    <row r="2" ht="18" customHeight="1">
      <c r="A2" s="3" t="inlineStr">
        <is>
          <t>Year-by-year room, counted from the later of age 18 and Canadian residency.</t>
        </is>
      </c>
      <c r="B2" s="2" t="n"/>
      <c r="C2" s="2" t="n"/>
      <c r="D2" s="2" t="n"/>
    </row>
    <row r="4" ht="28" customHeight="1">
      <c r="A4" s="19" t="inlineStr">
        <is>
          <t>Year</t>
        </is>
      </c>
      <c r="B4" s="19" t="inlineStr">
        <is>
          <t>Annual TFSA limit</t>
        </is>
      </c>
      <c r="C4" s="19" t="inlineStr">
        <is>
          <t>Counts for you?</t>
        </is>
      </c>
      <c r="D4" s="19" t="inlineStr">
        <is>
          <t>Room earned</t>
        </is>
      </c>
    </row>
    <row r="5">
      <c r="A5" s="20" t="n">
        <v>2009</v>
      </c>
      <c r="B5" s="21" t="n">
        <v>5000</v>
      </c>
      <c r="C5" s="22">
        <f>IF(AND(A5&gt;=MAX('Your Numbers'!$B$7,'Your Numbers'!$B$8),A5&lt;='Your Numbers'!$B$9),"Yes","No")</f>
        <v/>
      </c>
      <c r="D5" s="23">
        <f>IF(C5="Yes",B5,0)</f>
        <v/>
      </c>
    </row>
    <row r="6">
      <c r="A6" s="20" t="n">
        <v>2010</v>
      </c>
      <c r="B6" s="21" t="n">
        <v>5000</v>
      </c>
      <c r="C6" s="22">
        <f>IF(AND(A6&gt;=MAX('Your Numbers'!$B$7,'Your Numbers'!$B$8),A6&lt;='Your Numbers'!$B$9),"Yes","No")</f>
        <v/>
      </c>
      <c r="D6" s="23">
        <f>IF(C6="Yes",B6,0)</f>
        <v/>
      </c>
    </row>
    <row r="7">
      <c r="A7" s="20" t="n">
        <v>2011</v>
      </c>
      <c r="B7" s="21" t="n">
        <v>5000</v>
      </c>
      <c r="C7" s="22">
        <f>IF(AND(A7&gt;=MAX('Your Numbers'!$B$7,'Your Numbers'!$B$8),A7&lt;='Your Numbers'!$B$9),"Yes","No")</f>
        <v/>
      </c>
      <c r="D7" s="23">
        <f>IF(C7="Yes",B7,0)</f>
        <v/>
      </c>
    </row>
    <row r="8">
      <c r="A8" s="20" t="n">
        <v>2012</v>
      </c>
      <c r="B8" s="21" t="n">
        <v>5000</v>
      </c>
      <c r="C8" s="22">
        <f>IF(AND(A8&gt;=MAX('Your Numbers'!$B$7,'Your Numbers'!$B$8),A8&lt;='Your Numbers'!$B$9),"Yes","No")</f>
        <v/>
      </c>
      <c r="D8" s="23">
        <f>IF(C8="Yes",B8,0)</f>
        <v/>
      </c>
    </row>
    <row r="9">
      <c r="A9" s="20" t="n">
        <v>2013</v>
      </c>
      <c r="B9" s="21" t="n">
        <v>5500</v>
      </c>
      <c r="C9" s="22">
        <f>IF(AND(A9&gt;=MAX('Your Numbers'!$B$7,'Your Numbers'!$B$8),A9&lt;='Your Numbers'!$B$9),"Yes","No")</f>
        <v/>
      </c>
      <c r="D9" s="23">
        <f>IF(C9="Yes",B9,0)</f>
        <v/>
      </c>
    </row>
    <row r="10">
      <c r="A10" s="20" t="n">
        <v>2014</v>
      </c>
      <c r="B10" s="21" t="n">
        <v>5500</v>
      </c>
      <c r="C10" s="22">
        <f>IF(AND(A10&gt;=MAX('Your Numbers'!$B$7,'Your Numbers'!$B$8),A10&lt;='Your Numbers'!$B$9),"Yes","No")</f>
        <v/>
      </c>
      <c r="D10" s="23">
        <f>IF(C10="Yes",B10,0)</f>
        <v/>
      </c>
    </row>
    <row r="11">
      <c r="A11" s="20" t="n">
        <v>2015</v>
      </c>
      <c r="B11" s="21" t="n">
        <v>10000</v>
      </c>
      <c r="C11" s="22">
        <f>IF(AND(A11&gt;=MAX('Your Numbers'!$B$7,'Your Numbers'!$B$8),A11&lt;='Your Numbers'!$B$9),"Yes","No")</f>
        <v/>
      </c>
      <c r="D11" s="23">
        <f>IF(C11="Yes",B11,0)</f>
        <v/>
      </c>
    </row>
    <row r="12">
      <c r="A12" s="20" t="n">
        <v>2016</v>
      </c>
      <c r="B12" s="21" t="n">
        <v>5500</v>
      </c>
      <c r="C12" s="22">
        <f>IF(AND(A12&gt;=MAX('Your Numbers'!$B$7,'Your Numbers'!$B$8),A12&lt;='Your Numbers'!$B$9),"Yes","No")</f>
        <v/>
      </c>
      <c r="D12" s="23">
        <f>IF(C12="Yes",B12,0)</f>
        <v/>
      </c>
    </row>
    <row r="13">
      <c r="A13" s="20" t="n">
        <v>2017</v>
      </c>
      <c r="B13" s="21" t="n">
        <v>5500</v>
      </c>
      <c r="C13" s="22">
        <f>IF(AND(A13&gt;=MAX('Your Numbers'!$B$7,'Your Numbers'!$B$8),A13&lt;='Your Numbers'!$B$9),"Yes","No")</f>
        <v/>
      </c>
      <c r="D13" s="23">
        <f>IF(C13="Yes",B13,0)</f>
        <v/>
      </c>
    </row>
    <row r="14">
      <c r="A14" s="20" t="n">
        <v>2018</v>
      </c>
      <c r="B14" s="21" t="n">
        <v>5500</v>
      </c>
      <c r="C14" s="22">
        <f>IF(AND(A14&gt;=MAX('Your Numbers'!$B$7,'Your Numbers'!$B$8),A14&lt;='Your Numbers'!$B$9),"Yes","No")</f>
        <v/>
      </c>
      <c r="D14" s="23">
        <f>IF(C14="Yes",B14,0)</f>
        <v/>
      </c>
    </row>
    <row r="15">
      <c r="A15" s="20" t="n">
        <v>2019</v>
      </c>
      <c r="B15" s="21" t="n">
        <v>6000</v>
      </c>
      <c r="C15" s="22">
        <f>IF(AND(A15&gt;=MAX('Your Numbers'!$B$7,'Your Numbers'!$B$8),A15&lt;='Your Numbers'!$B$9),"Yes","No")</f>
        <v/>
      </c>
      <c r="D15" s="23">
        <f>IF(C15="Yes",B15,0)</f>
        <v/>
      </c>
    </row>
    <row r="16">
      <c r="A16" s="20" t="n">
        <v>2020</v>
      </c>
      <c r="B16" s="21" t="n">
        <v>6000</v>
      </c>
      <c r="C16" s="22">
        <f>IF(AND(A16&gt;=MAX('Your Numbers'!$B$7,'Your Numbers'!$B$8),A16&lt;='Your Numbers'!$B$9),"Yes","No")</f>
        <v/>
      </c>
      <c r="D16" s="23">
        <f>IF(C16="Yes",B16,0)</f>
        <v/>
      </c>
    </row>
    <row r="17">
      <c r="A17" s="20" t="n">
        <v>2021</v>
      </c>
      <c r="B17" s="21" t="n">
        <v>6000</v>
      </c>
      <c r="C17" s="22">
        <f>IF(AND(A17&gt;=MAX('Your Numbers'!$B$7,'Your Numbers'!$B$8),A17&lt;='Your Numbers'!$B$9),"Yes","No")</f>
        <v/>
      </c>
      <c r="D17" s="23">
        <f>IF(C17="Yes",B17,0)</f>
        <v/>
      </c>
    </row>
    <row r="18">
      <c r="A18" s="20" t="n">
        <v>2022</v>
      </c>
      <c r="B18" s="21" t="n">
        <v>6000</v>
      </c>
      <c r="C18" s="22">
        <f>IF(AND(A18&gt;=MAX('Your Numbers'!$B$7,'Your Numbers'!$B$8),A18&lt;='Your Numbers'!$B$9),"Yes","No")</f>
        <v/>
      </c>
      <c r="D18" s="23">
        <f>IF(C18="Yes",B18,0)</f>
        <v/>
      </c>
    </row>
    <row r="19">
      <c r="A19" s="20" t="n">
        <v>2023</v>
      </c>
      <c r="B19" s="21" t="n">
        <v>6500</v>
      </c>
      <c r="C19" s="22">
        <f>IF(AND(A19&gt;=MAX('Your Numbers'!$B$7,'Your Numbers'!$B$8),A19&lt;='Your Numbers'!$B$9),"Yes","No")</f>
        <v/>
      </c>
      <c r="D19" s="23">
        <f>IF(C19="Yes",B19,0)</f>
        <v/>
      </c>
    </row>
    <row r="20">
      <c r="A20" s="20" t="n">
        <v>2024</v>
      </c>
      <c r="B20" s="21" t="n">
        <v>7000</v>
      </c>
      <c r="C20" s="22">
        <f>IF(AND(A20&gt;=MAX('Your Numbers'!$B$7,'Your Numbers'!$B$8),A20&lt;='Your Numbers'!$B$9),"Yes","No")</f>
        <v/>
      </c>
      <c r="D20" s="23">
        <f>IF(C20="Yes",B20,0)</f>
        <v/>
      </c>
    </row>
    <row r="21">
      <c r="A21" s="20" t="n">
        <v>2025</v>
      </c>
      <c r="B21" s="21" t="n">
        <v>7000</v>
      </c>
      <c r="C21" s="22">
        <f>IF(AND(A21&gt;=MAX('Your Numbers'!$B$7,'Your Numbers'!$B$8),A21&lt;='Your Numbers'!$B$9),"Yes","No")</f>
        <v/>
      </c>
      <c r="D21" s="23">
        <f>IF(C21="Yes",B21,0)</f>
        <v/>
      </c>
    </row>
    <row r="22">
      <c r="A22" s="20" t="n">
        <v>2026</v>
      </c>
      <c r="B22" s="21" t="n">
        <v>7000</v>
      </c>
      <c r="C22" s="22">
        <f>IF(AND(A22&gt;=MAX('Your Numbers'!$B$7,'Your Numbers'!$B$8),A22&lt;='Your Numbers'!$B$9),"Yes","No")</f>
        <v/>
      </c>
      <c r="D22" s="23">
        <f>IF(C22="Yes",B22,0)</f>
        <v/>
      </c>
    </row>
    <row r="24">
      <c r="A24" s="13" t="inlineStr">
        <is>
          <t>Total room earned</t>
        </is>
      </c>
      <c r="B24" s="24">
        <f>SUM(D5:D22)</f>
        <v/>
      </c>
    </row>
    <row r="25">
      <c r="A25" s="13" t="inlineStr">
        <is>
          <t>Less: contributions made</t>
        </is>
      </c>
      <c r="B25" s="23">
        <f>'Your Numbers'!$B$23</f>
        <v/>
      </c>
    </row>
    <row r="26">
      <c r="A26" s="13" t="inlineStr">
        <is>
          <t>Add back: prior-year withdrawals</t>
        </is>
      </c>
      <c r="B26" s="23">
        <f>'Your Numbers'!$B$24</f>
        <v/>
      </c>
    </row>
    <row r="27">
      <c r="A27" s="4" t="inlineStr">
        <is>
          <t>ROOM AVAILABLE TODAY</t>
        </is>
      </c>
      <c r="B27" s="24">
        <f>MAX(0,B24-B25+B26)</f>
        <v/>
      </c>
    </row>
    <row r="29">
      <c r="A29" s="16" t="inlineStr">
        <is>
          <t>2026 limit shown as $7,000 — confirm on canada.ca before you rely on it; the limit is indexed each year.</t>
        </is>
      </c>
    </row>
    <row r="30">
      <c r="A30" s="16" t="inlineStr">
        <is>
          <t>Money withdrawn from a TFSA comes back as room on January 1 of the FOLLOWING year, never the same year.</t>
        </is>
      </c>
    </row>
    <row r="31">
      <c r="A31" s="16" t="inlineStr">
        <is>
          <t>Over-contributing costs 1% of the excess per month. Check CRA My Account if you are close to the line.</t>
        </is>
      </c>
    </row>
    <row r="32">
      <c r="A32" s="16" t="inlineStr">
        <is>
          <t>Newcomers: room does NOT build for years you were not a Canadian resident, even if you were over 18.</t>
        </is>
      </c>
    </row>
  </sheetData>
  <pageMargins left="0.75" right="0.75" top="1" bottom="1" header="0.5" footer="0.5"/>
</worksheet>
</file>

<file path=xl/worksheets/sheet4.xml><?xml version="1.0" encoding="utf-8"?>
<worksheet xmlns="http://schemas.openxmlformats.org/spreadsheetml/2006/main">
  <sheetPr>
    <tabColor rgb="0000B4A6"/>
    <outlinePr summaryBelow="1" summaryRight="1"/>
    <pageSetUpPr/>
  </sheetPr>
  <dimension ref="A1:D32"/>
  <sheetViews>
    <sheetView showGridLines="0" workbookViewId="0">
      <selection activeCell="A1" sqref="A1"/>
    </sheetView>
  </sheetViews>
  <sheetFormatPr baseColWidth="8" defaultRowHeight="15"/>
  <cols>
    <col width="54" customWidth="1" min="1" max="1"/>
    <col width="20" customWidth="1" min="2" max="2"/>
  </cols>
  <sheetData>
    <row r="1" ht="30" customHeight="1">
      <c r="A1" s="1" t="inlineStr">
        <is>
          <t>RRSP Room</t>
        </is>
      </c>
      <c r="B1" s="2" t="n"/>
      <c r="C1" s="2" t="n"/>
      <c r="D1" s="2" t="n"/>
    </row>
    <row r="2" ht="18" customHeight="1">
      <c r="A2" s="3" t="inlineStr">
        <is>
          <t>What you can contribute today, and what next year's room will be.</t>
        </is>
      </c>
      <c r="B2" s="2" t="n"/>
      <c r="C2" s="2" t="n"/>
      <c r="D2" s="2" t="n"/>
    </row>
    <row r="4" ht="28" customHeight="1">
      <c r="A4" s="19" t="inlineStr">
        <is>
          <t>Year</t>
        </is>
      </c>
      <c r="B4" s="19" t="inlineStr">
        <is>
          <t>Annual RRSP dollar limit</t>
        </is>
      </c>
    </row>
    <row r="5">
      <c r="A5" s="20" t="n">
        <v>2019</v>
      </c>
      <c r="B5" s="21" t="n">
        <v>26500</v>
      </c>
    </row>
    <row r="6">
      <c r="A6" s="20" t="n">
        <v>2020</v>
      </c>
      <c r="B6" s="21" t="n">
        <v>27230</v>
      </c>
    </row>
    <row r="7">
      <c r="A7" s="20" t="n">
        <v>2021</v>
      </c>
      <c r="B7" s="21" t="n">
        <v>27830</v>
      </c>
    </row>
    <row r="8">
      <c r="A8" s="20" t="n">
        <v>2022</v>
      </c>
      <c r="B8" s="21" t="n">
        <v>29210</v>
      </c>
    </row>
    <row r="9">
      <c r="A9" s="20" t="n">
        <v>2023</v>
      </c>
      <c r="B9" s="21" t="n">
        <v>30780</v>
      </c>
    </row>
    <row r="10">
      <c r="A10" s="20" t="n">
        <v>2024</v>
      </c>
      <c r="B10" s="21" t="n">
        <v>31560</v>
      </c>
    </row>
    <row r="11">
      <c r="A11" s="20" t="n">
        <v>2025</v>
      </c>
      <c r="B11" s="21" t="n">
        <v>32490</v>
      </c>
    </row>
    <row r="12">
      <c r="A12" s="20" t="n">
        <v>2026</v>
      </c>
      <c r="B12" s="21" t="n">
        <v>33810</v>
      </c>
    </row>
    <row r="13">
      <c r="A13" s="20" t="n">
        <v>2027</v>
      </c>
      <c r="B13" s="21" t="n">
        <v>35130</v>
      </c>
    </row>
    <row r="15" ht="20" customHeight="1">
      <c r="A15" s="11" t="inlineStr">
        <is>
          <t>ROOM AVAILABLE TO YOU TODAY</t>
        </is>
      </c>
      <c r="B15" s="12" t="n"/>
      <c r="C15" s="12" t="n"/>
      <c r="D15" s="12" t="n"/>
    </row>
    <row r="16">
      <c r="A16" s="13" t="inlineStr">
        <is>
          <t>RRSP deduction limit for this year (from your CRA notice)</t>
        </is>
      </c>
      <c r="B16" s="23">
        <f>'Your Numbers'!$B$25</f>
        <v/>
      </c>
    </row>
    <row r="17">
      <c r="A17" s="13" t="inlineStr">
        <is>
          <t>Less: contributions already made this year</t>
        </is>
      </c>
      <c r="B17" s="23">
        <f>'Your Numbers'!$B$26</f>
        <v/>
      </c>
    </row>
    <row r="18">
      <c r="A18" s="4" t="inlineStr">
        <is>
          <t>ROOM AVAILABLE TODAY</t>
        </is>
      </c>
      <c r="B18" s="24">
        <f>MAX(0,B16-B17)</f>
        <v/>
      </c>
    </row>
    <row r="19">
      <c r="A19" s="13" t="inlineStr">
        <is>
          <t>Tax refund if you contribute it all</t>
        </is>
      </c>
      <c r="B19" s="24">
        <f>B18*'Your Numbers'!$B$16</f>
        <v/>
      </c>
    </row>
    <row r="21">
      <c r="A21" s="16" t="inlineStr">
        <is>
          <t>The deduction limit on your notice of assessment ALREADY includes every unused dollar carried forward. Adding this year's new room to it would double-count.</t>
        </is>
      </c>
    </row>
    <row r="23" ht="20" customHeight="1">
      <c r="A23" s="11" t="inlineStr">
        <is>
          <t>ROOM YOU WILL EARN FOR NEXT YEAR</t>
        </is>
      </c>
      <c r="B23" s="12" t="n"/>
      <c r="C23" s="12" t="n"/>
      <c r="D23" s="12" t="n"/>
    </row>
    <row r="24">
      <c r="A24" s="13" t="inlineStr">
        <is>
          <t>18% of last year's earned income</t>
        </is>
      </c>
      <c r="B24" s="23">
        <f>0.18*'Your Numbers'!$B$15</f>
        <v/>
      </c>
    </row>
    <row r="25">
      <c r="A25" s="13" t="inlineStr">
        <is>
          <t>Dollar limit for next year</t>
        </is>
      </c>
      <c r="B25" s="23">
        <f>IFERROR(VLOOKUP('Your Numbers'!$B$9+1,A5:B13,2,FALSE),MAX(B5:B13))</f>
        <v/>
      </c>
    </row>
    <row r="26">
      <c r="A26" s="13" t="inlineStr">
        <is>
          <t>New room earned (lesser of the two)</t>
        </is>
      </c>
      <c r="B26" s="23">
        <f>MIN(B24,B25)</f>
        <v/>
      </c>
    </row>
    <row r="27">
      <c r="A27" s="13" t="inlineStr">
        <is>
          <t>Less: pension adjustment</t>
        </is>
      </c>
      <c r="B27" s="23">
        <f>'Your Numbers'!$B$18</f>
        <v/>
      </c>
    </row>
    <row r="28">
      <c r="A28" s="4" t="inlineStr">
        <is>
          <t>ROOM ADDED FOR NEXT YEAR</t>
        </is>
      </c>
      <c r="B28" s="24">
        <f>MAX(0,B26-B27)</f>
        <v/>
      </c>
    </row>
    <row r="30">
      <c r="A30" s="16" t="inlineStr">
        <is>
          <t>Contributions earn room on the PREVIOUS year's income: 18% of what you earned last year is what became available this year.</t>
        </is>
      </c>
    </row>
    <row r="31">
      <c r="A31" s="16" t="inlineStr">
        <is>
          <t>Dollar limits are as published by CRA; later years are indexed — verify before filing.</t>
        </is>
      </c>
    </row>
    <row r="32">
      <c r="A32" s="16" t="inlineStr">
        <is>
          <t>You have a $2,000 lifetime over-contribution cushion, but it is not deductible. Do not lean on it.</t>
        </is>
      </c>
    </row>
  </sheetData>
  <pageMargins left="0.75" right="0.75" top="1" bottom="1" header="0.5" footer="0.5"/>
</worksheet>
</file>

<file path=xl/worksheets/sheet5.xml><?xml version="1.0" encoding="utf-8"?>
<worksheet xmlns="http://schemas.openxmlformats.org/spreadsheetml/2006/main">
  <sheetPr>
    <tabColor rgb="0000B4A6"/>
    <outlinePr summaryBelow="1" summaryRight="1"/>
    <pageSetUpPr/>
  </sheetPr>
  <dimension ref="A1:F23"/>
  <sheetViews>
    <sheetView showGridLines="0" workbookViewId="0">
      <selection activeCell="A1" sqref="A1"/>
    </sheetView>
  </sheetViews>
  <sheetFormatPr baseColWidth="8" defaultRowHeight="15"/>
  <cols>
    <col width="46" customWidth="1" min="1" max="1"/>
    <col width="18" customWidth="1" min="2" max="2"/>
    <col width="18" customWidth="1" min="3" max="3"/>
    <col width="52" customWidth="1" min="4" max="4"/>
  </cols>
  <sheetData>
    <row r="1" ht="30" customHeight="1">
      <c r="A1" s="1" t="inlineStr">
        <is>
          <t>TFSA vs RRSP</t>
        </is>
      </c>
      <c r="B1" s="2" t="n"/>
      <c r="C1" s="2" t="n"/>
      <c r="D1" s="2" t="n"/>
      <c r="E1" s="2" t="n"/>
      <c r="F1" s="2" t="n"/>
    </row>
    <row r="2" ht="18" customHeight="1">
      <c r="A2" s="3" t="inlineStr">
        <is>
          <t>Same dollars, both accounts, side by side after tax — capped at the room you actually have.</t>
        </is>
      </c>
      <c r="B2" s="2" t="n"/>
      <c r="C2" s="2" t="n"/>
      <c r="D2" s="2" t="n"/>
      <c r="E2" s="2" t="n"/>
      <c r="F2" s="2" t="n"/>
    </row>
    <row r="4" ht="20" customHeight="1">
      <c r="A4" s="11" t="inlineStr">
        <is>
          <t>IF YOU PUT THIS YEAR'S SAVINGS IN ONE ACCOUNT</t>
        </is>
      </c>
      <c r="B4" s="12" t="n"/>
      <c r="C4" s="12" t="n"/>
      <c r="D4" s="12" t="n"/>
      <c r="E4" s="12" t="n"/>
      <c r="F4" s="12" t="n"/>
    </row>
    <row r="5" ht="28" customHeight="1">
      <c r="A5" s="19" t="inlineStr"/>
      <c r="B5" s="19" t="inlineStr">
        <is>
          <t>TFSA route</t>
        </is>
      </c>
      <c r="C5" s="19" t="inlineStr">
        <is>
          <t>RRSP route</t>
        </is>
      </c>
      <c r="D5" s="19" t="inlineStr">
        <is>
          <t>What this line means</t>
        </is>
      </c>
    </row>
    <row r="6">
      <c r="A6" s="25" t="inlineStr">
        <is>
          <t>Amount you want to save</t>
        </is>
      </c>
      <c r="B6" s="23">
        <f>'Your Numbers'!$B$31</f>
        <v/>
      </c>
      <c r="C6" s="23">
        <f>'Your Numbers'!$B$31</f>
        <v/>
      </c>
      <c r="D6" s="16" t="inlineStr">
        <is>
          <t>What you told the Your Numbers tab you can put away.</t>
        </is>
      </c>
    </row>
    <row r="7">
      <c r="A7" s="25" t="inlineStr">
        <is>
          <t>Room available in this account</t>
        </is>
      </c>
      <c r="B7" s="23">
        <f>'TFSA Room'!$B$27</f>
        <v/>
      </c>
      <c r="C7" s="23">
        <f>'RRSP Room'!$B$18</f>
        <v/>
      </c>
      <c r="D7" s="16" t="inlineStr">
        <is>
          <t>Pulled from the two room tabs. This is the ceiling.</t>
        </is>
      </c>
    </row>
    <row r="8">
      <c r="A8" s="25" t="inlineStr">
        <is>
          <t>Amount actually contributed</t>
        </is>
      </c>
      <c r="B8" s="23">
        <f>MIN(B6,B7)</f>
        <v/>
      </c>
      <c r="C8" s="23">
        <f>MIN(C6,C7)</f>
        <v/>
      </c>
      <c r="D8" s="16" t="inlineStr">
        <is>
          <t>Capped at your room — the planner will not model an over-contribution.</t>
        </is>
      </c>
    </row>
    <row r="9">
      <c r="A9" s="25" t="inlineStr">
        <is>
          <t>Immediate tax refund</t>
        </is>
      </c>
      <c r="B9" s="23" t="inlineStr">
        <is>
          <t>0</t>
        </is>
      </c>
      <c r="C9" s="23">
        <f>C8*'Your Numbers'!$B$16</f>
        <v/>
      </c>
      <c r="D9" s="16" t="inlineStr">
        <is>
          <t>RRSP contributions are deductible; TFSA contributions are not.</t>
        </is>
      </c>
    </row>
    <row r="10">
      <c r="A10" s="25" t="inlineStr">
        <is>
          <t>Refund reinvested at the same return</t>
        </is>
      </c>
      <c r="B10" s="23" t="inlineStr">
        <is>
          <t>0</t>
        </is>
      </c>
      <c r="C10" s="23">
        <f>C9*(1+'Your Numbers'!$B$32)^'Your Numbers'!$B$33</f>
        <v/>
      </c>
      <c r="D10" s="16" t="inlineStr">
        <is>
          <t>Only counts if you actually invest the refund.</t>
        </is>
      </c>
    </row>
    <row r="11">
      <c r="A11" s="25" t="inlineStr">
        <is>
          <t>Value at the end of the horizon</t>
        </is>
      </c>
      <c r="B11" s="23">
        <f>B8*(1+'Your Numbers'!$B$32)^'Your Numbers'!$B$33</f>
        <v/>
      </c>
      <c r="C11" s="23">
        <f>C8*(1+'Your Numbers'!$B$32)^'Your Numbers'!$B$33</f>
        <v/>
      </c>
      <c r="D11" s="16" t="inlineStr">
        <is>
          <t>Growth before any tax on withdrawal.</t>
        </is>
      </c>
    </row>
    <row r="12">
      <c r="A12" s="25" t="inlineStr">
        <is>
          <t>Tax on withdrawal</t>
        </is>
      </c>
      <c r="B12" s="23" t="inlineStr">
        <is>
          <t>0</t>
        </is>
      </c>
      <c r="C12" s="23">
        <f>-C11*'Your Numbers'!$B$17</f>
        <v/>
      </c>
      <c r="D12" s="16" t="inlineStr">
        <is>
          <t>RRSP/RRIF withdrawals are fully taxable as income.</t>
        </is>
      </c>
    </row>
    <row r="13">
      <c r="A13" s="25" t="inlineStr">
        <is>
          <t>Refund pot after tax (non-registered, simplified)</t>
        </is>
      </c>
      <c r="B13" s="23" t="inlineStr">
        <is>
          <t>0</t>
        </is>
      </c>
      <c r="C13" s="23">
        <f>C10*(1-'Your Numbers'!$B$17*0.5)</f>
        <v/>
      </c>
      <c r="D13" s="16" t="inlineStr">
        <is>
          <t>Assumes the refund grows in a taxable account.</t>
        </is>
      </c>
    </row>
    <row r="14">
      <c r="A14" s="13" t="inlineStr">
        <is>
          <t>AFTER-TAX VALUE</t>
        </is>
      </c>
      <c r="B14" s="24">
        <f>B11</f>
        <v/>
      </c>
      <c r="C14" s="24">
        <f>C11+C12+C13</f>
        <v/>
      </c>
      <c r="D14" s="16" t="inlineStr">
        <is>
          <t>The number that actually matters.</t>
        </is>
      </c>
    </row>
    <row r="16">
      <c r="A16" s="4" t="inlineStr">
        <is>
          <t>WHICH ONE WINS FOR YOU</t>
        </is>
      </c>
    </row>
    <row r="17" ht="38" customHeight="1">
      <c r="A17" s="26">
        <f>IF(AND('TFSA Room'!$B$27&lt;=0,'RRSP Room'!$B$18&lt;=0),"You have no room left in either account this year. Anything more goes to a non-registered account, or waits for January.",IF('RRSP Room'!$B$18&lt;=0,"TFSA — you have no RRSP room left this year.",IF('TFSA Room'!$B$27&lt;=0,"RRSP — you have no TFSA room left this year.",IF('Your Numbers'!$B$16&gt;'Your Numbers'!$B$17,"RRSP first — you deduct at a higher rate than you will pay on withdrawal."&amp;IF('RRSP Room'!$B$18&lt;'Your Numbers'!$B$31," Your RRSP room runs out before your savings do, so put the remainder in your TFSA.",""),IF('Your Numbers'!$B$16&lt;'Your Numbers'!$B$17,"TFSA first — you would deduct at a low rate now and pay tax at a higher one later."&amp;IF('TFSA Room'!$B$27&lt;'Your Numbers'!$B$31," Your TFSA room runs out before your savings do, so put the remainder in your RRSP.",""),"Close call — your rate now equals your expected rate later, so use the TFSA for its flexibility.")))))</f>
        <v/>
      </c>
      <c r="B17" s="27" t="n"/>
      <c r="C17" s="27" t="n"/>
      <c r="D17" s="28" t="n"/>
    </row>
    <row r="19" ht="20" customHeight="1">
      <c r="A19" s="11" t="inlineStr">
        <is>
          <t>YOUR ROOM, PULLED FROM THE OTHER TABS</t>
        </is>
      </c>
      <c r="B19" s="12" t="n"/>
      <c r="C19" s="12" t="n"/>
      <c r="D19" s="12" t="n"/>
      <c r="E19" s="12" t="n"/>
      <c r="F19" s="12" t="n"/>
    </row>
    <row r="20">
      <c r="A20" s="13" t="inlineStr">
        <is>
          <t>TFSA room available</t>
        </is>
      </c>
      <c r="B20" s="24">
        <f>'TFSA Room'!$B$27</f>
        <v/>
      </c>
    </row>
    <row r="21">
      <c r="A21" s="13" t="inlineStr">
        <is>
          <t>RRSP room available</t>
        </is>
      </c>
      <c r="B21" s="24">
        <f>'RRSP Room'!$B$18</f>
        <v/>
      </c>
    </row>
    <row r="22">
      <c r="A22" s="13" t="inlineStr">
        <is>
          <t>Total room available</t>
        </is>
      </c>
      <c r="B22" s="24">
        <f>B20+B21</f>
        <v/>
      </c>
    </row>
    <row r="23">
      <c r="A23" s="13" t="inlineStr">
        <is>
          <t>Savings with nowhere registered to go</t>
        </is>
      </c>
      <c r="B23" s="24">
        <f>MAX(0,'Your Numbers'!$B$31-B22)</f>
        <v/>
      </c>
    </row>
  </sheetData>
  <mergeCells count="1">
    <mergeCell ref="A17:D17"/>
  </mergeCells>
  <pageMargins left="0.75" right="0.75" top="1" bottom="1" header="0.5" footer="0.5"/>
</worksheet>
</file>

<file path=xl/worksheets/sheet6.xml><?xml version="1.0" encoding="utf-8"?>
<worksheet xmlns="http://schemas.openxmlformats.org/spreadsheetml/2006/main">
  <sheetPr>
    <tabColor rgb="0000B4A6"/>
    <outlinePr summaryBelow="1" summaryRight="1"/>
    <pageSetUpPr/>
  </sheetPr>
  <dimension ref="A1:E34"/>
  <sheetViews>
    <sheetView showGridLines="0" workbookViewId="0">
      <selection activeCell="A1" sqref="A1"/>
    </sheetView>
  </sheetViews>
  <sheetFormatPr baseColWidth="8" defaultRowHeight="15"/>
  <cols>
    <col width="8" customWidth="1" min="1" max="1"/>
    <col width="20" customWidth="1" min="2" max="2"/>
    <col width="22" customWidth="1" min="3" max="3"/>
    <col width="14" customWidth="1" min="4" max="4"/>
    <col width="16" customWidth="1" min="5" max="5"/>
  </cols>
  <sheetData>
    <row r="1" ht="30" customHeight="1">
      <c r="A1" s="1" t="inlineStr">
        <is>
          <t>Projection</t>
        </is>
      </c>
      <c r="B1" s="2" t="n"/>
      <c r="C1" s="2" t="n"/>
      <c r="D1" s="2" t="n"/>
      <c r="E1" s="2" t="n"/>
    </row>
    <row r="2" ht="18" customHeight="1">
      <c r="A2" s="3" t="inlineStr">
        <is>
          <t>What steady contributions look like over time.</t>
        </is>
      </c>
      <c r="B2" s="2" t="n"/>
      <c r="C2" s="2" t="n"/>
      <c r="D2" s="2" t="n"/>
      <c r="E2" s="2" t="n"/>
    </row>
    <row r="4" ht="28" customHeight="1">
      <c r="A4" s="19" t="inlineStr">
        <is>
          <t>Year</t>
        </is>
      </c>
      <c r="B4" s="19" t="inlineStr">
        <is>
          <t>Contributed this year</t>
        </is>
      </c>
      <c r="C4" s="19" t="inlineStr">
        <is>
          <t>Cumulative contributed</t>
        </is>
      </c>
      <c r="D4" s="19" t="inlineStr">
        <is>
          <t>Growth</t>
        </is>
      </c>
      <c r="E4" s="19" t="inlineStr">
        <is>
          <t>Balance</t>
        </is>
      </c>
    </row>
    <row r="5">
      <c r="A5" s="20" t="n">
        <v>1</v>
      </c>
      <c r="B5" s="23">
        <f>IF(A5&lt;='Your Numbers'!$B$33,'Your Numbers'!$B$31,0)</f>
        <v/>
      </c>
      <c r="C5" s="23">
        <f>B5</f>
        <v/>
      </c>
      <c r="D5" s="23">
        <f>(0+B5)*'Your Numbers'!$B$32</f>
        <v/>
      </c>
      <c r="E5" s="24">
        <f>0+B5+D5</f>
        <v/>
      </c>
    </row>
    <row r="6">
      <c r="A6" s="20" t="n">
        <v>2</v>
      </c>
      <c r="B6" s="23">
        <f>IF(A6&lt;='Your Numbers'!$B$33,'Your Numbers'!$B$31,0)</f>
        <v/>
      </c>
      <c r="C6" s="23">
        <f>C5+B6</f>
        <v/>
      </c>
      <c r="D6" s="23">
        <f>(E5+B6)*'Your Numbers'!$B$32</f>
        <v/>
      </c>
      <c r="E6" s="24">
        <f>E5+B6+D6</f>
        <v/>
      </c>
    </row>
    <row r="7">
      <c r="A7" s="20" t="n">
        <v>3</v>
      </c>
      <c r="B7" s="23">
        <f>IF(A7&lt;='Your Numbers'!$B$33,'Your Numbers'!$B$31,0)</f>
        <v/>
      </c>
      <c r="C7" s="23">
        <f>C6+B7</f>
        <v/>
      </c>
      <c r="D7" s="23">
        <f>(E6+B7)*'Your Numbers'!$B$32</f>
        <v/>
      </c>
      <c r="E7" s="24">
        <f>E6+B7+D7</f>
        <v/>
      </c>
    </row>
    <row r="8">
      <c r="A8" s="20" t="n">
        <v>4</v>
      </c>
      <c r="B8" s="23">
        <f>IF(A8&lt;='Your Numbers'!$B$33,'Your Numbers'!$B$31,0)</f>
        <v/>
      </c>
      <c r="C8" s="23">
        <f>C7+B8</f>
        <v/>
      </c>
      <c r="D8" s="23">
        <f>(E7+B8)*'Your Numbers'!$B$32</f>
        <v/>
      </c>
      <c r="E8" s="24">
        <f>E7+B8+D8</f>
        <v/>
      </c>
    </row>
    <row r="9">
      <c r="A9" s="20" t="n">
        <v>5</v>
      </c>
      <c r="B9" s="23">
        <f>IF(A9&lt;='Your Numbers'!$B$33,'Your Numbers'!$B$31,0)</f>
        <v/>
      </c>
      <c r="C9" s="23">
        <f>C8+B9</f>
        <v/>
      </c>
      <c r="D9" s="23">
        <f>(E8+B9)*'Your Numbers'!$B$32</f>
        <v/>
      </c>
      <c r="E9" s="24">
        <f>E8+B9+D9</f>
        <v/>
      </c>
    </row>
    <row r="10">
      <c r="A10" s="20" t="n">
        <v>6</v>
      </c>
      <c r="B10" s="23">
        <f>IF(A10&lt;='Your Numbers'!$B$33,'Your Numbers'!$B$31,0)</f>
        <v/>
      </c>
      <c r="C10" s="23">
        <f>C9+B10</f>
        <v/>
      </c>
      <c r="D10" s="23">
        <f>(E9+B10)*'Your Numbers'!$B$32</f>
        <v/>
      </c>
      <c r="E10" s="24">
        <f>E9+B10+D10</f>
        <v/>
      </c>
    </row>
    <row r="11">
      <c r="A11" s="20" t="n">
        <v>7</v>
      </c>
      <c r="B11" s="23">
        <f>IF(A11&lt;='Your Numbers'!$B$33,'Your Numbers'!$B$31,0)</f>
        <v/>
      </c>
      <c r="C11" s="23">
        <f>C10+B11</f>
        <v/>
      </c>
      <c r="D11" s="23">
        <f>(E10+B11)*'Your Numbers'!$B$32</f>
        <v/>
      </c>
      <c r="E11" s="24">
        <f>E10+B11+D11</f>
        <v/>
      </c>
    </row>
    <row r="12">
      <c r="A12" s="20" t="n">
        <v>8</v>
      </c>
      <c r="B12" s="23">
        <f>IF(A12&lt;='Your Numbers'!$B$33,'Your Numbers'!$B$31,0)</f>
        <v/>
      </c>
      <c r="C12" s="23">
        <f>C11+B12</f>
        <v/>
      </c>
      <c r="D12" s="23">
        <f>(E11+B12)*'Your Numbers'!$B$32</f>
        <v/>
      </c>
      <c r="E12" s="24">
        <f>E11+B12+D12</f>
        <v/>
      </c>
    </row>
    <row r="13">
      <c r="A13" s="20" t="n">
        <v>9</v>
      </c>
      <c r="B13" s="23">
        <f>IF(A13&lt;='Your Numbers'!$B$33,'Your Numbers'!$B$31,0)</f>
        <v/>
      </c>
      <c r="C13" s="23">
        <f>C12+B13</f>
        <v/>
      </c>
      <c r="D13" s="23">
        <f>(E12+B13)*'Your Numbers'!$B$32</f>
        <v/>
      </c>
      <c r="E13" s="24">
        <f>E12+B13+D13</f>
        <v/>
      </c>
    </row>
    <row r="14">
      <c r="A14" s="20" t="n">
        <v>10</v>
      </c>
      <c r="B14" s="23">
        <f>IF(A14&lt;='Your Numbers'!$B$33,'Your Numbers'!$B$31,0)</f>
        <v/>
      </c>
      <c r="C14" s="23">
        <f>C13+B14</f>
        <v/>
      </c>
      <c r="D14" s="23">
        <f>(E13+B14)*'Your Numbers'!$B$32</f>
        <v/>
      </c>
      <c r="E14" s="24">
        <f>E13+B14+D14</f>
        <v/>
      </c>
    </row>
    <row r="15">
      <c r="A15" s="20" t="n">
        <v>11</v>
      </c>
      <c r="B15" s="23">
        <f>IF(A15&lt;='Your Numbers'!$B$33,'Your Numbers'!$B$31,0)</f>
        <v/>
      </c>
      <c r="C15" s="23">
        <f>C14+B15</f>
        <v/>
      </c>
      <c r="D15" s="23">
        <f>(E14+B15)*'Your Numbers'!$B$32</f>
        <v/>
      </c>
      <c r="E15" s="24">
        <f>E14+B15+D15</f>
        <v/>
      </c>
    </row>
    <row r="16">
      <c r="A16" s="20" t="n">
        <v>12</v>
      </c>
      <c r="B16" s="23">
        <f>IF(A16&lt;='Your Numbers'!$B$33,'Your Numbers'!$B$31,0)</f>
        <v/>
      </c>
      <c r="C16" s="23">
        <f>C15+B16</f>
        <v/>
      </c>
      <c r="D16" s="23">
        <f>(E15+B16)*'Your Numbers'!$B$32</f>
        <v/>
      </c>
      <c r="E16" s="24">
        <f>E15+B16+D16</f>
        <v/>
      </c>
    </row>
    <row r="17">
      <c r="A17" s="20" t="n">
        <v>13</v>
      </c>
      <c r="B17" s="23">
        <f>IF(A17&lt;='Your Numbers'!$B$33,'Your Numbers'!$B$31,0)</f>
        <v/>
      </c>
      <c r="C17" s="23">
        <f>C16+B17</f>
        <v/>
      </c>
      <c r="D17" s="23">
        <f>(E16+B17)*'Your Numbers'!$B$32</f>
        <v/>
      </c>
      <c r="E17" s="24">
        <f>E16+B17+D17</f>
        <v/>
      </c>
    </row>
    <row r="18">
      <c r="A18" s="20" t="n">
        <v>14</v>
      </c>
      <c r="B18" s="23">
        <f>IF(A18&lt;='Your Numbers'!$B$33,'Your Numbers'!$B$31,0)</f>
        <v/>
      </c>
      <c r="C18" s="23">
        <f>C17+B18</f>
        <v/>
      </c>
      <c r="D18" s="23">
        <f>(E17+B18)*'Your Numbers'!$B$32</f>
        <v/>
      </c>
      <c r="E18" s="24">
        <f>E17+B18+D18</f>
        <v/>
      </c>
    </row>
    <row r="19">
      <c r="A19" s="20" t="n">
        <v>15</v>
      </c>
      <c r="B19" s="23">
        <f>IF(A19&lt;='Your Numbers'!$B$33,'Your Numbers'!$B$31,0)</f>
        <v/>
      </c>
      <c r="C19" s="23">
        <f>C18+B19</f>
        <v/>
      </c>
      <c r="D19" s="23">
        <f>(E18+B19)*'Your Numbers'!$B$32</f>
        <v/>
      </c>
      <c r="E19" s="24">
        <f>E18+B19+D19</f>
        <v/>
      </c>
    </row>
    <row r="20">
      <c r="A20" s="20" t="n">
        <v>16</v>
      </c>
      <c r="B20" s="23">
        <f>IF(A20&lt;='Your Numbers'!$B$33,'Your Numbers'!$B$31,0)</f>
        <v/>
      </c>
      <c r="C20" s="23">
        <f>C19+B20</f>
        <v/>
      </c>
      <c r="D20" s="23">
        <f>(E19+B20)*'Your Numbers'!$B$32</f>
        <v/>
      </c>
      <c r="E20" s="24">
        <f>E19+B20+D20</f>
        <v/>
      </c>
    </row>
    <row r="21">
      <c r="A21" s="20" t="n">
        <v>17</v>
      </c>
      <c r="B21" s="23">
        <f>IF(A21&lt;='Your Numbers'!$B$33,'Your Numbers'!$B$31,0)</f>
        <v/>
      </c>
      <c r="C21" s="23">
        <f>C20+B21</f>
        <v/>
      </c>
      <c r="D21" s="23">
        <f>(E20+B21)*'Your Numbers'!$B$32</f>
        <v/>
      </c>
      <c r="E21" s="24">
        <f>E20+B21+D21</f>
        <v/>
      </c>
    </row>
    <row r="22">
      <c r="A22" s="20" t="n">
        <v>18</v>
      </c>
      <c r="B22" s="23">
        <f>IF(A22&lt;='Your Numbers'!$B$33,'Your Numbers'!$B$31,0)</f>
        <v/>
      </c>
      <c r="C22" s="23">
        <f>C21+B22</f>
        <v/>
      </c>
      <c r="D22" s="23">
        <f>(E21+B22)*'Your Numbers'!$B$32</f>
        <v/>
      </c>
      <c r="E22" s="24">
        <f>E21+B22+D22</f>
        <v/>
      </c>
    </row>
    <row r="23">
      <c r="A23" s="20" t="n">
        <v>19</v>
      </c>
      <c r="B23" s="23">
        <f>IF(A23&lt;='Your Numbers'!$B$33,'Your Numbers'!$B$31,0)</f>
        <v/>
      </c>
      <c r="C23" s="23">
        <f>C22+B23</f>
        <v/>
      </c>
      <c r="D23" s="23">
        <f>(E22+B23)*'Your Numbers'!$B$32</f>
        <v/>
      </c>
      <c r="E23" s="24">
        <f>E22+B23+D23</f>
        <v/>
      </c>
    </row>
    <row r="24">
      <c r="A24" s="20" t="n">
        <v>20</v>
      </c>
      <c r="B24" s="23">
        <f>IF(A24&lt;='Your Numbers'!$B$33,'Your Numbers'!$B$31,0)</f>
        <v/>
      </c>
      <c r="C24" s="23">
        <f>C23+B24</f>
        <v/>
      </c>
      <c r="D24" s="23">
        <f>(E23+B24)*'Your Numbers'!$B$32</f>
        <v/>
      </c>
      <c r="E24" s="24">
        <f>E23+B24+D24</f>
        <v/>
      </c>
    </row>
    <row r="25">
      <c r="A25" s="20" t="n">
        <v>21</v>
      </c>
      <c r="B25" s="23">
        <f>IF(A25&lt;='Your Numbers'!$B$33,'Your Numbers'!$B$31,0)</f>
        <v/>
      </c>
      <c r="C25" s="23">
        <f>C24+B25</f>
        <v/>
      </c>
      <c r="D25" s="23">
        <f>(E24+B25)*'Your Numbers'!$B$32</f>
        <v/>
      </c>
      <c r="E25" s="24">
        <f>E24+B25+D25</f>
        <v/>
      </c>
    </row>
    <row r="26">
      <c r="A26" s="20" t="n">
        <v>22</v>
      </c>
      <c r="B26" s="23">
        <f>IF(A26&lt;='Your Numbers'!$B$33,'Your Numbers'!$B$31,0)</f>
        <v/>
      </c>
      <c r="C26" s="23">
        <f>C25+B26</f>
        <v/>
      </c>
      <c r="D26" s="23">
        <f>(E25+B26)*'Your Numbers'!$B$32</f>
        <v/>
      </c>
      <c r="E26" s="24">
        <f>E25+B26+D26</f>
        <v/>
      </c>
    </row>
    <row r="27">
      <c r="A27" s="20" t="n">
        <v>23</v>
      </c>
      <c r="B27" s="23">
        <f>IF(A27&lt;='Your Numbers'!$B$33,'Your Numbers'!$B$31,0)</f>
        <v/>
      </c>
      <c r="C27" s="23">
        <f>C26+B27</f>
        <v/>
      </c>
      <c r="D27" s="23">
        <f>(E26+B27)*'Your Numbers'!$B$32</f>
        <v/>
      </c>
      <c r="E27" s="24">
        <f>E26+B27+D27</f>
        <v/>
      </c>
    </row>
    <row r="28">
      <c r="A28" s="20" t="n">
        <v>24</v>
      </c>
      <c r="B28" s="23">
        <f>IF(A28&lt;='Your Numbers'!$B$33,'Your Numbers'!$B$31,0)</f>
        <v/>
      </c>
      <c r="C28" s="23">
        <f>C27+B28</f>
        <v/>
      </c>
      <c r="D28" s="23">
        <f>(E27+B28)*'Your Numbers'!$B$32</f>
        <v/>
      </c>
      <c r="E28" s="24">
        <f>E27+B28+D28</f>
        <v/>
      </c>
    </row>
    <row r="29">
      <c r="A29" s="20" t="n">
        <v>25</v>
      </c>
      <c r="B29" s="23">
        <f>IF(A29&lt;='Your Numbers'!$B$33,'Your Numbers'!$B$31,0)</f>
        <v/>
      </c>
      <c r="C29" s="23">
        <f>C28+B29</f>
        <v/>
      </c>
      <c r="D29" s="23">
        <f>(E28+B29)*'Your Numbers'!$B$32</f>
        <v/>
      </c>
      <c r="E29" s="24">
        <f>E28+B29+D29</f>
        <v/>
      </c>
    </row>
    <row r="30">
      <c r="A30" s="20" t="n">
        <v>26</v>
      </c>
      <c r="B30" s="23">
        <f>IF(A30&lt;='Your Numbers'!$B$33,'Your Numbers'!$B$31,0)</f>
        <v/>
      </c>
      <c r="C30" s="23">
        <f>C29+B30</f>
        <v/>
      </c>
      <c r="D30" s="23">
        <f>(E29+B30)*'Your Numbers'!$B$32</f>
        <v/>
      </c>
      <c r="E30" s="24">
        <f>E29+B30+D30</f>
        <v/>
      </c>
    </row>
    <row r="31">
      <c r="A31" s="20" t="n">
        <v>27</v>
      </c>
      <c r="B31" s="23">
        <f>IF(A31&lt;='Your Numbers'!$B$33,'Your Numbers'!$B$31,0)</f>
        <v/>
      </c>
      <c r="C31" s="23">
        <f>C30+B31</f>
        <v/>
      </c>
      <c r="D31" s="23">
        <f>(E30+B31)*'Your Numbers'!$B$32</f>
        <v/>
      </c>
      <c r="E31" s="24">
        <f>E30+B31+D31</f>
        <v/>
      </c>
    </row>
    <row r="32">
      <c r="A32" s="20" t="n">
        <v>28</v>
      </c>
      <c r="B32" s="23">
        <f>IF(A32&lt;='Your Numbers'!$B$33,'Your Numbers'!$B$31,0)</f>
        <v/>
      </c>
      <c r="C32" s="23">
        <f>C31+B32</f>
        <v/>
      </c>
      <c r="D32" s="23">
        <f>(E31+B32)*'Your Numbers'!$B$32</f>
        <v/>
      </c>
      <c r="E32" s="24">
        <f>E31+B32+D32</f>
        <v/>
      </c>
    </row>
    <row r="33">
      <c r="A33" s="20" t="n">
        <v>29</v>
      </c>
      <c r="B33" s="23">
        <f>IF(A33&lt;='Your Numbers'!$B$33,'Your Numbers'!$B$31,0)</f>
        <v/>
      </c>
      <c r="C33" s="23">
        <f>C32+B33</f>
        <v/>
      </c>
      <c r="D33" s="23">
        <f>(E32+B33)*'Your Numbers'!$B$32</f>
        <v/>
      </c>
      <c r="E33" s="24">
        <f>E32+B33+D33</f>
        <v/>
      </c>
    </row>
    <row r="34">
      <c r="A34" s="20" t="n">
        <v>30</v>
      </c>
      <c r="B34" s="23">
        <f>IF(A34&lt;='Your Numbers'!$B$33,'Your Numbers'!$B$31,0)</f>
        <v/>
      </c>
      <c r="C34" s="23">
        <f>C33+B34</f>
        <v/>
      </c>
      <c r="D34" s="23">
        <f>(E33+B34)*'Your Numbers'!$B$32</f>
        <v/>
      </c>
      <c r="E34" s="24">
        <f>E33+B34+D34</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2026-09-05T09:01:58Z</dcterms:created>
  <dcterms:modified xsi:type="dcterms:W3CDTF">2026-09-05T09:01:59Z</dcterms:modified>
</cp:coreProperties>
</file>