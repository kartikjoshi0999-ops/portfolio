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Your Numbers" sheetId="2" state="visible" r:id="rId2"/>
    <sheet name="TFSA Room" sheetId="3" state="visible" r:id="rId3"/>
    <sheet name="RRSP Room" sheetId="4" state="visible" r:id="rId4"/>
    <sheet name="TFSA vs RRSP" sheetId="5" state="visible" r:id="rId5"/>
    <sheet name="Projection" sheetId="6" state="visible" r:id="rId6"/>
  </sheets>
  <definedNames/>
  <calcPr calcId="124519" fullCalcOnLoad="1"/>
</workbook>
</file>

<file path=xl/styles.xml><?xml version="1.0" encoding="utf-8"?>
<styleSheet xmlns="http://schemas.openxmlformats.org/spreadsheetml/2006/main">
  <numFmts count="1">
    <numFmt numFmtId="164" formatCode="$#,##0"/>
  </numFmts>
  <fonts count="13">
    <font>
      <name val="Calibri"/>
      <family val="2"/>
      <color theme="1"/>
      <sz val="11"/>
      <scheme val="minor"/>
    </font>
    <font>
      <name val="Calibri"/>
      <b val="1"/>
      <color rgb="00FFFFFF"/>
      <sz val="18"/>
    </font>
    <font>
      <name val="Calibri"/>
      <color rgb="00C9A84C"/>
      <sz val="10"/>
    </font>
    <font>
      <b val="1"/>
      <color rgb="00FFFFFF"/>
      <sz val="11"/>
    </font>
    <font>
      <b val="1"/>
    </font>
    <font>
      <b val="1"/>
      <color rgb="001A1A1A"/>
    </font>
    <font>
      <i val="1"/>
      <color rgb="008A97AB"/>
      <sz val="9"/>
    </font>
    <font>
      <b val="1"/>
      <color rgb="00FFFFFF"/>
      <sz val="10"/>
    </font>
    <font/>
    <font>
      <b val="1"/>
      <color rgb="000D1F3C"/>
      <sz val="12"/>
    </font>
    <font>
      <b val="1"/>
      <color rgb="000D1F3C"/>
      <sz val="11"/>
    </font>
    <font>
      <color rgb="008A97AB"/>
      <sz val="9"/>
    </font>
    <font>
      <b val="1"/>
      <color rgb="000D1F3C"/>
      <sz val="10"/>
    </font>
  </fonts>
  <fills count="7">
    <fill>
      <patternFill/>
    </fill>
    <fill>
      <patternFill patternType="gray125"/>
    </fill>
    <fill>
      <patternFill patternType="solid">
        <fgColor rgb="000A1628"/>
      </patternFill>
    </fill>
    <fill>
      <patternFill patternType="solid">
        <fgColor rgb="000D1F3C"/>
      </patternFill>
    </fill>
    <fill>
      <patternFill patternType="solid">
        <fgColor rgb="00FFF7DC"/>
      </patternFill>
    </fill>
    <fill>
      <patternFill patternType="solid">
        <fgColor rgb="0000B4A6"/>
      </patternFill>
    </fill>
    <fill>
      <patternFill patternType="solid">
        <fgColor rgb="00EDF1F6"/>
      </patternFill>
    </fill>
  </fills>
  <borders count="6">
    <border>
      <left/>
      <right/>
      <top/>
      <bottom/>
      <diagonal/>
    </border>
    <border>
      <left style="thin">
        <color rgb="00C7D0DB"/>
      </left>
      <right style="thin">
        <color rgb="00C7D0DB"/>
      </right>
      <top style="thin">
        <color rgb="00C7D0DB"/>
      </top>
      <bottom style="thin">
        <color rgb="00C7D0DB"/>
      </bottom>
    </border>
    <border>
      <left/>
      <right/>
      <top style="thin">
        <color rgb="00C7D0DB"/>
      </top>
      <bottom/>
      <diagonal/>
    </border>
    <border>
      <left/>
      <right style="thin">
        <color rgb="00C7D0DB"/>
      </right>
      <top style="thin">
        <color rgb="00C7D0DB"/>
      </top>
      <bottom/>
      <diagonal/>
    </border>
    <border>
      <left/>
      <right/>
      <top style="thin">
        <color rgb="00C7D0DB"/>
      </top>
      <bottom style="thin">
        <color rgb="00C7D0DB"/>
      </bottom>
      <diagonal/>
    </border>
    <border>
      <left/>
      <right style="thin">
        <color rgb="00C7D0DB"/>
      </right>
      <top style="thin">
        <color rgb="00C7D0DB"/>
      </top>
      <bottom style="thin">
        <color rgb="00C7D0DB"/>
      </bottom>
      <diagonal/>
    </border>
  </borders>
  <cellStyleXfs count="1">
    <xf numFmtId="0" fontId="0" fillId="0" borderId="0"/>
  </cellStyleXfs>
  <cellXfs count="29">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9" fillId="0" borderId="0" pivotButton="0" quotePrefix="0" xfId="0"/>
    <xf numFmtId="0" fontId="0" fillId="0" borderId="0" applyAlignment="1" pivotButton="0" quotePrefix="0" xfId="0">
      <alignment wrapText="1"/>
    </xf>
    <xf numFmtId="0" fontId="0" fillId="4" borderId="0" pivotButton="0" quotePrefix="0" xfId="0"/>
    <xf numFmtId="0" fontId="0" fillId="6" borderId="0" pivotButton="0" quotePrefix="0" xfId="0"/>
    <xf numFmtId="0" fontId="11" fillId="0" borderId="0" applyAlignment="1" pivotButton="0" quotePrefix="0" xfId="0">
      <alignment vertical="top" wrapText="1"/>
    </xf>
    <xf numFmtId="0" fontId="12" fillId="0" borderId="0" pivotButton="0" quotePrefix="0" xfId="0"/>
    <xf numFmtId="0" fontId="11" fillId="0" borderId="0" pivotButton="0" quotePrefix="0" xfId="0"/>
    <xf numFmtId="0" fontId="3" fillId="3" borderId="0" pivotButton="0" quotePrefix="0" xfId="0"/>
    <xf numFmtId="0" fontId="0" fillId="3" borderId="0" pivotButton="0" quotePrefix="0" xfId="0"/>
    <xf numFmtId="0" fontId="4" fillId="0" borderId="0" pivotButton="0" quotePrefix="0" xfId="0"/>
    <xf numFmtId="0" fontId="5" fillId="4" borderId="1" pivotButton="0" quotePrefix="0" xfId="0"/>
    <xf numFmtId="1" fontId="5" fillId="4" borderId="1" pivotButton="0" quotePrefix="0" xfId="0"/>
    <xf numFmtId="0" fontId="6" fillId="0" borderId="0" pivotButton="0" quotePrefix="0" xfId="0"/>
    <xf numFmtId="164" fontId="5" fillId="4" borderId="1" pivotButton="0" quotePrefix="0" xfId="0"/>
    <xf numFmtId="10" fontId="5" fillId="4" borderId="1" pivotButton="0" quotePrefix="0" xfId="0"/>
    <xf numFmtId="0" fontId="7" fillId="5" borderId="1" applyAlignment="1" pivotButton="0" quotePrefix="0" xfId="0">
      <alignment horizontal="center" vertical="center" wrapText="1"/>
    </xf>
    <xf numFmtId="0" fontId="0" fillId="0" borderId="1" pivotButton="0" quotePrefix="0" xfId="0"/>
    <xf numFmtId="164" fontId="0" fillId="0" borderId="1" pivotButton="0" quotePrefix="0" xfId="0"/>
    <xf numFmtId="0" fontId="8" fillId="6" borderId="1" pivotButton="0" quotePrefix="0" xfId="0"/>
    <xf numFmtId="164" fontId="8" fillId="6" borderId="1" pivotButton="0" quotePrefix="0" xfId="0"/>
    <xf numFmtId="164" fontId="4" fillId="6" borderId="1" pivotButton="0" quotePrefix="0" xfId="0"/>
    <xf numFmtId="0" fontId="8" fillId="0" borderId="0" pivotButton="0" quotePrefix="0" xfId="0"/>
    <xf numFmtId="0" fontId="10" fillId="6" borderId="1" applyAlignment="1" pivotButton="0" quotePrefix="0" xfId="0">
      <alignment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Projected balance</a:t>
            </a:r>
          </a:p>
        </rich>
      </tx>
    </title>
    <plotArea>
      <lineChart>
        <grouping val="standard"/>
        <ser>
          <idx val="0"/>
          <order val="0"/>
          <tx>
            <strRef>
              <f>'Projection'!E4</f>
            </strRef>
          </tx>
          <spPr>
            <a:ln>
              <a:prstDash val="solid"/>
            </a:ln>
          </spPr>
          <marker>
            <symbol val="none"/>
            <spPr>
              <a:ln>
                <a:prstDash val="solid"/>
              </a:ln>
            </spPr>
          </marker>
          <cat>
            <numRef>
              <f>'Projection'!$A$5:$A$34</f>
            </numRef>
          </cat>
          <val>
            <numRef>
              <f>'Projection'!$E$5:$E$34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9A84C"/>
    <outlinePr summaryBelow="1" summaryRight="1"/>
    <pageSetUpPr/>
  </sheetPr>
  <dimension ref="A1:C26"/>
  <sheetViews>
    <sheetView showGridLines="0" workbookViewId="0">
      <selection activeCell="A1" sqref="A1"/>
    </sheetView>
  </sheetViews>
  <sheetFormatPr baseColWidth="8" defaultRowHeight="15"/>
  <cols>
    <col width="4" customWidth="1" min="1" max="1"/>
    <col width="100" customWidth="1" min="2" max="2"/>
  </cols>
  <sheetData>
    <row r="1" ht="30" customHeight="1">
      <c r="A1" s="1" t="inlineStr">
        <is>
          <t>TFSA vs RRSP Contribution Planner (Canada)</t>
        </is>
      </c>
      <c r="B1" s="2" t="n"/>
      <c r="C1" s="2" t="n"/>
    </row>
    <row r="2" ht="18" customHeight="1">
      <c r="A2" s="3" t="inlineStr">
        <is>
          <t>Know your real room, and know which account to fill first.</t>
        </is>
      </c>
      <c r="B2" s="2" t="n"/>
      <c r="C2" s="2" t="n"/>
    </row>
    <row r="4">
      <c r="B4" s="4" t="inlineStr">
        <is>
          <t>WHAT'S INSIDE</t>
        </is>
      </c>
    </row>
    <row r="5">
      <c r="B5" s="5" t="inlineStr">
        <is>
          <t>•  Your Numbers — every input in one place.</t>
        </is>
      </c>
    </row>
    <row r="6">
      <c r="B6" s="5" t="inlineStr">
        <is>
          <t>•  TFSA Room — 2009-2026 limits table with your personal room calculated.</t>
        </is>
      </c>
    </row>
    <row r="7">
      <c r="B7" s="5" t="inlineStr">
        <is>
          <t>•  RRSP Room — 18% rule, dollar cap, pension adjustment and carry-forward.</t>
        </is>
      </c>
    </row>
    <row r="8">
      <c r="B8" s="5" t="inlineStr">
        <is>
          <t>•  TFSA vs RRSP — after-tax comparison with an automatic verdict line.</t>
        </is>
      </c>
    </row>
    <row r="9">
      <c r="B9" s="5" t="inlineStr">
        <is>
          <t>•  Projection — 30-year contribution and growth schedule with a chart.</t>
        </is>
      </c>
    </row>
    <row r="11">
      <c r="B11" s="4" t="inlineStr">
        <is>
          <t>HOW TO USE IT</t>
        </is>
      </c>
    </row>
    <row r="12">
      <c r="B12" s="5" t="inlineStr">
        <is>
          <t>1.  Fill in the yellow cells on the Your Numbers tab — that is the only typing you do.</t>
        </is>
      </c>
    </row>
    <row r="13">
      <c r="B13" s="5" t="inlineStr">
        <is>
          <t>2.  Open TFSA Room: it builds your room year by year from the date you turned 18.</t>
        </is>
      </c>
    </row>
    <row r="14">
      <c r="B14" s="5" t="inlineStr">
        <is>
          <t>3.  Open RRSP Room: 18% of earned income against the annual cap, plus your carry-forward.</t>
        </is>
      </c>
    </row>
    <row r="15">
      <c r="B15" s="5" t="inlineStr">
        <is>
          <t>4.  Open TFSA vs RRSP for the side-by-side after-tax answer and a plain-English verdict.</t>
        </is>
      </c>
    </row>
    <row r="16">
      <c r="B16" s="5" t="inlineStr">
        <is>
          <t>5.  Use Projection to see what steady contributions turn into over your time horizon.</t>
        </is>
      </c>
    </row>
    <row r="18">
      <c r="B18" s="4" t="inlineStr">
        <is>
          <t>COLOUR KEY</t>
        </is>
      </c>
    </row>
    <row r="19">
      <c r="B19" s="6" t="inlineStr">
        <is>
          <t>Yellow cells = you type here.</t>
        </is>
      </c>
    </row>
    <row r="20">
      <c r="B20" s="7" t="inlineStr">
        <is>
          <t>Grey cells = formulas. Do not overwrite them.</t>
        </is>
      </c>
    </row>
    <row r="22" ht="46" customHeight="1">
      <c r="B22" s="8" t="inlineStr">
        <is>
          <t>LICENSE: Single-user personal/business licence. You may use and edit this file for yourself or your own business. You may NOT resell, redistribute, share, or publish this file or any edited version of it. All rights reserved.</t>
        </is>
      </c>
    </row>
    <row r="23" ht="46" customHeight="1">
      <c r="B23" s="8" t="inlineStr">
        <is>
          <t>DISCLAIMER: This template is an educational planning tool only. It is not financial, tax, investment, or legal advice. Figures such as contribution limits and tax rates change — always confirm current numbers with the CRA or a licensed advisor before acting on any output.</t>
        </is>
      </c>
    </row>
    <row r="25">
      <c r="B25" s="9" t="inlineStr">
        <is>
          <t>Created by Kartik Joshi, MBA — Financial Analyst &amp; Banking Professional</t>
        </is>
      </c>
    </row>
    <row r="26">
      <c r="B26" s="10" t="inlineStr">
        <is>
          <t>Questions or a problem with the file? Message me through Etsy and I will help.</t>
        </is>
      </c>
    </row>
  </sheetData>
  <pageMargins left="0.75" right="0.75" top="1" bottom="1" header="0.5" footer="0.5"/>
</worksheet>
</file>

<file path=xl/worksheets/sheet2.xml><?xml version="1.0" encoding="utf-8"?>
<worksheet xmlns="http://schemas.openxmlformats.org/spreadsheetml/2006/main">
  <sheetPr>
    <tabColor rgb="0000B4A6"/>
    <outlinePr summaryBelow="1" summaryRight="1"/>
    <pageSetUpPr/>
  </sheetPr>
  <dimension ref="A1:E29"/>
  <sheetViews>
    <sheetView showGridLines="0" workbookViewId="0">
      <selection activeCell="A1" sqref="A1"/>
    </sheetView>
  </sheetViews>
  <sheetFormatPr baseColWidth="8" defaultRowHeight="15"/>
  <cols>
    <col width="52" customWidth="1" min="1" max="1"/>
    <col width="18" customWidth="1" min="2" max="2"/>
  </cols>
  <sheetData>
    <row r="1" ht="30" customHeight="1">
      <c r="A1" s="1" t="inlineStr">
        <is>
          <t>Your Numbers</t>
        </is>
      </c>
      <c r="B1" s="2" t="n"/>
      <c r="C1" s="2" t="n"/>
      <c r="D1" s="2" t="n"/>
      <c r="E1" s="2" t="n"/>
    </row>
    <row r="2" ht="18" customHeight="1">
      <c r="A2" s="3" t="inlineStr">
        <is>
          <t>Fill in the yellow cells. Everything else calculates.</t>
        </is>
      </c>
      <c r="B2" s="2" t="n"/>
      <c r="C2" s="2" t="n"/>
      <c r="D2" s="2" t="n"/>
      <c r="E2" s="2" t="n"/>
    </row>
    <row r="4" ht="20" customHeight="1">
      <c r="A4" s="11" t="inlineStr">
        <is>
          <t>ABOUT YOU</t>
        </is>
      </c>
      <c r="B4" s="12" t="n"/>
      <c r="C4" s="12" t="n"/>
      <c r="D4" s="12" t="n"/>
      <c r="E4" s="12" t="n"/>
    </row>
    <row r="5">
      <c r="A5" s="13" t="inlineStr">
        <is>
          <t>Your name</t>
        </is>
      </c>
      <c r="B5" s="14" t="inlineStr"/>
    </row>
    <row r="6">
      <c r="A6" s="13" t="inlineStr">
        <is>
          <t>Current age</t>
        </is>
      </c>
      <c r="B6" s="15" t="n">
        <v>30</v>
      </c>
    </row>
    <row r="7">
      <c r="A7" s="13" t="inlineStr">
        <is>
          <t>Year you turned 18</t>
        </is>
      </c>
      <c r="B7" s="15" t="n">
        <v>2013</v>
      </c>
    </row>
    <row r="8">
      <c r="A8" s="13" t="inlineStr">
        <is>
          <t>Planning year</t>
        </is>
      </c>
      <c r="B8" s="15" t="n">
        <v>2026</v>
      </c>
    </row>
    <row r="9">
      <c r="A9" s="13" t="inlineStr">
        <is>
          <t>Province / territory</t>
        </is>
      </c>
      <c r="B9" s="14" t="inlineStr">
        <is>
          <t>Ontario</t>
        </is>
      </c>
    </row>
    <row r="10">
      <c r="A10" s="16" t="inlineStr">
        <is>
          <t>TFSA room only starts building the year you turn 18 AND become a Canadian resident.</t>
        </is>
      </c>
    </row>
    <row r="12" ht="20" customHeight="1">
      <c r="A12" s="11" t="inlineStr">
        <is>
          <t>INCOME &amp; TAX</t>
        </is>
      </c>
      <c r="B12" s="12" t="n"/>
      <c r="C12" s="12" t="n"/>
      <c r="D12" s="12" t="n"/>
      <c r="E12" s="12" t="n"/>
    </row>
    <row r="13">
      <c r="A13" s="13" t="inlineStr">
        <is>
          <t>Gross earned income this year</t>
        </is>
      </c>
      <c r="B13" s="17" t="n">
        <v>78000</v>
      </c>
    </row>
    <row r="14">
      <c r="A14" s="13" t="inlineStr">
        <is>
          <t>Marginal tax rate NOW (combined fed + prov)</t>
        </is>
      </c>
      <c r="B14" s="18" t="n">
        <v>0.2965</v>
      </c>
    </row>
    <row r="15">
      <c r="A15" s="13" t="inlineStr">
        <is>
          <t>Expected marginal tax rate IN RETIREMENT</t>
        </is>
      </c>
      <c r="B15" s="18" t="n">
        <v>0.2005</v>
      </c>
    </row>
    <row r="16">
      <c r="A16" s="13" t="inlineStr">
        <is>
          <t>Employer pension adjustment (from box 52 of your T4)</t>
        </is>
      </c>
      <c r="B16" s="17" t="n">
        <v>0</v>
      </c>
    </row>
    <row r="17">
      <c r="A17" s="16" t="inlineStr">
        <is>
          <t>Marginal rate = the tax you pay on your NEXT dollar of income, not your average rate.</t>
        </is>
      </c>
    </row>
    <row r="19" ht="20" customHeight="1">
      <c r="A19" s="11" t="inlineStr">
        <is>
          <t>WHAT YOU HAVE ALREADY</t>
        </is>
      </c>
      <c r="B19" s="12" t="n"/>
      <c r="C19" s="12" t="n"/>
      <c r="D19" s="12" t="n"/>
      <c r="E19" s="12" t="n"/>
    </row>
    <row r="20">
      <c r="A20" s="13" t="inlineStr">
        <is>
          <t>Total TFSA contributions made to date</t>
        </is>
      </c>
      <c r="B20" s="17" t="n">
        <v>21000</v>
      </c>
    </row>
    <row r="21">
      <c r="A21" s="13" t="inlineStr">
        <is>
          <t>Total TFSA withdrawals in PREVIOUS years</t>
        </is>
      </c>
      <c r="B21" s="17" t="n">
        <v>0</v>
      </c>
    </row>
    <row r="22">
      <c r="A22" s="13" t="inlineStr">
        <is>
          <t>Unused RRSP room from your latest CRA notice</t>
        </is>
      </c>
      <c r="B22" s="17" t="n">
        <v>44000</v>
      </c>
    </row>
    <row r="23">
      <c r="A23" s="13" t="inlineStr">
        <is>
          <t>RRSP contributions already made this year</t>
        </is>
      </c>
      <c r="B23" s="17" t="n">
        <v>3000</v>
      </c>
    </row>
    <row r="24">
      <c r="A24" s="16" t="inlineStr">
        <is>
          <t>Your CRA My Account notice of assessment is the authoritative source for both room figures.</t>
        </is>
      </c>
    </row>
    <row r="26" ht="20" customHeight="1">
      <c r="A26" s="11" t="inlineStr">
        <is>
          <t>PLANNING ASSUMPTIONS</t>
        </is>
      </c>
      <c r="B26" s="12" t="n"/>
      <c r="C26" s="12" t="n"/>
      <c r="D26" s="12" t="n"/>
      <c r="E26" s="12" t="n"/>
    </row>
    <row r="27">
      <c r="A27" s="13" t="inlineStr">
        <is>
          <t>Amount you can save per year</t>
        </is>
      </c>
      <c r="B27" s="17" t="n">
        <v>12000</v>
      </c>
    </row>
    <row r="28">
      <c r="A28" s="13" t="inlineStr">
        <is>
          <t>Expected annual investment return</t>
        </is>
      </c>
      <c r="B28" s="18" t="n">
        <v>0.06</v>
      </c>
    </row>
    <row r="29">
      <c r="A29" s="13" t="inlineStr">
        <is>
          <t>Years until you draw the money</t>
        </is>
      </c>
      <c r="B29" s="15" t="n">
        <v>25</v>
      </c>
    </row>
  </sheetData>
  <pageMargins left="0.75" right="0.75" top="1" bottom="1" header="0.5" footer="0.5"/>
</worksheet>
</file>

<file path=xl/worksheets/sheet3.xml><?xml version="1.0" encoding="utf-8"?>
<worksheet xmlns="http://schemas.openxmlformats.org/spreadsheetml/2006/main">
  <sheetPr>
    <tabColor rgb="0000B4A6"/>
    <outlinePr summaryBelow="1" summaryRight="1"/>
    <pageSetUpPr/>
  </sheetPr>
  <dimension ref="A1:D31"/>
  <sheetViews>
    <sheetView showGridLines="0" workbookViewId="0">
      <selection activeCell="A1" sqref="A1"/>
    </sheetView>
  </sheetViews>
  <sheetFormatPr baseColWidth="8" defaultRowHeight="15"/>
  <cols>
    <col width="12" customWidth="1" min="1" max="1"/>
    <col width="22" customWidth="1" min="2" max="2"/>
    <col width="18" customWidth="1" min="3" max="3"/>
    <col width="16" customWidth="1" min="4" max="4"/>
  </cols>
  <sheetData>
    <row r="1" ht="30" customHeight="1">
      <c r="A1" s="1" t="inlineStr">
        <is>
          <t>TFSA Room</t>
        </is>
      </c>
      <c r="B1" s="2" t="n"/>
      <c r="C1" s="2" t="n"/>
      <c r="D1" s="2" t="n"/>
    </row>
    <row r="2" ht="18" customHeight="1">
      <c r="A2" s="3" t="inlineStr">
        <is>
          <t>Year-by-year contribution room from 2009 to today.</t>
        </is>
      </c>
      <c r="B2" s="2" t="n"/>
      <c r="C2" s="2" t="n"/>
      <c r="D2" s="2" t="n"/>
    </row>
    <row r="4" ht="28" customHeight="1">
      <c r="A4" s="19" t="inlineStr">
        <is>
          <t>Year</t>
        </is>
      </c>
      <c r="B4" s="19" t="inlineStr">
        <is>
          <t>Annual TFSA limit</t>
        </is>
      </c>
      <c r="C4" s="19" t="inlineStr">
        <is>
          <t>Counts for you?</t>
        </is>
      </c>
      <c r="D4" s="19" t="inlineStr">
        <is>
          <t>Room earned</t>
        </is>
      </c>
    </row>
    <row r="5">
      <c r="A5" s="20" t="n">
        <v>2009</v>
      </c>
      <c r="B5" s="21" t="n">
        <v>5000</v>
      </c>
      <c r="C5" s="22">
        <f>IF(AND(A5&gt;='Your Numbers'!$B$7,A5&lt;='Your Numbers'!$B$8),"Yes","No")</f>
        <v/>
      </c>
      <c r="D5" s="23">
        <f>IF(C5="Yes",B5,0)</f>
        <v/>
      </c>
    </row>
    <row r="6">
      <c r="A6" s="20" t="n">
        <v>2010</v>
      </c>
      <c r="B6" s="21" t="n">
        <v>5000</v>
      </c>
      <c r="C6" s="22">
        <f>IF(AND(A6&gt;='Your Numbers'!$B$7,A6&lt;='Your Numbers'!$B$8),"Yes","No")</f>
        <v/>
      </c>
      <c r="D6" s="23">
        <f>IF(C6="Yes",B6,0)</f>
        <v/>
      </c>
    </row>
    <row r="7">
      <c r="A7" s="20" t="n">
        <v>2011</v>
      </c>
      <c r="B7" s="21" t="n">
        <v>5000</v>
      </c>
      <c r="C7" s="22">
        <f>IF(AND(A7&gt;='Your Numbers'!$B$7,A7&lt;='Your Numbers'!$B$8),"Yes","No")</f>
        <v/>
      </c>
      <c r="D7" s="23">
        <f>IF(C7="Yes",B7,0)</f>
        <v/>
      </c>
    </row>
    <row r="8">
      <c r="A8" s="20" t="n">
        <v>2012</v>
      </c>
      <c r="B8" s="21" t="n">
        <v>5000</v>
      </c>
      <c r="C8" s="22">
        <f>IF(AND(A8&gt;='Your Numbers'!$B$7,A8&lt;='Your Numbers'!$B$8),"Yes","No")</f>
        <v/>
      </c>
      <c r="D8" s="23">
        <f>IF(C8="Yes",B8,0)</f>
        <v/>
      </c>
    </row>
    <row r="9">
      <c r="A9" s="20" t="n">
        <v>2013</v>
      </c>
      <c r="B9" s="21" t="n">
        <v>5500</v>
      </c>
      <c r="C9" s="22">
        <f>IF(AND(A9&gt;='Your Numbers'!$B$7,A9&lt;='Your Numbers'!$B$8),"Yes","No")</f>
        <v/>
      </c>
      <c r="D9" s="23">
        <f>IF(C9="Yes",B9,0)</f>
        <v/>
      </c>
    </row>
    <row r="10">
      <c r="A10" s="20" t="n">
        <v>2014</v>
      </c>
      <c r="B10" s="21" t="n">
        <v>5500</v>
      </c>
      <c r="C10" s="22">
        <f>IF(AND(A10&gt;='Your Numbers'!$B$7,A10&lt;='Your Numbers'!$B$8),"Yes","No")</f>
        <v/>
      </c>
      <c r="D10" s="23">
        <f>IF(C10="Yes",B10,0)</f>
        <v/>
      </c>
    </row>
    <row r="11">
      <c r="A11" s="20" t="n">
        <v>2015</v>
      </c>
      <c r="B11" s="21" t="n">
        <v>10000</v>
      </c>
      <c r="C11" s="22">
        <f>IF(AND(A11&gt;='Your Numbers'!$B$7,A11&lt;='Your Numbers'!$B$8),"Yes","No")</f>
        <v/>
      </c>
      <c r="D11" s="23">
        <f>IF(C11="Yes",B11,0)</f>
        <v/>
      </c>
    </row>
    <row r="12">
      <c r="A12" s="20" t="n">
        <v>2016</v>
      </c>
      <c r="B12" s="21" t="n">
        <v>5500</v>
      </c>
      <c r="C12" s="22">
        <f>IF(AND(A12&gt;='Your Numbers'!$B$7,A12&lt;='Your Numbers'!$B$8),"Yes","No")</f>
        <v/>
      </c>
      <c r="D12" s="23">
        <f>IF(C12="Yes",B12,0)</f>
        <v/>
      </c>
    </row>
    <row r="13">
      <c r="A13" s="20" t="n">
        <v>2017</v>
      </c>
      <c r="B13" s="21" t="n">
        <v>5500</v>
      </c>
      <c r="C13" s="22">
        <f>IF(AND(A13&gt;='Your Numbers'!$B$7,A13&lt;='Your Numbers'!$B$8),"Yes","No")</f>
        <v/>
      </c>
      <c r="D13" s="23">
        <f>IF(C13="Yes",B13,0)</f>
        <v/>
      </c>
    </row>
    <row r="14">
      <c r="A14" s="20" t="n">
        <v>2018</v>
      </c>
      <c r="B14" s="21" t="n">
        <v>5500</v>
      </c>
      <c r="C14" s="22">
        <f>IF(AND(A14&gt;='Your Numbers'!$B$7,A14&lt;='Your Numbers'!$B$8),"Yes","No")</f>
        <v/>
      </c>
      <c r="D14" s="23">
        <f>IF(C14="Yes",B14,0)</f>
        <v/>
      </c>
    </row>
    <row r="15">
      <c r="A15" s="20" t="n">
        <v>2019</v>
      </c>
      <c r="B15" s="21" t="n">
        <v>6000</v>
      </c>
      <c r="C15" s="22">
        <f>IF(AND(A15&gt;='Your Numbers'!$B$7,A15&lt;='Your Numbers'!$B$8),"Yes","No")</f>
        <v/>
      </c>
      <c r="D15" s="23">
        <f>IF(C15="Yes",B15,0)</f>
        <v/>
      </c>
    </row>
    <row r="16">
      <c r="A16" s="20" t="n">
        <v>2020</v>
      </c>
      <c r="B16" s="21" t="n">
        <v>6000</v>
      </c>
      <c r="C16" s="22">
        <f>IF(AND(A16&gt;='Your Numbers'!$B$7,A16&lt;='Your Numbers'!$B$8),"Yes","No")</f>
        <v/>
      </c>
      <c r="D16" s="23">
        <f>IF(C16="Yes",B16,0)</f>
        <v/>
      </c>
    </row>
    <row r="17">
      <c r="A17" s="20" t="n">
        <v>2021</v>
      </c>
      <c r="B17" s="21" t="n">
        <v>6000</v>
      </c>
      <c r="C17" s="22">
        <f>IF(AND(A17&gt;='Your Numbers'!$B$7,A17&lt;='Your Numbers'!$B$8),"Yes","No")</f>
        <v/>
      </c>
      <c r="D17" s="23">
        <f>IF(C17="Yes",B17,0)</f>
        <v/>
      </c>
    </row>
    <row r="18">
      <c r="A18" s="20" t="n">
        <v>2022</v>
      </c>
      <c r="B18" s="21" t="n">
        <v>6000</v>
      </c>
      <c r="C18" s="22">
        <f>IF(AND(A18&gt;='Your Numbers'!$B$7,A18&lt;='Your Numbers'!$B$8),"Yes","No")</f>
        <v/>
      </c>
      <c r="D18" s="23">
        <f>IF(C18="Yes",B18,0)</f>
        <v/>
      </c>
    </row>
    <row r="19">
      <c r="A19" s="20" t="n">
        <v>2023</v>
      </c>
      <c r="B19" s="21" t="n">
        <v>6500</v>
      </c>
      <c r="C19" s="22">
        <f>IF(AND(A19&gt;='Your Numbers'!$B$7,A19&lt;='Your Numbers'!$B$8),"Yes","No")</f>
        <v/>
      </c>
      <c r="D19" s="23">
        <f>IF(C19="Yes",B19,0)</f>
        <v/>
      </c>
    </row>
    <row r="20">
      <c r="A20" s="20" t="n">
        <v>2024</v>
      </c>
      <c r="B20" s="21" t="n">
        <v>7000</v>
      </c>
      <c r="C20" s="22">
        <f>IF(AND(A20&gt;='Your Numbers'!$B$7,A20&lt;='Your Numbers'!$B$8),"Yes","No")</f>
        <v/>
      </c>
      <c r="D20" s="23">
        <f>IF(C20="Yes",B20,0)</f>
        <v/>
      </c>
    </row>
    <row r="21">
      <c r="A21" s="20" t="n">
        <v>2025</v>
      </c>
      <c r="B21" s="21" t="n">
        <v>7000</v>
      </c>
      <c r="C21" s="22">
        <f>IF(AND(A21&gt;='Your Numbers'!$B$7,A21&lt;='Your Numbers'!$B$8),"Yes","No")</f>
        <v/>
      </c>
      <c r="D21" s="23">
        <f>IF(C21="Yes",B21,0)</f>
        <v/>
      </c>
    </row>
    <row r="22">
      <c r="A22" s="20" t="n">
        <v>2026</v>
      </c>
      <c r="B22" s="21" t="n">
        <v>7000</v>
      </c>
      <c r="C22" s="22">
        <f>IF(AND(A22&gt;='Your Numbers'!$B$7,A22&lt;='Your Numbers'!$B$8),"Yes","No")</f>
        <v/>
      </c>
      <c r="D22" s="23">
        <f>IF(C22="Yes",B22,0)</f>
        <v/>
      </c>
    </row>
    <row r="24">
      <c r="A24" s="13" t="inlineStr">
        <is>
          <t>Total room earned</t>
        </is>
      </c>
      <c r="B24" s="24">
        <f>SUM(D5:D22)</f>
        <v/>
      </c>
    </row>
    <row r="25">
      <c r="A25" s="13" t="inlineStr">
        <is>
          <t>Less: contributions made</t>
        </is>
      </c>
      <c r="B25" s="23">
        <f>'Your Numbers'!$B$20</f>
        <v/>
      </c>
    </row>
    <row r="26">
      <c r="A26" s="13" t="inlineStr">
        <is>
          <t>Add back: prior-year withdrawals</t>
        </is>
      </c>
      <c r="B26" s="23">
        <f>'Your Numbers'!$B$21</f>
        <v/>
      </c>
    </row>
    <row r="27">
      <c r="A27" s="4" t="inlineStr">
        <is>
          <t>ROOM AVAILABLE TODAY</t>
        </is>
      </c>
      <c r="B27" s="24">
        <f>B24-B25+B26</f>
        <v/>
      </c>
    </row>
    <row r="29">
      <c r="A29" s="16" t="inlineStr">
        <is>
          <t>2026 limit shown as $7,000 — confirm on canada.ca before you rely on it; the limit is indexed each year.</t>
        </is>
      </c>
    </row>
    <row r="30">
      <c r="A30" s="16" t="inlineStr">
        <is>
          <t>Money withdrawn from a TFSA comes back as room on January 1 of the FOLLOWING year, never the same year.</t>
        </is>
      </c>
    </row>
    <row r="31">
      <c r="A31" s="16" t="inlineStr">
        <is>
          <t>Over-contributing costs 1% of the excess per month. Check CRA My Account if you are close to the line.</t>
        </is>
      </c>
    </row>
  </sheetData>
  <pageMargins left="0.75" right="0.75" top="1" bottom="1" header="0.5" footer="0.5"/>
</worksheet>
</file>

<file path=xl/worksheets/sheet4.xml><?xml version="1.0" encoding="utf-8"?>
<worksheet xmlns="http://schemas.openxmlformats.org/spreadsheetml/2006/main">
  <sheetPr>
    <tabColor rgb="0000B4A6"/>
    <outlinePr summaryBelow="1" summaryRight="1"/>
    <pageSetUpPr/>
  </sheetPr>
  <dimension ref="A1:D25"/>
  <sheetViews>
    <sheetView showGridLines="0" workbookViewId="0">
      <selection activeCell="A1" sqref="A1"/>
    </sheetView>
  </sheetViews>
  <sheetFormatPr baseColWidth="8" defaultRowHeight="15"/>
  <cols>
    <col width="46" customWidth="1" min="1" max="1"/>
    <col width="20" customWidth="1" min="2" max="2"/>
  </cols>
  <sheetData>
    <row r="1" ht="30" customHeight="1">
      <c r="A1" s="1" t="inlineStr">
        <is>
          <t>RRSP Room</t>
        </is>
      </c>
      <c r="B1" s="2" t="n"/>
      <c r="C1" s="2" t="n"/>
      <c r="D1" s="2" t="n"/>
    </row>
    <row r="2" ht="18" customHeight="1">
      <c r="A2" s="3" t="inlineStr">
        <is>
          <t>18% of earned income, capped at the annual dollar limit.</t>
        </is>
      </c>
      <c r="B2" s="2" t="n"/>
      <c r="C2" s="2" t="n"/>
      <c r="D2" s="2" t="n"/>
    </row>
    <row r="4" ht="28" customHeight="1">
      <c r="A4" s="19" t="inlineStr">
        <is>
          <t>Year</t>
        </is>
      </c>
      <c r="B4" s="19" t="inlineStr">
        <is>
          <t>Annual RRSP dollar limit</t>
        </is>
      </c>
    </row>
    <row r="5">
      <c r="A5" s="20" t="n">
        <v>2019</v>
      </c>
      <c r="B5" s="21" t="n">
        <v>26500</v>
      </c>
    </row>
    <row r="6">
      <c r="A6" s="20" t="n">
        <v>2020</v>
      </c>
      <c r="B6" s="21" t="n">
        <v>27230</v>
      </c>
    </row>
    <row r="7">
      <c r="A7" s="20" t="n">
        <v>2021</v>
      </c>
      <c r="B7" s="21" t="n">
        <v>27830</v>
      </c>
    </row>
    <row r="8">
      <c r="A8" s="20" t="n">
        <v>2022</v>
      </c>
      <c r="B8" s="21" t="n">
        <v>29210</v>
      </c>
    </row>
    <row r="9">
      <c r="A9" s="20" t="n">
        <v>2023</v>
      </c>
      <c r="B9" s="21" t="n">
        <v>30780</v>
      </c>
    </row>
    <row r="10">
      <c r="A10" s="20" t="n">
        <v>2024</v>
      </c>
      <c r="B10" s="21" t="n">
        <v>31560</v>
      </c>
    </row>
    <row r="11">
      <c r="A11" s="20" t="n">
        <v>2025</v>
      </c>
      <c r="B11" s="21" t="n">
        <v>32490</v>
      </c>
    </row>
    <row r="12">
      <c r="A12" s="20" t="n">
        <v>2026</v>
      </c>
      <c r="B12" s="21" t="n">
        <v>33810</v>
      </c>
    </row>
    <row r="14" ht="20" customHeight="1">
      <c r="A14" s="11" t="inlineStr">
        <is>
          <t>THIS YEAR'S ROOM</t>
        </is>
      </c>
      <c r="B14" s="12" t="n"/>
      <c r="C14" s="12" t="n"/>
      <c r="D14" s="12" t="n"/>
    </row>
    <row r="15">
      <c r="A15" s="13" t="inlineStr">
        <is>
          <t>18% of earned income</t>
        </is>
      </c>
      <c r="B15" s="23">
        <f>0.18*'Your Numbers'!$B$13</f>
        <v/>
      </c>
    </row>
    <row r="16">
      <c r="A16" s="13" t="inlineStr">
        <is>
          <t>Dollar limit for the planning year</t>
        </is>
      </c>
      <c r="B16" s="23">
        <f>IFERROR(VLOOKUP('Your Numbers'!$B$8,A5:B12,2,FALSE),MAX(B5:B12))</f>
        <v/>
      </c>
    </row>
    <row r="17">
      <c r="A17" s="13" t="inlineStr">
        <is>
          <t>New room earned (lesser of the two)</t>
        </is>
      </c>
      <c r="B17" s="23">
        <f>MIN(B15,B16)</f>
        <v/>
      </c>
    </row>
    <row r="18">
      <c r="A18" s="13" t="inlineStr">
        <is>
          <t>Less: pension adjustment</t>
        </is>
      </c>
      <c r="B18" s="23">
        <f>'Your Numbers'!$B$16</f>
        <v/>
      </c>
    </row>
    <row r="19">
      <c r="A19" s="13" t="inlineStr">
        <is>
          <t>Plus: unused room carried forward</t>
        </is>
      </c>
      <c r="B19" s="23">
        <f>'Your Numbers'!$B$22</f>
        <v/>
      </c>
    </row>
    <row r="20">
      <c r="A20" s="13" t="inlineStr">
        <is>
          <t>Less: contributions already made</t>
        </is>
      </c>
      <c r="B20" s="23">
        <f>'Your Numbers'!$B$23</f>
        <v/>
      </c>
    </row>
    <row r="21">
      <c r="A21" s="4" t="inlineStr">
        <is>
          <t>ROOM AVAILABLE TODAY</t>
        </is>
      </c>
      <c r="B21" s="24">
        <f>B17-B18+B19-B20</f>
        <v/>
      </c>
    </row>
    <row r="22">
      <c r="A22" s="13" t="inlineStr">
        <is>
          <t>Tax refund if you contribute it all</t>
        </is>
      </c>
      <c r="B22" s="24">
        <f>MAX(0,B21)*'Your Numbers'!$B$14</f>
        <v/>
      </c>
    </row>
    <row r="24">
      <c r="A24" s="16" t="inlineStr">
        <is>
          <t>Dollar limits are as published by CRA; the 2026 figure is indexed — verify before filing.</t>
        </is>
      </c>
    </row>
    <row r="25">
      <c r="A25" s="16" t="inlineStr">
        <is>
          <t>You have a $2,000 lifetime over-contribution cushion, but it is not deductible. Do not lean on it.</t>
        </is>
      </c>
    </row>
  </sheetData>
  <pageMargins left="0.75" right="0.75" top="1" bottom="1" header="0.5" footer="0.5"/>
</worksheet>
</file>

<file path=xl/worksheets/sheet5.xml><?xml version="1.0" encoding="utf-8"?>
<worksheet xmlns="http://schemas.openxmlformats.org/spreadsheetml/2006/main">
  <sheetPr>
    <tabColor rgb="0000B4A6"/>
    <outlinePr summaryBelow="1" summaryRight="1"/>
    <pageSetUpPr/>
  </sheetPr>
  <dimension ref="A1:F20"/>
  <sheetViews>
    <sheetView showGridLines="0" workbookViewId="0">
      <selection activeCell="A1" sqref="A1"/>
    </sheetView>
  </sheetViews>
  <sheetFormatPr baseColWidth="8" defaultRowHeight="15"/>
  <cols>
    <col width="46" customWidth="1" min="1" max="1"/>
    <col width="18" customWidth="1" min="2" max="2"/>
    <col width="18" customWidth="1" min="3" max="3"/>
    <col width="52" customWidth="1" min="4" max="4"/>
  </cols>
  <sheetData>
    <row r="1" ht="30" customHeight="1">
      <c r="A1" s="1" t="inlineStr">
        <is>
          <t>TFSA vs RRSP</t>
        </is>
      </c>
      <c r="B1" s="2" t="n"/>
      <c r="C1" s="2" t="n"/>
      <c r="D1" s="2" t="n"/>
      <c r="E1" s="2" t="n"/>
      <c r="F1" s="2" t="n"/>
    </row>
    <row r="2" ht="18" customHeight="1">
      <c r="A2" s="3" t="inlineStr">
        <is>
          <t>Same dollars, both accounts, side by side after tax.</t>
        </is>
      </c>
      <c r="B2" s="2" t="n"/>
      <c r="C2" s="2" t="n"/>
      <c r="D2" s="2" t="n"/>
      <c r="E2" s="2" t="n"/>
      <c r="F2" s="2" t="n"/>
    </row>
    <row r="4" ht="20" customHeight="1">
      <c r="A4" s="11" t="inlineStr">
        <is>
          <t>IF YOU PUT THIS YEAR'S SAVINGS IN ONE ACCOUNT</t>
        </is>
      </c>
      <c r="B4" s="12" t="n"/>
      <c r="C4" s="12" t="n"/>
      <c r="D4" s="12" t="n"/>
      <c r="E4" s="12" t="n"/>
      <c r="F4" s="12" t="n"/>
    </row>
    <row r="5" ht="28" customHeight="1">
      <c r="A5" s="19" t="inlineStr"/>
      <c r="B5" s="19" t="inlineStr">
        <is>
          <t>TFSA route</t>
        </is>
      </c>
      <c r="C5" s="19" t="inlineStr">
        <is>
          <t>RRSP route</t>
        </is>
      </c>
      <c r="D5" s="19" t="inlineStr">
        <is>
          <t>What this line means</t>
        </is>
      </c>
    </row>
    <row r="6">
      <c r="A6" s="25" t="inlineStr">
        <is>
          <t>Amount contributed</t>
        </is>
      </c>
      <c r="B6" s="23">
        <f>'Your Numbers'!$B$27</f>
        <v/>
      </c>
      <c r="C6" s="23">
        <f>'Your Numbers'!$B$27</f>
        <v/>
      </c>
      <c r="D6" s="16" t="inlineStr">
        <is>
          <t>The same out-of-pocket dollars either way.</t>
        </is>
      </c>
    </row>
    <row r="7">
      <c r="A7" s="25" t="inlineStr">
        <is>
          <t>Immediate tax refund</t>
        </is>
      </c>
      <c r="B7" s="23" t="inlineStr">
        <is>
          <t>0</t>
        </is>
      </c>
      <c r="C7" s="23">
        <f>'Your Numbers'!$B$27*'Your Numbers'!$B$14</f>
        <v/>
      </c>
      <c r="D7" s="16" t="inlineStr">
        <is>
          <t>RRSP contributions are deductible; TFSA contributions are not.</t>
        </is>
      </c>
    </row>
    <row r="8">
      <c r="A8" s="25" t="inlineStr">
        <is>
          <t>Refund reinvested at the same return</t>
        </is>
      </c>
      <c r="B8" s="23" t="inlineStr">
        <is>
          <t>0</t>
        </is>
      </c>
      <c r="C8" s="23">
        <f>C7*(1+'Your Numbers'!$B$28)^'Your Numbers'!$B$29</f>
        <v/>
      </c>
      <c r="D8" s="16" t="inlineStr">
        <is>
          <t>Only counts if you actually invest the refund.</t>
        </is>
      </c>
    </row>
    <row r="9">
      <c r="A9" s="25" t="inlineStr">
        <is>
          <t>Value at the end of the horizon</t>
        </is>
      </c>
      <c r="B9" s="23">
        <f>B6*(1+'Your Numbers'!$B$28)^'Your Numbers'!$B$29</f>
        <v/>
      </c>
      <c r="C9" s="23">
        <f>C6*(1+'Your Numbers'!$B$28)^'Your Numbers'!$B$29</f>
        <v/>
      </c>
      <c r="D9" s="16" t="inlineStr">
        <is>
          <t>Growth before any tax on withdrawal.</t>
        </is>
      </c>
    </row>
    <row r="10">
      <c r="A10" s="25" t="inlineStr">
        <is>
          <t>Tax on withdrawal</t>
        </is>
      </c>
      <c r="B10" s="23" t="inlineStr">
        <is>
          <t>0</t>
        </is>
      </c>
      <c r="C10" s="23">
        <f>-C9*'Your Numbers'!$B$15</f>
        <v/>
      </c>
      <c r="D10" s="16" t="inlineStr">
        <is>
          <t>RRSP/RRIF withdrawals are fully taxable as income.</t>
        </is>
      </c>
    </row>
    <row r="11">
      <c r="A11" s="25" t="inlineStr">
        <is>
          <t>Refund pot after tax (non-registered, simplified)</t>
        </is>
      </c>
      <c r="B11" s="23" t="inlineStr">
        <is>
          <t>0</t>
        </is>
      </c>
      <c r="C11" s="23">
        <f>C8*(1-'Your Numbers'!$B$15*0.5)</f>
        <v/>
      </c>
      <c r="D11" s="16" t="inlineStr">
        <is>
          <t>Assumes the refund grows in a taxable account.</t>
        </is>
      </c>
    </row>
    <row r="12">
      <c r="A12" s="13" t="inlineStr">
        <is>
          <t>AFTER-TAX VALUE</t>
        </is>
      </c>
      <c r="B12" s="24">
        <f>B9</f>
        <v/>
      </c>
      <c r="C12" s="24">
        <f>C9+C10+C11</f>
        <v/>
      </c>
      <c r="D12" s="16" t="inlineStr">
        <is>
          <t>The number that actually matters.</t>
        </is>
      </c>
    </row>
    <row r="14">
      <c r="A14" s="4" t="inlineStr">
        <is>
          <t>WHICH ONE WINS FOR YOU</t>
        </is>
      </c>
    </row>
    <row r="15" ht="32" customHeight="1">
      <c r="A15" s="26">
        <f>IF('Your Numbers'!$B$14&gt;'Your Numbers'!$B$15,"RRSP first — you deduct at a higher rate than you will pay on withdrawal.",IF('Your Numbers'!$B$14&lt;'Your Numbers'!$B$15,"TFSA first — you would deduct at a low rate and pay tax at a higher one later.","Close call — your rate now equals your expected rate later, so use the TFSA for flexibility."))</f>
        <v/>
      </c>
      <c r="B15" s="27" t="n"/>
      <c r="C15" s="27" t="n"/>
      <c r="D15" s="28" t="n"/>
    </row>
    <row r="17" ht="20" customHeight="1">
      <c r="A17" s="11" t="inlineStr">
        <is>
          <t>YOUR ROOM, PULLED FROM THE OTHER TABS</t>
        </is>
      </c>
      <c r="B17" s="12" t="n"/>
      <c r="C17" s="12" t="n"/>
      <c r="D17" s="12" t="n"/>
      <c r="E17" s="12" t="n"/>
      <c r="F17" s="12" t="n"/>
    </row>
    <row r="18">
      <c r="A18" s="13" t="inlineStr">
        <is>
          <t>TFSA room available</t>
        </is>
      </c>
      <c r="B18" s="24">
        <f>'TFSA Room'!$B$27</f>
        <v/>
      </c>
    </row>
    <row r="19">
      <c r="A19" s="13" t="inlineStr">
        <is>
          <t>RRSP room available</t>
        </is>
      </c>
      <c r="B19" s="24">
        <f>'RRSP Room'!$B$21</f>
        <v/>
      </c>
    </row>
    <row r="20">
      <c r="A20" s="13" t="inlineStr">
        <is>
          <t>Total room available</t>
        </is>
      </c>
      <c r="B20" s="24">
        <f>B18+B19</f>
        <v/>
      </c>
    </row>
  </sheetData>
  <mergeCells count="1">
    <mergeCell ref="A15:D15"/>
  </mergeCells>
  <pageMargins left="0.75" right="0.75" top="1" bottom="1" header="0.5" footer="0.5"/>
</worksheet>
</file>

<file path=xl/worksheets/sheet6.xml><?xml version="1.0" encoding="utf-8"?>
<worksheet xmlns="http://schemas.openxmlformats.org/spreadsheetml/2006/main">
  <sheetPr>
    <tabColor rgb="0000B4A6"/>
    <outlinePr summaryBelow="1" summaryRight="1"/>
    <pageSetUpPr/>
  </sheetPr>
  <dimension ref="A1:E34"/>
  <sheetViews>
    <sheetView showGridLines="0" workbookViewId="0">
      <selection activeCell="A1" sqref="A1"/>
    </sheetView>
  </sheetViews>
  <sheetFormatPr baseColWidth="8" defaultRowHeight="15"/>
  <cols>
    <col width="8" customWidth="1" min="1" max="1"/>
    <col width="20" customWidth="1" min="2" max="2"/>
    <col width="22" customWidth="1" min="3" max="3"/>
    <col width="14" customWidth="1" min="4" max="4"/>
    <col width="16" customWidth="1" min="5" max="5"/>
  </cols>
  <sheetData>
    <row r="1" ht="30" customHeight="1">
      <c r="A1" s="1" t="inlineStr">
        <is>
          <t>Projection</t>
        </is>
      </c>
      <c r="B1" s="2" t="n"/>
      <c r="C1" s="2" t="n"/>
      <c r="D1" s="2" t="n"/>
      <c r="E1" s="2" t="n"/>
    </row>
    <row r="2" ht="18" customHeight="1">
      <c r="A2" s="3" t="inlineStr">
        <is>
          <t>What steady contributions look like over time.</t>
        </is>
      </c>
      <c r="B2" s="2" t="n"/>
      <c r="C2" s="2" t="n"/>
      <c r="D2" s="2" t="n"/>
      <c r="E2" s="2" t="n"/>
    </row>
    <row r="4" ht="28" customHeight="1">
      <c r="A4" s="19" t="inlineStr">
        <is>
          <t>Year</t>
        </is>
      </c>
      <c r="B4" s="19" t="inlineStr">
        <is>
          <t>Contributed this year</t>
        </is>
      </c>
      <c r="C4" s="19" t="inlineStr">
        <is>
          <t>Cumulative contributed</t>
        </is>
      </c>
      <c r="D4" s="19" t="inlineStr">
        <is>
          <t>Growth</t>
        </is>
      </c>
      <c r="E4" s="19" t="inlineStr">
        <is>
          <t>Balance</t>
        </is>
      </c>
    </row>
    <row r="5">
      <c r="A5" s="20" t="n">
        <v>1</v>
      </c>
      <c r="B5" s="23">
        <f>IF(A5&lt;='Your Numbers'!$B$29,'Your Numbers'!$B$27,0)</f>
        <v/>
      </c>
      <c r="C5" s="23">
        <f>B5</f>
        <v/>
      </c>
      <c r="D5" s="23">
        <f>(0+B5)*'Your Numbers'!$B$28</f>
        <v/>
      </c>
      <c r="E5" s="24">
        <f>0+B5+D5</f>
        <v/>
      </c>
    </row>
    <row r="6">
      <c r="A6" s="20" t="n">
        <v>2</v>
      </c>
      <c r="B6" s="23">
        <f>IF(A6&lt;='Your Numbers'!$B$29,'Your Numbers'!$B$27,0)</f>
        <v/>
      </c>
      <c r="C6" s="23">
        <f>C5+B6</f>
        <v/>
      </c>
      <c r="D6" s="23">
        <f>(E5+B6)*'Your Numbers'!$B$28</f>
        <v/>
      </c>
      <c r="E6" s="24">
        <f>E5+B6+D6</f>
        <v/>
      </c>
    </row>
    <row r="7">
      <c r="A7" s="20" t="n">
        <v>3</v>
      </c>
      <c r="B7" s="23">
        <f>IF(A7&lt;='Your Numbers'!$B$29,'Your Numbers'!$B$27,0)</f>
        <v/>
      </c>
      <c r="C7" s="23">
        <f>C6+B7</f>
        <v/>
      </c>
      <c r="D7" s="23">
        <f>(E6+B7)*'Your Numbers'!$B$28</f>
        <v/>
      </c>
      <c r="E7" s="24">
        <f>E6+B7+D7</f>
        <v/>
      </c>
    </row>
    <row r="8">
      <c r="A8" s="20" t="n">
        <v>4</v>
      </c>
      <c r="B8" s="23">
        <f>IF(A8&lt;='Your Numbers'!$B$29,'Your Numbers'!$B$27,0)</f>
        <v/>
      </c>
      <c r="C8" s="23">
        <f>C7+B8</f>
        <v/>
      </c>
      <c r="D8" s="23">
        <f>(E7+B8)*'Your Numbers'!$B$28</f>
        <v/>
      </c>
      <c r="E8" s="24">
        <f>E7+B8+D8</f>
        <v/>
      </c>
    </row>
    <row r="9">
      <c r="A9" s="20" t="n">
        <v>5</v>
      </c>
      <c r="B9" s="23">
        <f>IF(A9&lt;='Your Numbers'!$B$29,'Your Numbers'!$B$27,0)</f>
        <v/>
      </c>
      <c r="C9" s="23">
        <f>C8+B9</f>
        <v/>
      </c>
      <c r="D9" s="23">
        <f>(E8+B9)*'Your Numbers'!$B$28</f>
        <v/>
      </c>
      <c r="E9" s="24">
        <f>E8+B9+D9</f>
        <v/>
      </c>
    </row>
    <row r="10">
      <c r="A10" s="20" t="n">
        <v>6</v>
      </c>
      <c r="B10" s="23">
        <f>IF(A10&lt;='Your Numbers'!$B$29,'Your Numbers'!$B$27,0)</f>
        <v/>
      </c>
      <c r="C10" s="23">
        <f>C9+B10</f>
        <v/>
      </c>
      <c r="D10" s="23">
        <f>(E9+B10)*'Your Numbers'!$B$28</f>
        <v/>
      </c>
      <c r="E10" s="24">
        <f>E9+B10+D10</f>
        <v/>
      </c>
    </row>
    <row r="11">
      <c r="A11" s="20" t="n">
        <v>7</v>
      </c>
      <c r="B11" s="23">
        <f>IF(A11&lt;='Your Numbers'!$B$29,'Your Numbers'!$B$27,0)</f>
        <v/>
      </c>
      <c r="C11" s="23">
        <f>C10+B11</f>
        <v/>
      </c>
      <c r="D11" s="23">
        <f>(E10+B11)*'Your Numbers'!$B$28</f>
        <v/>
      </c>
      <c r="E11" s="24">
        <f>E10+B11+D11</f>
        <v/>
      </c>
    </row>
    <row r="12">
      <c r="A12" s="20" t="n">
        <v>8</v>
      </c>
      <c r="B12" s="23">
        <f>IF(A12&lt;='Your Numbers'!$B$29,'Your Numbers'!$B$27,0)</f>
        <v/>
      </c>
      <c r="C12" s="23">
        <f>C11+B12</f>
        <v/>
      </c>
      <c r="D12" s="23">
        <f>(E11+B12)*'Your Numbers'!$B$28</f>
        <v/>
      </c>
      <c r="E12" s="24">
        <f>E11+B12+D12</f>
        <v/>
      </c>
    </row>
    <row r="13">
      <c r="A13" s="20" t="n">
        <v>9</v>
      </c>
      <c r="B13" s="23">
        <f>IF(A13&lt;='Your Numbers'!$B$29,'Your Numbers'!$B$27,0)</f>
        <v/>
      </c>
      <c r="C13" s="23">
        <f>C12+B13</f>
        <v/>
      </c>
      <c r="D13" s="23">
        <f>(E12+B13)*'Your Numbers'!$B$28</f>
        <v/>
      </c>
      <c r="E13" s="24">
        <f>E12+B13+D13</f>
        <v/>
      </c>
    </row>
    <row r="14">
      <c r="A14" s="20" t="n">
        <v>10</v>
      </c>
      <c r="B14" s="23">
        <f>IF(A14&lt;='Your Numbers'!$B$29,'Your Numbers'!$B$27,0)</f>
        <v/>
      </c>
      <c r="C14" s="23">
        <f>C13+B14</f>
        <v/>
      </c>
      <c r="D14" s="23">
        <f>(E13+B14)*'Your Numbers'!$B$28</f>
        <v/>
      </c>
      <c r="E14" s="24">
        <f>E13+B14+D14</f>
        <v/>
      </c>
    </row>
    <row r="15">
      <c r="A15" s="20" t="n">
        <v>11</v>
      </c>
      <c r="B15" s="23">
        <f>IF(A15&lt;='Your Numbers'!$B$29,'Your Numbers'!$B$27,0)</f>
        <v/>
      </c>
      <c r="C15" s="23">
        <f>C14+B15</f>
        <v/>
      </c>
      <c r="D15" s="23">
        <f>(E14+B15)*'Your Numbers'!$B$28</f>
        <v/>
      </c>
      <c r="E15" s="24">
        <f>E14+B15+D15</f>
        <v/>
      </c>
    </row>
    <row r="16">
      <c r="A16" s="20" t="n">
        <v>12</v>
      </c>
      <c r="B16" s="23">
        <f>IF(A16&lt;='Your Numbers'!$B$29,'Your Numbers'!$B$27,0)</f>
        <v/>
      </c>
      <c r="C16" s="23">
        <f>C15+B16</f>
        <v/>
      </c>
      <c r="D16" s="23">
        <f>(E15+B16)*'Your Numbers'!$B$28</f>
        <v/>
      </c>
      <c r="E16" s="24">
        <f>E15+B16+D16</f>
        <v/>
      </c>
    </row>
    <row r="17">
      <c r="A17" s="20" t="n">
        <v>13</v>
      </c>
      <c r="B17" s="23">
        <f>IF(A17&lt;='Your Numbers'!$B$29,'Your Numbers'!$B$27,0)</f>
        <v/>
      </c>
      <c r="C17" s="23">
        <f>C16+B17</f>
        <v/>
      </c>
      <c r="D17" s="23">
        <f>(E16+B17)*'Your Numbers'!$B$28</f>
        <v/>
      </c>
      <c r="E17" s="24">
        <f>E16+B17+D17</f>
        <v/>
      </c>
    </row>
    <row r="18">
      <c r="A18" s="20" t="n">
        <v>14</v>
      </c>
      <c r="B18" s="23">
        <f>IF(A18&lt;='Your Numbers'!$B$29,'Your Numbers'!$B$27,0)</f>
        <v/>
      </c>
      <c r="C18" s="23">
        <f>C17+B18</f>
        <v/>
      </c>
      <c r="D18" s="23">
        <f>(E17+B18)*'Your Numbers'!$B$28</f>
        <v/>
      </c>
      <c r="E18" s="24">
        <f>E17+B18+D18</f>
        <v/>
      </c>
    </row>
    <row r="19">
      <c r="A19" s="20" t="n">
        <v>15</v>
      </c>
      <c r="B19" s="23">
        <f>IF(A19&lt;='Your Numbers'!$B$29,'Your Numbers'!$B$27,0)</f>
        <v/>
      </c>
      <c r="C19" s="23">
        <f>C18+B19</f>
        <v/>
      </c>
      <c r="D19" s="23">
        <f>(E18+B19)*'Your Numbers'!$B$28</f>
        <v/>
      </c>
      <c r="E19" s="24">
        <f>E18+B19+D19</f>
        <v/>
      </c>
    </row>
    <row r="20">
      <c r="A20" s="20" t="n">
        <v>16</v>
      </c>
      <c r="B20" s="23">
        <f>IF(A20&lt;='Your Numbers'!$B$29,'Your Numbers'!$B$27,0)</f>
        <v/>
      </c>
      <c r="C20" s="23">
        <f>C19+B20</f>
        <v/>
      </c>
      <c r="D20" s="23">
        <f>(E19+B20)*'Your Numbers'!$B$28</f>
        <v/>
      </c>
      <c r="E20" s="24">
        <f>E19+B20+D20</f>
        <v/>
      </c>
    </row>
    <row r="21">
      <c r="A21" s="20" t="n">
        <v>17</v>
      </c>
      <c r="B21" s="23">
        <f>IF(A21&lt;='Your Numbers'!$B$29,'Your Numbers'!$B$27,0)</f>
        <v/>
      </c>
      <c r="C21" s="23">
        <f>C20+B21</f>
        <v/>
      </c>
      <c r="D21" s="23">
        <f>(E20+B21)*'Your Numbers'!$B$28</f>
        <v/>
      </c>
      <c r="E21" s="24">
        <f>E20+B21+D21</f>
        <v/>
      </c>
    </row>
    <row r="22">
      <c r="A22" s="20" t="n">
        <v>18</v>
      </c>
      <c r="B22" s="23">
        <f>IF(A22&lt;='Your Numbers'!$B$29,'Your Numbers'!$B$27,0)</f>
        <v/>
      </c>
      <c r="C22" s="23">
        <f>C21+B22</f>
        <v/>
      </c>
      <c r="D22" s="23">
        <f>(E21+B22)*'Your Numbers'!$B$28</f>
        <v/>
      </c>
      <c r="E22" s="24">
        <f>E21+B22+D22</f>
        <v/>
      </c>
    </row>
    <row r="23">
      <c r="A23" s="20" t="n">
        <v>19</v>
      </c>
      <c r="B23" s="23">
        <f>IF(A23&lt;='Your Numbers'!$B$29,'Your Numbers'!$B$27,0)</f>
        <v/>
      </c>
      <c r="C23" s="23">
        <f>C22+B23</f>
        <v/>
      </c>
      <c r="D23" s="23">
        <f>(E22+B23)*'Your Numbers'!$B$28</f>
        <v/>
      </c>
      <c r="E23" s="24">
        <f>E22+B23+D23</f>
        <v/>
      </c>
    </row>
    <row r="24">
      <c r="A24" s="20" t="n">
        <v>20</v>
      </c>
      <c r="B24" s="23">
        <f>IF(A24&lt;='Your Numbers'!$B$29,'Your Numbers'!$B$27,0)</f>
        <v/>
      </c>
      <c r="C24" s="23">
        <f>C23+B24</f>
        <v/>
      </c>
      <c r="D24" s="23">
        <f>(E23+B24)*'Your Numbers'!$B$28</f>
        <v/>
      </c>
      <c r="E24" s="24">
        <f>E23+B24+D24</f>
        <v/>
      </c>
    </row>
    <row r="25">
      <c r="A25" s="20" t="n">
        <v>21</v>
      </c>
      <c r="B25" s="23">
        <f>IF(A25&lt;='Your Numbers'!$B$29,'Your Numbers'!$B$27,0)</f>
        <v/>
      </c>
      <c r="C25" s="23">
        <f>C24+B25</f>
        <v/>
      </c>
      <c r="D25" s="23">
        <f>(E24+B25)*'Your Numbers'!$B$28</f>
        <v/>
      </c>
      <c r="E25" s="24">
        <f>E24+B25+D25</f>
        <v/>
      </c>
    </row>
    <row r="26">
      <c r="A26" s="20" t="n">
        <v>22</v>
      </c>
      <c r="B26" s="23">
        <f>IF(A26&lt;='Your Numbers'!$B$29,'Your Numbers'!$B$27,0)</f>
        <v/>
      </c>
      <c r="C26" s="23">
        <f>C25+B26</f>
        <v/>
      </c>
      <c r="D26" s="23">
        <f>(E25+B26)*'Your Numbers'!$B$28</f>
        <v/>
      </c>
      <c r="E26" s="24">
        <f>E25+B26+D26</f>
        <v/>
      </c>
    </row>
    <row r="27">
      <c r="A27" s="20" t="n">
        <v>23</v>
      </c>
      <c r="B27" s="23">
        <f>IF(A27&lt;='Your Numbers'!$B$29,'Your Numbers'!$B$27,0)</f>
        <v/>
      </c>
      <c r="C27" s="23">
        <f>C26+B27</f>
        <v/>
      </c>
      <c r="D27" s="23">
        <f>(E26+B27)*'Your Numbers'!$B$28</f>
        <v/>
      </c>
      <c r="E27" s="24">
        <f>E26+B27+D27</f>
        <v/>
      </c>
    </row>
    <row r="28">
      <c r="A28" s="20" t="n">
        <v>24</v>
      </c>
      <c r="B28" s="23">
        <f>IF(A28&lt;='Your Numbers'!$B$29,'Your Numbers'!$B$27,0)</f>
        <v/>
      </c>
      <c r="C28" s="23">
        <f>C27+B28</f>
        <v/>
      </c>
      <c r="D28" s="23">
        <f>(E27+B28)*'Your Numbers'!$B$28</f>
        <v/>
      </c>
      <c r="E28" s="24">
        <f>E27+B28+D28</f>
        <v/>
      </c>
    </row>
    <row r="29">
      <c r="A29" s="20" t="n">
        <v>25</v>
      </c>
      <c r="B29" s="23">
        <f>IF(A29&lt;='Your Numbers'!$B$29,'Your Numbers'!$B$27,0)</f>
        <v/>
      </c>
      <c r="C29" s="23">
        <f>C28+B29</f>
        <v/>
      </c>
      <c r="D29" s="23">
        <f>(E28+B29)*'Your Numbers'!$B$28</f>
        <v/>
      </c>
      <c r="E29" s="24">
        <f>E28+B29+D29</f>
        <v/>
      </c>
    </row>
    <row r="30">
      <c r="A30" s="20" t="n">
        <v>26</v>
      </c>
      <c r="B30" s="23">
        <f>IF(A30&lt;='Your Numbers'!$B$29,'Your Numbers'!$B$27,0)</f>
        <v/>
      </c>
      <c r="C30" s="23">
        <f>C29+B30</f>
        <v/>
      </c>
      <c r="D30" s="23">
        <f>(E29+B30)*'Your Numbers'!$B$28</f>
        <v/>
      </c>
      <c r="E30" s="24">
        <f>E29+B30+D30</f>
        <v/>
      </c>
    </row>
    <row r="31">
      <c r="A31" s="20" t="n">
        <v>27</v>
      </c>
      <c r="B31" s="23">
        <f>IF(A31&lt;='Your Numbers'!$B$29,'Your Numbers'!$B$27,0)</f>
        <v/>
      </c>
      <c r="C31" s="23">
        <f>C30+B31</f>
        <v/>
      </c>
      <c r="D31" s="23">
        <f>(E30+B31)*'Your Numbers'!$B$28</f>
        <v/>
      </c>
      <c r="E31" s="24">
        <f>E30+B31+D31</f>
        <v/>
      </c>
    </row>
    <row r="32">
      <c r="A32" s="20" t="n">
        <v>28</v>
      </c>
      <c r="B32" s="23">
        <f>IF(A32&lt;='Your Numbers'!$B$29,'Your Numbers'!$B$27,0)</f>
        <v/>
      </c>
      <c r="C32" s="23">
        <f>C31+B32</f>
        <v/>
      </c>
      <c r="D32" s="23">
        <f>(E31+B32)*'Your Numbers'!$B$28</f>
        <v/>
      </c>
      <c r="E32" s="24">
        <f>E31+B32+D32</f>
        <v/>
      </c>
    </row>
    <row r="33">
      <c r="A33" s="20" t="n">
        <v>29</v>
      </c>
      <c r="B33" s="23">
        <f>IF(A33&lt;='Your Numbers'!$B$29,'Your Numbers'!$B$27,0)</f>
        <v/>
      </c>
      <c r="C33" s="23">
        <f>C32+B33</f>
        <v/>
      </c>
      <c r="D33" s="23">
        <f>(E32+B33)*'Your Numbers'!$B$28</f>
        <v/>
      </c>
      <c r="E33" s="24">
        <f>E32+B33+D33</f>
        <v/>
      </c>
    </row>
    <row r="34">
      <c r="A34" s="20" t="n">
        <v>30</v>
      </c>
      <c r="B34" s="23">
        <f>IF(A34&lt;='Your Numbers'!$B$29,'Your Numbers'!$B$27,0)</f>
        <v/>
      </c>
      <c r="C34" s="23">
        <f>C33+B34</f>
        <v/>
      </c>
      <c r="D34" s="23">
        <f>(E33+B34)*'Your Numbers'!$B$28</f>
        <v/>
      </c>
      <c r="E34" s="24">
        <f>E33+B34+D34</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2026-09-05T08:21:31Z</dcterms:created>
  <dcterms:modified xsi:type="dcterms:W3CDTF">2026-09-05T08:21:31Z</dcterms:modified>
</cp:coreProperties>
</file>