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rawings/drawing1.xml" ContentType="application/vnd.openxmlformats-officedocument.drawing+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art Here" sheetId="1" state="visible" r:id="rId1"/>
    <sheet name="Assumptions" sheetId="2" state="visible" r:id="rId2"/>
    <sheet name="Income Statement" sheetId="3" state="visible" r:id="rId3"/>
    <sheet name="Balance Sheet" sheetId="4" state="visible" r:id="rId4"/>
    <sheet name="Cash Flow" sheetId="5" state="visible" r:id="rId5"/>
    <sheet name="Ratios &amp; Dashboard" sheetId="6" state="visible" r:id="rId6"/>
  </sheets>
  <definedNames/>
  <calcPr calcId="124519" fullCalcOnLoad="1"/>
</workbook>
</file>

<file path=xl/styles.xml><?xml version="1.0" encoding="utf-8"?>
<styleSheet xmlns="http://schemas.openxmlformats.org/spreadsheetml/2006/main">
  <numFmts count="2">
    <numFmt numFmtId="164" formatCode="0.0%"/>
    <numFmt numFmtId="165" formatCode="$#,##0"/>
  </numFmts>
  <fonts count="11">
    <font>
      <name val="Calibri"/>
      <family val="2"/>
      <color theme="1"/>
      <sz val="11"/>
      <scheme val="minor"/>
    </font>
    <font>
      <name val="Calibri"/>
      <b val="1"/>
      <color rgb="00FFFFFF"/>
      <sz val="18"/>
    </font>
    <font>
      <name val="Calibri"/>
      <color rgb="00C9A84C"/>
      <sz val="10"/>
    </font>
    <font>
      <b val="1"/>
      <color rgb="00FFFFFF"/>
      <sz val="11"/>
    </font>
    <font>
      <b val="1"/>
      <color rgb="00FFFFFF"/>
      <sz val="10"/>
    </font>
    <font>
      <b val="1"/>
    </font>
    <font>
      <b val="1"/>
      <color rgb="001A1A1A"/>
    </font>
    <font/>
    <font>
      <b val="1"/>
      <color rgb="000D1F3C"/>
      <sz val="12"/>
    </font>
    <font>
      <color rgb="008A97AB"/>
      <sz val="9"/>
    </font>
    <font>
      <b val="1"/>
      <color rgb="000D1F3C"/>
      <sz val="10"/>
    </font>
  </fonts>
  <fills count="7">
    <fill>
      <patternFill/>
    </fill>
    <fill>
      <patternFill patternType="gray125"/>
    </fill>
    <fill>
      <patternFill patternType="solid">
        <fgColor rgb="000A1628"/>
      </patternFill>
    </fill>
    <fill>
      <patternFill patternType="solid">
        <fgColor rgb="000D1F3C"/>
      </patternFill>
    </fill>
    <fill>
      <patternFill patternType="solid">
        <fgColor rgb="0000B4A6"/>
      </patternFill>
    </fill>
    <fill>
      <patternFill patternType="solid">
        <fgColor rgb="00FFF7DC"/>
      </patternFill>
    </fill>
    <fill>
      <patternFill patternType="solid">
        <fgColor rgb="00EDF1F6"/>
      </patternFill>
    </fill>
  </fills>
  <borders count="6">
    <border>
      <left/>
      <right/>
      <top/>
      <bottom/>
      <diagonal/>
    </border>
    <border>
      <left style="thin">
        <color rgb="00C7D0DB"/>
      </left>
      <right style="thin">
        <color rgb="00C7D0DB"/>
      </right>
      <top style="thin">
        <color rgb="00C7D0DB"/>
      </top>
      <bottom style="thin">
        <color rgb="00C7D0DB"/>
      </bottom>
    </border>
    <border>
      <left/>
      <right/>
      <top style="thin">
        <color rgb="00C7D0DB"/>
      </top>
      <bottom/>
      <diagonal/>
    </border>
    <border>
      <left/>
      <right style="thin">
        <color rgb="00C7D0DB"/>
      </right>
      <top style="thin">
        <color rgb="00C7D0DB"/>
      </top>
      <bottom/>
      <diagonal/>
    </border>
    <border>
      <left/>
      <right/>
      <top style="thin">
        <color rgb="00C7D0DB"/>
      </top>
      <bottom style="thin">
        <color rgb="00C7D0DB"/>
      </bottom>
      <diagonal/>
    </border>
    <border>
      <left/>
      <right style="thin">
        <color rgb="00C7D0DB"/>
      </right>
      <top style="thin">
        <color rgb="00C7D0DB"/>
      </top>
      <bottom style="thin">
        <color rgb="00C7D0DB"/>
      </bottom>
      <diagonal/>
    </border>
  </borders>
  <cellStyleXfs count="1">
    <xf numFmtId="0" fontId="0" fillId="0" borderId="0"/>
  </cellStyleXfs>
  <cellXfs count="30">
    <xf numFmtId="0" fontId="0" fillId="0" borderId="0" pivotButton="0" quotePrefix="0" xfId="0"/>
    <xf numFmtId="0" fontId="1" fillId="2" borderId="0" pivotButton="0" quotePrefix="0" xfId="0"/>
    <xf numFmtId="0" fontId="0" fillId="2" borderId="0" pivotButton="0" quotePrefix="0" xfId="0"/>
    <xf numFmtId="0" fontId="2" fillId="2" borderId="0" pivotButton="0" quotePrefix="0" xfId="0"/>
    <xf numFmtId="0" fontId="8" fillId="0" borderId="0" pivotButton="0" quotePrefix="0" xfId="0"/>
    <xf numFmtId="0" fontId="0" fillId="0" borderId="0" applyAlignment="1" pivotButton="0" quotePrefix="0" xfId="0">
      <alignment wrapText="1"/>
    </xf>
    <xf numFmtId="0" fontId="0" fillId="5" borderId="0" pivotButton="0" quotePrefix="0" xfId="0"/>
    <xf numFmtId="0" fontId="0" fillId="6" borderId="0" pivotButton="0" quotePrefix="0" xfId="0"/>
    <xf numFmtId="0" fontId="9" fillId="0" borderId="0" applyAlignment="1" pivotButton="0" quotePrefix="0" xfId="0">
      <alignment vertical="top" wrapText="1"/>
    </xf>
    <xf numFmtId="0" fontId="10" fillId="0" borderId="0" pivotButton="0" quotePrefix="0" xfId="0"/>
    <xf numFmtId="0" fontId="9" fillId="0" borderId="0" pivotButton="0" quotePrefix="0" xfId="0"/>
    <xf numFmtId="0" fontId="3" fillId="3" borderId="0" pivotButton="0" quotePrefix="0" xfId="0"/>
    <xf numFmtId="0" fontId="0" fillId="3" borderId="0" pivotButton="0" quotePrefix="0" xfId="0"/>
    <xf numFmtId="0" fontId="4" fillId="4" borderId="1" applyAlignment="1" pivotButton="0" quotePrefix="0" xfId="0">
      <alignment horizontal="center" vertical="center" wrapText="1"/>
    </xf>
    <xf numFmtId="0" fontId="5" fillId="0" borderId="0" pivotButton="0" quotePrefix="0" xfId="0"/>
    <xf numFmtId="0" fontId="0" fillId="0" borderId="1" pivotButton="0" quotePrefix="0" xfId="0"/>
    <xf numFmtId="164" fontId="6" fillId="5" borderId="1" pivotButton="0" quotePrefix="0" xfId="0"/>
    <xf numFmtId="10" fontId="6" fillId="5" borderId="1" pivotButton="0" quotePrefix="0" xfId="0"/>
    <xf numFmtId="1" fontId="6" fillId="5" borderId="1" pivotButton="0" quotePrefix="0" xfId="0"/>
    <xf numFmtId="165" fontId="6" fillId="5" borderId="1" pivotButton="0" quotePrefix="0" xfId="0"/>
    <xf numFmtId="0" fontId="7" fillId="6" borderId="1" pivotButton="0" quotePrefix="0" xfId="0"/>
    <xf numFmtId="0" fontId="0" fillId="0" borderId="4" pivotButton="0" quotePrefix="0" xfId="0"/>
    <xf numFmtId="0" fontId="0" fillId="0" borderId="5" pivotButton="0" quotePrefix="0" xfId="0"/>
    <xf numFmtId="165" fontId="5" fillId="6" borderId="1" pivotButton="0" quotePrefix="0" xfId="0"/>
    <xf numFmtId="0" fontId="7" fillId="0" borderId="0" pivotButton="0" quotePrefix="0" xfId="0"/>
    <xf numFmtId="165" fontId="7" fillId="6" borderId="1" pivotButton="0" quotePrefix="0" xfId="0"/>
    <xf numFmtId="164" fontId="7" fillId="6" borderId="1" pivotButton="0" quotePrefix="0" xfId="0"/>
    <xf numFmtId="0" fontId="5" fillId="3" borderId="0" pivotButton="0" quotePrefix="0" xfId="0"/>
    <xf numFmtId="2" fontId="7" fillId="6" borderId="1" pivotButton="0" quotePrefix="0" xfId="0"/>
    <xf numFmtId="1" fontId="7" fillId="6"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charts/chart1.xml><?xml version="1.0" encoding="utf-8"?>
<chartSpace xmlns:a="http://schemas.openxmlformats.org/drawingml/2006/main" xmlns="http://schemas.openxmlformats.org/drawingml/2006/chart">
  <chart>
    <title>
      <tx>
        <rich>
          <a:bodyPr/>
          <a:p>
            <a:pPr>
              <a:defRPr/>
            </a:pPr>
            <a:r>
              <a:t>Revenue and EBITDA</a:t>
            </a:r>
          </a:p>
        </rich>
      </tx>
    </title>
    <plotArea>
      <barChart>
        <barDir val="col"/>
        <grouping val="clustered"/>
        <ser>
          <idx val="0"/>
          <order val="0"/>
          <tx>
            <strRef>
              <f>'Income Statement'!A5</f>
            </strRef>
          </tx>
          <spPr>
            <a:ln>
              <a:prstDash val="solid"/>
            </a:ln>
          </spPr>
          <val>
            <numRef>
              <f>'Income Statement'!$B$5:$G$5</f>
            </numRef>
          </val>
        </ser>
        <ser>
          <idx val="1"/>
          <order val="1"/>
          <tx>
            <strRef>
              <f>'Income Statement'!A9</f>
            </strRef>
          </tx>
          <spPr>
            <a:ln>
              <a:prstDash val="solid"/>
            </a:ln>
          </spPr>
          <val>
            <numRef>
              <f>'Income Statement'!$B$9:$G$9</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8</col>
      <colOff>0</colOff>
      <row>4</row>
      <rowOff>0</rowOff>
    </from>
    <ext cx="6480000" cy="324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6.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tabColor rgb="00C9A84C"/>
    <outlinePr summaryBelow="1" summaryRight="1"/>
    <pageSetUpPr/>
  </sheetPr>
  <dimension ref="A1:C27"/>
  <sheetViews>
    <sheetView showGridLines="0" workbookViewId="0">
      <selection activeCell="A1" sqref="A1"/>
    </sheetView>
  </sheetViews>
  <sheetFormatPr baseColWidth="8" defaultRowHeight="15"/>
  <cols>
    <col width="4" customWidth="1" min="1" max="1"/>
    <col width="100" customWidth="1" min="2" max="2"/>
  </cols>
  <sheetData>
    <row r="1" ht="30" customHeight="1">
      <c r="A1" s="1" t="inlineStr">
        <is>
          <t>3-Statement Financial Model Template</t>
        </is>
      </c>
      <c r="B1" s="2" t="n"/>
      <c r="C1" s="2" t="n"/>
    </row>
    <row r="2" ht="18" customHeight="1">
      <c r="A2" s="3" t="inlineStr">
        <is>
          <t>Income statement, balance sheet and cash flow — linked, checked, and built the way analysts build them.</t>
        </is>
      </c>
      <c r="B2" s="2" t="n"/>
      <c r="C2" s="2" t="n"/>
    </row>
    <row r="4">
      <c r="B4" s="4" t="inlineStr">
        <is>
          <t>WHAT'S INSIDE</t>
        </is>
      </c>
    </row>
    <row r="5">
      <c r="B5" s="5" t="inlineStr">
        <is>
          <t>•  Start Here — this page.</t>
        </is>
      </c>
    </row>
    <row r="6">
      <c r="B6" s="5" t="inlineStr">
        <is>
          <t>•  Assumptions &amp; Drivers — 12 drivers across 5 years plus an opening balance sheet with a balance check.</t>
        </is>
      </c>
    </row>
    <row r="7">
      <c r="B7" s="5" t="inlineStr">
        <is>
          <t>•  Income Statement — revenue to net income with margin lines.</t>
        </is>
      </c>
    </row>
    <row r="8">
      <c r="B8" s="5" t="inlineStr">
        <is>
          <t>•  Balance Sheet — working capital from DSO/DIO/DPO, PP&amp;E roll-forward, retained earnings roll.</t>
        </is>
      </c>
    </row>
    <row r="9">
      <c r="B9" s="5" t="inlineStr">
        <is>
          <t>•  Cash Flow — indirect method, tying back to the balance sheet cash line.</t>
        </is>
      </c>
    </row>
    <row r="10">
      <c r="B10" s="5" t="inlineStr">
        <is>
          <t>•  Ratios &amp; Dashboard — 13 analyst ratios, two integrity checks and a chart.</t>
        </is>
      </c>
    </row>
    <row r="12">
      <c r="B12" s="4" t="inlineStr">
        <is>
          <t>HOW TO USE IT</t>
        </is>
      </c>
    </row>
    <row r="13">
      <c r="B13" s="5" t="inlineStr">
        <is>
          <t>1.  Put your Year 0 actuals into the opening balance sheet block on the Assumptions tab.</t>
        </is>
      </c>
    </row>
    <row r="14">
      <c r="B14" s="5" t="inlineStr">
        <is>
          <t>2.  Set the operating drivers: growth, margins, working-capital days, capex, tax and debt.</t>
        </is>
      </c>
    </row>
    <row r="15">
      <c r="B15" s="5" t="inlineStr">
        <is>
          <t>3.  Read the three statements. You never type into them — they are entirely formula-driven.</t>
        </is>
      </c>
    </row>
    <row r="16">
      <c r="B16" s="5" t="inlineStr">
        <is>
          <t>4.  Check the two integrity flags on Ratios &amp; Dashboard: the balance sheet must say BALANCED, cash must say TIES.</t>
        </is>
      </c>
    </row>
    <row r="17">
      <c r="B17" s="5" t="inlineStr">
        <is>
          <t>5.  Flex the drivers to build your base, upside and downside cases.</t>
        </is>
      </c>
    </row>
    <row r="19">
      <c r="B19" s="4" t="inlineStr">
        <is>
          <t>COLOUR KEY</t>
        </is>
      </c>
    </row>
    <row r="20">
      <c r="B20" s="6" t="inlineStr">
        <is>
          <t>Yellow cells = you type here.</t>
        </is>
      </c>
    </row>
    <row r="21">
      <c r="B21" s="7" t="inlineStr">
        <is>
          <t>Grey cells = formulas. Do not overwrite them.</t>
        </is>
      </c>
    </row>
    <row r="23" ht="46" customHeight="1">
      <c r="B23" s="8" t="inlineStr">
        <is>
          <t>LICENSE: Single-user personal/business licence. You may use and edit this file for yourself or your own business. You may NOT resell, redistribute, share, or publish this file or any edited version of it. All rights reserved.</t>
        </is>
      </c>
    </row>
    <row r="24" ht="46" customHeight="1">
      <c r="B24" s="8" t="inlineStr">
        <is>
          <t>DISCLAIMER: This template is an educational planning tool only. It is not financial, tax, investment, or legal advice. Figures such as contribution limits and tax rates change — always confirm current numbers with the CRA or a licensed advisor before acting on any output.</t>
        </is>
      </c>
    </row>
    <row r="26">
      <c r="B26" s="9" t="inlineStr">
        <is>
          <t>Created by Kartik Joshi, MBA — Financial Analyst &amp; Banking Professional</t>
        </is>
      </c>
    </row>
    <row r="27">
      <c r="B27" s="10" t="inlineStr">
        <is>
          <t>Questions or a problem with the file? Message me through Etsy and I will help.</t>
        </is>
      </c>
    </row>
  </sheetData>
  <pageMargins left="0.75" right="0.75" top="1" bottom="1" header="0.5" footer="0.5"/>
</worksheet>
</file>

<file path=xl/worksheets/sheet2.xml><?xml version="1.0" encoding="utf-8"?>
<worksheet xmlns="http://schemas.openxmlformats.org/spreadsheetml/2006/main">
  <sheetPr>
    <tabColor rgb="0000B4A6"/>
    <outlinePr summaryBelow="1" summaryRight="1"/>
    <pageSetUpPr/>
  </sheetPr>
  <dimension ref="A1:G30"/>
  <sheetViews>
    <sheetView showGridLines="0" workbookViewId="0">
      <selection activeCell="A1" sqref="A1"/>
    </sheetView>
  </sheetViews>
  <sheetFormatPr baseColWidth="8" defaultRowHeight="15"/>
  <cols>
    <col width="40" customWidth="1" min="1" max="1"/>
    <col width="18" customWidth="1" min="2" max="2"/>
    <col width="14" customWidth="1" min="3" max="3"/>
    <col width="14" customWidth="1" min="4" max="4"/>
    <col width="14" customWidth="1" min="5" max="5"/>
    <col width="14" customWidth="1" min="6" max="6"/>
    <col width="14" customWidth="1" min="7" max="7"/>
  </cols>
  <sheetData>
    <row r="1" ht="30" customHeight="1">
      <c r="A1" s="1" t="inlineStr">
        <is>
          <t>Assumptions &amp; Drivers</t>
        </is>
      </c>
      <c r="B1" s="2" t="n"/>
      <c r="C1" s="2" t="n"/>
      <c r="D1" s="2" t="n"/>
      <c r="E1" s="2" t="n"/>
      <c r="F1" s="2" t="n"/>
      <c r="G1" s="2" t="n"/>
    </row>
    <row r="2" ht="18" customHeight="1">
      <c r="A2" s="3" t="inlineStr">
        <is>
          <t>Every yellow cell here drives all three statements.</t>
        </is>
      </c>
      <c r="B2" s="2" t="n"/>
      <c r="C2" s="2" t="n"/>
      <c r="D2" s="2" t="n"/>
      <c r="E2" s="2" t="n"/>
      <c r="F2" s="2" t="n"/>
      <c r="G2" s="2" t="n"/>
    </row>
    <row r="4" ht="20" customHeight="1">
      <c r="A4" s="11" t="inlineStr">
        <is>
          <t>OPERATING DRIVERS</t>
        </is>
      </c>
      <c r="B4" s="12" t="n"/>
      <c r="C4" s="12" t="n"/>
      <c r="D4" s="12" t="n"/>
      <c r="E4" s="12" t="n"/>
      <c r="F4" s="12" t="n"/>
      <c r="G4" s="12" t="n"/>
    </row>
    <row r="5" ht="28" customHeight="1">
      <c r="A5" s="13" t="inlineStr">
        <is>
          <t>Driver</t>
        </is>
      </c>
      <c r="B5" s="13" t="inlineStr">
        <is>
          <t>Year 0 (actual)</t>
        </is>
      </c>
      <c r="C5" s="13" t="inlineStr">
        <is>
          <t>Year 1</t>
        </is>
      </c>
      <c r="D5" s="13" t="inlineStr">
        <is>
          <t>Year 2</t>
        </is>
      </c>
      <c r="E5" s="13" t="inlineStr">
        <is>
          <t>Year 3</t>
        </is>
      </c>
      <c r="F5" s="13" t="inlineStr">
        <is>
          <t>Year 4</t>
        </is>
      </c>
      <c r="G5" s="13" t="inlineStr">
        <is>
          <t>Year 5</t>
        </is>
      </c>
    </row>
    <row r="6">
      <c r="A6" s="14" t="inlineStr">
        <is>
          <t>Revenue growth</t>
        </is>
      </c>
      <c r="B6" s="15" t="inlineStr">
        <is>
          <t>—</t>
        </is>
      </c>
      <c r="C6" s="16" t="n">
        <v>0.18</v>
      </c>
      <c r="D6" s="16" t="n">
        <v>0.15</v>
      </c>
      <c r="E6" s="16" t="n">
        <v>0.12</v>
      </c>
      <c r="F6" s="16" t="n">
        <v>0.1</v>
      </c>
      <c r="G6" s="16" t="n">
        <v>0.08</v>
      </c>
    </row>
    <row r="7">
      <c r="A7" s="14" t="inlineStr">
        <is>
          <t>Gross margin</t>
        </is>
      </c>
      <c r="B7" s="16" t="n">
        <v>0.55</v>
      </c>
      <c r="C7" s="16" t="n">
        <v>0.5600000000000001</v>
      </c>
      <c r="D7" s="16" t="n">
        <v>0.57</v>
      </c>
      <c r="E7" s="16" t="n">
        <v>0.57</v>
      </c>
      <c r="F7" s="16" t="n">
        <v>0.58</v>
      </c>
      <c r="G7" s="16" t="n">
        <v>0.58</v>
      </c>
    </row>
    <row r="8">
      <c r="A8" s="14" t="inlineStr">
        <is>
          <t>Operating expenses % of revenue</t>
        </is>
      </c>
      <c r="B8" s="16" t="n">
        <v>0.34</v>
      </c>
      <c r="C8" s="16" t="n">
        <v>0.34</v>
      </c>
      <c r="D8" s="16" t="n">
        <v>0.33</v>
      </c>
      <c r="E8" s="16" t="n">
        <v>0.33</v>
      </c>
      <c r="F8" s="16" t="n">
        <v>0.32</v>
      </c>
      <c r="G8" s="16" t="n">
        <v>0.32</v>
      </c>
    </row>
    <row r="9">
      <c r="A9" s="14" t="inlineStr">
        <is>
          <t>Depreciation % of opening PP&amp;E</t>
        </is>
      </c>
      <c r="B9" s="16" t="n">
        <v>0.12</v>
      </c>
      <c r="C9" s="16" t="n">
        <v>0.12</v>
      </c>
      <c r="D9" s="16" t="n">
        <v>0.12</v>
      </c>
      <c r="E9" s="16" t="n">
        <v>0.12</v>
      </c>
      <c r="F9" s="16" t="n">
        <v>0.12</v>
      </c>
      <c r="G9" s="16" t="n">
        <v>0.12</v>
      </c>
    </row>
    <row r="10">
      <c r="A10" s="14" t="inlineStr">
        <is>
          <t>Capital expenditure % of revenue</t>
        </is>
      </c>
      <c r="B10" s="16" t="n">
        <v>0.05</v>
      </c>
      <c r="C10" s="16" t="n">
        <v>0.06</v>
      </c>
      <c r="D10" s="16" t="n">
        <v>0.05</v>
      </c>
      <c r="E10" s="16" t="n">
        <v>0.05</v>
      </c>
      <c r="F10" s="16" t="n">
        <v>0.04</v>
      </c>
      <c r="G10" s="16" t="n">
        <v>0.04</v>
      </c>
    </row>
    <row r="11">
      <c r="A11" s="14" t="inlineStr">
        <is>
          <t>Interest rate on debt</t>
        </is>
      </c>
      <c r="B11" s="17" t="n">
        <v>0.075</v>
      </c>
      <c r="C11" s="17" t="n">
        <v>0.075</v>
      </c>
      <c r="D11" s="17" t="n">
        <v>0.075</v>
      </c>
      <c r="E11" s="17" t="n">
        <v>0.075</v>
      </c>
      <c r="F11" s="17" t="n">
        <v>0.075</v>
      </c>
      <c r="G11" s="17" t="n">
        <v>0.075</v>
      </c>
    </row>
    <row r="12">
      <c r="A12" s="14" t="inlineStr">
        <is>
          <t>Effective tax rate</t>
        </is>
      </c>
      <c r="B12" s="16" t="n">
        <v>0.26</v>
      </c>
      <c r="C12" s="16" t="n">
        <v>0.26</v>
      </c>
      <c r="D12" s="16" t="n">
        <v>0.26</v>
      </c>
      <c r="E12" s="16" t="n">
        <v>0.26</v>
      </c>
      <c r="F12" s="16" t="n">
        <v>0.26</v>
      </c>
      <c r="G12" s="16" t="n">
        <v>0.26</v>
      </c>
    </row>
    <row r="13">
      <c r="A13" s="14" t="inlineStr">
        <is>
          <t>Dividend payout % of net income</t>
        </is>
      </c>
      <c r="B13" s="16" t="n">
        <v>0</v>
      </c>
      <c r="C13" s="16" t="n">
        <v>0</v>
      </c>
      <c r="D13" s="16" t="n">
        <v>0.1</v>
      </c>
      <c r="E13" s="16" t="n">
        <v>0.15</v>
      </c>
      <c r="F13" s="16" t="n">
        <v>0.2</v>
      </c>
      <c r="G13" s="16" t="n">
        <v>0.25</v>
      </c>
    </row>
    <row r="14">
      <c r="A14" s="14" t="inlineStr">
        <is>
          <t>Days sales outstanding (DSO)</t>
        </is>
      </c>
      <c r="B14" s="18" t="n">
        <v>42</v>
      </c>
      <c r="C14" s="18" t="n">
        <v>40</v>
      </c>
      <c r="D14" s="18" t="n">
        <v>38</v>
      </c>
      <c r="E14" s="18" t="n">
        <v>36</v>
      </c>
      <c r="F14" s="18" t="n">
        <v>35</v>
      </c>
      <c r="G14" s="18" t="n">
        <v>35</v>
      </c>
    </row>
    <row r="15">
      <c r="A15" s="14" t="inlineStr">
        <is>
          <t>Days inventory on hand (DIO)</t>
        </is>
      </c>
      <c r="B15" s="18" t="n">
        <v>58</v>
      </c>
      <c r="C15" s="18" t="n">
        <v>55</v>
      </c>
      <c r="D15" s="18" t="n">
        <v>52</v>
      </c>
      <c r="E15" s="18" t="n">
        <v>50</v>
      </c>
      <c r="F15" s="18" t="n">
        <v>48</v>
      </c>
      <c r="G15" s="18" t="n">
        <v>46</v>
      </c>
    </row>
    <row r="16">
      <c r="A16" s="14" t="inlineStr">
        <is>
          <t>Days payable outstanding (DPO)</t>
        </is>
      </c>
      <c r="B16" s="18" t="n">
        <v>34</v>
      </c>
      <c r="C16" s="18" t="n">
        <v>36</v>
      </c>
      <c r="D16" s="18" t="n">
        <v>38</v>
      </c>
      <c r="E16" s="18" t="n">
        <v>40</v>
      </c>
      <c r="F16" s="18" t="n">
        <v>40</v>
      </c>
      <c r="G16" s="18" t="n">
        <v>40</v>
      </c>
    </row>
    <row r="17">
      <c r="A17" s="14" t="inlineStr">
        <is>
          <t>Debt drawn / (repaid) in the year</t>
        </is>
      </c>
      <c r="B17" s="19" t="n">
        <v>0</v>
      </c>
      <c r="C17" s="19" t="n">
        <v>0</v>
      </c>
      <c r="D17" s="19" t="n">
        <v>0</v>
      </c>
      <c r="E17" s="19" t="n">
        <v>-250000</v>
      </c>
      <c r="F17" s="19" t="n">
        <v>-250000</v>
      </c>
      <c r="G17" s="19" t="n">
        <v>-250000</v>
      </c>
    </row>
    <row r="19" ht="20" customHeight="1">
      <c r="A19" s="11" t="inlineStr">
        <is>
          <t>OPENING BALANCE SHEET (YEAR 0 ACTUALS)</t>
        </is>
      </c>
      <c r="B19" s="12" t="n"/>
      <c r="C19" s="12" t="n"/>
      <c r="D19" s="12" t="n"/>
      <c r="E19" s="12" t="n"/>
      <c r="F19" s="12" t="n"/>
      <c r="G19" s="12" t="n"/>
    </row>
    <row r="20">
      <c r="A20" s="14" t="inlineStr">
        <is>
          <t>Revenue — Year 0</t>
        </is>
      </c>
      <c r="B20" s="19" t="n">
        <v>4200000</v>
      </c>
    </row>
    <row r="21">
      <c r="A21" s="14" t="inlineStr">
        <is>
          <t>Cash</t>
        </is>
      </c>
      <c r="B21" s="19" t="n">
        <v>310000</v>
      </c>
    </row>
    <row r="22">
      <c r="A22" s="14" t="inlineStr">
        <is>
          <t>Accounts receivable</t>
        </is>
      </c>
      <c r="B22" s="19" t="n">
        <v>483000</v>
      </c>
    </row>
    <row r="23">
      <c r="A23" s="14" t="inlineStr">
        <is>
          <t>Inventory</t>
        </is>
      </c>
      <c r="B23" s="19" t="n">
        <v>300000</v>
      </c>
    </row>
    <row r="24">
      <c r="A24" s="14" t="inlineStr">
        <is>
          <t>Property, plant &amp; equipment (net)</t>
        </is>
      </c>
      <c r="B24" s="19" t="n">
        <v>1450000</v>
      </c>
    </row>
    <row r="25">
      <c r="A25" s="14" t="inlineStr">
        <is>
          <t>Accounts payable</t>
        </is>
      </c>
      <c r="B25" s="19" t="n">
        <v>176000</v>
      </c>
    </row>
    <row r="26">
      <c r="A26" s="14" t="inlineStr">
        <is>
          <t>Long-term debt</t>
        </is>
      </c>
      <c r="B26" s="19" t="n">
        <v>900000</v>
      </c>
    </row>
    <row r="27">
      <c r="A27" s="14" t="inlineStr">
        <is>
          <t>Share capital</t>
        </is>
      </c>
      <c r="B27" s="19" t="n">
        <v>500000</v>
      </c>
    </row>
    <row r="28">
      <c r="A28" s="14" t="inlineStr">
        <is>
          <t>Retained earnings</t>
        </is>
      </c>
      <c r="B28" s="19" t="n">
        <v>967000</v>
      </c>
    </row>
    <row r="30">
      <c r="B30" s="20">
        <f>IF(ROUND(B21+B22+B23+B24-B25-B26-B27-B28,2)=0,"Opening balance sheet balances ✓","⚠ Opening balance sheet is out by "&amp;TEXT(B21+B22+B23+B24-B25-B26-B27-B28,"$#,##0"))</f>
        <v/>
      </c>
      <c r="C30" s="21" t="n"/>
      <c r="D30" s="21" t="n"/>
      <c r="E30" s="21" t="n"/>
      <c r="F30" s="21" t="n"/>
      <c r="G30" s="22" t="n"/>
    </row>
  </sheetData>
  <mergeCells count="1">
    <mergeCell ref="B30:G30"/>
  </mergeCells>
  <pageMargins left="0.75" right="0.75" top="1" bottom="1" header="0.5" footer="0.5"/>
</worksheet>
</file>

<file path=xl/worksheets/sheet3.xml><?xml version="1.0" encoding="utf-8"?>
<worksheet xmlns="http://schemas.openxmlformats.org/spreadsheetml/2006/main">
  <sheetPr>
    <tabColor rgb="0000B4A6"/>
    <outlinePr summaryBelow="1" summaryRight="1"/>
    <pageSetUpPr/>
  </sheetPr>
  <dimension ref="A1:G21"/>
  <sheetViews>
    <sheetView showGridLines="0" workbookViewId="0">
      <selection activeCell="A1" sqref="A1"/>
    </sheetView>
  </sheetViews>
  <sheetFormatPr baseColWidth="8" defaultRowHeight="15"/>
  <cols>
    <col width="34" customWidth="1" min="1" max="1"/>
    <col width="16" customWidth="1" min="2" max="2"/>
    <col width="15" customWidth="1" min="3" max="3"/>
    <col width="15" customWidth="1" min="4" max="4"/>
    <col width="15" customWidth="1" min="5" max="5"/>
    <col width="15" customWidth="1" min="6" max="6"/>
    <col width="15" customWidth="1" min="7" max="7"/>
  </cols>
  <sheetData>
    <row r="1" ht="30" customHeight="1">
      <c r="A1" s="1" t="inlineStr">
        <is>
          <t>Income Statement</t>
        </is>
      </c>
      <c r="B1" s="2" t="n"/>
      <c r="C1" s="2" t="n"/>
      <c r="D1" s="2" t="n"/>
      <c r="E1" s="2" t="n"/>
      <c r="F1" s="2" t="n"/>
      <c r="G1" s="2" t="n"/>
    </row>
    <row r="2" ht="18" customHeight="1">
      <c r="A2" s="3" t="inlineStr">
        <is>
          <t>Driven entirely from the Assumptions tab.</t>
        </is>
      </c>
      <c r="B2" s="2" t="n"/>
      <c r="C2" s="2" t="n"/>
      <c r="D2" s="2" t="n"/>
      <c r="E2" s="2" t="n"/>
      <c r="F2" s="2" t="n"/>
      <c r="G2" s="2" t="n"/>
    </row>
    <row r="4" ht="28" customHeight="1">
      <c r="A4" s="13" t="inlineStr">
        <is>
          <t>Line item</t>
        </is>
      </c>
      <c r="B4" s="13" t="inlineStr">
        <is>
          <t>Year 0 (actual)</t>
        </is>
      </c>
      <c r="C4" s="13" t="inlineStr">
        <is>
          <t>Year 1</t>
        </is>
      </c>
      <c r="D4" s="13" t="inlineStr">
        <is>
          <t>Year 2</t>
        </is>
      </c>
      <c r="E4" s="13" t="inlineStr">
        <is>
          <t>Year 3</t>
        </is>
      </c>
      <c r="F4" s="13" t="inlineStr">
        <is>
          <t>Year 4</t>
        </is>
      </c>
      <c r="G4" s="13" t="inlineStr">
        <is>
          <t>Year 5</t>
        </is>
      </c>
    </row>
    <row r="5">
      <c r="A5" s="14" t="inlineStr">
        <is>
          <t>Revenue</t>
        </is>
      </c>
      <c r="B5" s="23">
        <f>Assumptions!$B$20</f>
        <v/>
      </c>
      <c r="C5" s="23">
        <f>B5*(1+Assumptions!C$6)</f>
        <v/>
      </c>
      <c r="D5" s="23">
        <f>C5*(1+Assumptions!D$6)</f>
        <v/>
      </c>
      <c r="E5" s="23">
        <f>D5*(1+Assumptions!E$6)</f>
        <v/>
      </c>
      <c r="F5" s="23">
        <f>E5*(1+Assumptions!F$6)</f>
        <v/>
      </c>
      <c r="G5" s="23">
        <f>F5*(1+Assumptions!G$6)</f>
        <v/>
      </c>
    </row>
    <row r="6">
      <c r="A6" s="24" t="inlineStr">
        <is>
          <t xml:space="preserve">    Cost of goods sold</t>
        </is>
      </c>
      <c r="B6" s="25">
        <f>-B5*(1-Assumptions!$B$7)</f>
        <v/>
      </c>
      <c r="C6" s="25">
        <f>-C5*(1-Assumptions!C$7)</f>
        <v/>
      </c>
      <c r="D6" s="25">
        <f>-D5*(1-Assumptions!D$7)</f>
        <v/>
      </c>
      <c r="E6" s="25">
        <f>-E5*(1-Assumptions!E$7)</f>
        <v/>
      </c>
      <c r="F6" s="25">
        <f>-F5*(1-Assumptions!F$7)</f>
        <v/>
      </c>
      <c r="G6" s="25">
        <f>-G5*(1-Assumptions!G$7)</f>
        <v/>
      </c>
    </row>
    <row r="7">
      <c r="A7" s="14" t="inlineStr">
        <is>
          <t>Gross profit</t>
        </is>
      </c>
      <c r="B7" s="23">
        <f>B5+B6</f>
        <v/>
      </c>
      <c r="C7" s="23">
        <f>C5+C6</f>
        <v/>
      </c>
      <c r="D7" s="23">
        <f>D5+D6</f>
        <v/>
      </c>
      <c r="E7" s="23">
        <f>E5+E6</f>
        <v/>
      </c>
      <c r="F7" s="23">
        <f>F5+F6</f>
        <v/>
      </c>
      <c r="G7" s="23">
        <f>G5+G6</f>
        <v/>
      </c>
    </row>
    <row r="8">
      <c r="A8" s="24" t="inlineStr">
        <is>
          <t xml:space="preserve">    Operating expenses</t>
        </is>
      </c>
      <c r="B8" s="25">
        <f>-B5*Assumptions!$B$8</f>
        <v/>
      </c>
      <c r="C8" s="25">
        <f>-C5*Assumptions!C$8</f>
        <v/>
      </c>
      <c r="D8" s="25">
        <f>-D5*Assumptions!D$8</f>
        <v/>
      </c>
      <c r="E8" s="25">
        <f>-E5*Assumptions!E$8</f>
        <v/>
      </c>
      <c r="F8" s="25">
        <f>-F5*Assumptions!F$8</f>
        <v/>
      </c>
      <c r="G8" s="25">
        <f>-G5*Assumptions!G$8</f>
        <v/>
      </c>
    </row>
    <row r="9">
      <c r="A9" s="14" t="inlineStr">
        <is>
          <t>EBITDA</t>
        </is>
      </c>
      <c r="B9" s="23">
        <f>B7+B8</f>
        <v/>
      </c>
      <c r="C9" s="23">
        <f>C7+C8</f>
        <v/>
      </c>
      <c r="D9" s="23">
        <f>D7+D8</f>
        <v/>
      </c>
      <c r="E9" s="23">
        <f>E7+E8</f>
        <v/>
      </c>
      <c r="F9" s="23">
        <f>F7+F8</f>
        <v/>
      </c>
      <c r="G9" s="23">
        <f>G7+G8</f>
        <v/>
      </c>
    </row>
    <row r="10">
      <c r="A10" s="24" t="inlineStr">
        <is>
          <t xml:space="preserve">    Depreciation &amp; amortisation</t>
        </is>
      </c>
      <c r="B10" s="25">
        <f>-Assumptions!$B$24*Assumptions!$B$9</f>
        <v/>
      </c>
      <c r="C10" s="25">
        <f>-'Balance Sheet'!B10*Assumptions!C$9</f>
        <v/>
      </c>
      <c r="D10" s="25">
        <f>-'Balance Sheet'!C10*Assumptions!D$9</f>
        <v/>
      </c>
      <c r="E10" s="25">
        <f>-'Balance Sheet'!D10*Assumptions!E$9</f>
        <v/>
      </c>
      <c r="F10" s="25">
        <f>-'Balance Sheet'!E10*Assumptions!F$9</f>
        <v/>
      </c>
      <c r="G10" s="25">
        <f>-'Balance Sheet'!F10*Assumptions!G$9</f>
        <v/>
      </c>
    </row>
    <row r="11">
      <c r="A11" s="14" t="inlineStr">
        <is>
          <t>EBIT (operating profit)</t>
        </is>
      </c>
      <c r="B11" s="23">
        <f>B9+B10</f>
        <v/>
      </c>
      <c r="C11" s="23">
        <f>C9+C10</f>
        <v/>
      </c>
      <c r="D11" s="23">
        <f>D9+D10</f>
        <v/>
      </c>
      <c r="E11" s="23">
        <f>E9+E10</f>
        <v/>
      </c>
      <c r="F11" s="23">
        <f>F9+F10</f>
        <v/>
      </c>
      <c r="G11" s="23">
        <f>G9+G10</f>
        <v/>
      </c>
    </row>
    <row r="12">
      <c r="A12" s="24" t="inlineStr">
        <is>
          <t xml:space="preserve">    Interest expense</t>
        </is>
      </c>
      <c r="B12" s="25">
        <f>-Assumptions!$B$26*Assumptions!$B$11</f>
        <v/>
      </c>
      <c r="C12" s="25">
        <f>-'Balance Sheet'!B16*Assumptions!C$11</f>
        <v/>
      </c>
      <c r="D12" s="25">
        <f>-'Balance Sheet'!C16*Assumptions!D$11</f>
        <v/>
      </c>
      <c r="E12" s="25">
        <f>-'Balance Sheet'!D16*Assumptions!E$11</f>
        <v/>
      </c>
      <c r="F12" s="25">
        <f>-'Balance Sheet'!E16*Assumptions!F$11</f>
        <v/>
      </c>
      <c r="G12" s="25">
        <f>-'Balance Sheet'!F16*Assumptions!G$11</f>
        <v/>
      </c>
    </row>
    <row r="13">
      <c r="A13" s="14" t="inlineStr">
        <is>
          <t>Profit before tax</t>
        </is>
      </c>
      <c r="B13" s="23">
        <f>B11+B12</f>
        <v/>
      </c>
      <c r="C13" s="23">
        <f>C11+C12</f>
        <v/>
      </c>
      <c r="D13" s="23">
        <f>D11+D12</f>
        <v/>
      </c>
      <c r="E13" s="23">
        <f>E11+E12</f>
        <v/>
      </c>
      <c r="F13" s="23">
        <f>F11+F12</f>
        <v/>
      </c>
      <c r="G13" s="23">
        <f>G11+G12</f>
        <v/>
      </c>
    </row>
    <row r="14">
      <c r="A14" s="24" t="inlineStr">
        <is>
          <t xml:space="preserve">    Income tax</t>
        </is>
      </c>
      <c r="B14" s="25">
        <f>-MAX(0,B13)*Assumptions!$B$12</f>
        <v/>
      </c>
      <c r="C14" s="25">
        <f>-MAX(0,C13)*Assumptions!C$12</f>
        <v/>
      </c>
      <c r="D14" s="25">
        <f>-MAX(0,D13)*Assumptions!D$12</f>
        <v/>
      </c>
      <c r="E14" s="25">
        <f>-MAX(0,E13)*Assumptions!E$12</f>
        <v/>
      </c>
      <c r="F14" s="25">
        <f>-MAX(0,F13)*Assumptions!F$12</f>
        <v/>
      </c>
      <c r="G14" s="25">
        <f>-MAX(0,G13)*Assumptions!G$12</f>
        <v/>
      </c>
    </row>
    <row r="15">
      <c r="A15" s="14" t="inlineStr">
        <is>
          <t>NET INCOME</t>
        </is>
      </c>
      <c r="B15" s="23">
        <f>B13+B14</f>
        <v/>
      </c>
      <c r="C15" s="23">
        <f>C13+C14</f>
        <v/>
      </c>
      <c r="D15" s="23">
        <f>D13+D14</f>
        <v/>
      </c>
      <c r="E15" s="23">
        <f>E13+E14</f>
        <v/>
      </c>
      <c r="F15" s="23">
        <f>F13+F14</f>
        <v/>
      </c>
      <c r="G15" s="23">
        <f>G13+G14</f>
        <v/>
      </c>
    </row>
    <row r="17">
      <c r="A17" s="24" t="inlineStr">
        <is>
          <t>Dividends declared</t>
        </is>
      </c>
      <c r="B17" s="25">
        <f>0</f>
        <v/>
      </c>
      <c r="C17" s="25">
        <f>-C15*Assumptions!C$13</f>
        <v/>
      </c>
      <c r="D17" s="25">
        <f>-D15*Assumptions!D$13</f>
        <v/>
      </c>
      <c r="E17" s="25">
        <f>-E15*Assumptions!E$13</f>
        <v/>
      </c>
      <c r="F17" s="25">
        <f>-F15*Assumptions!F$13</f>
        <v/>
      </c>
      <c r="G17" s="25">
        <f>-G15*Assumptions!G$13</f>
        <v/>
      </c>
    </row>
    <row r="19">
      <c r="A19" s="24" t="inlineStr">
        <is>
          <t>Gross margin %</t>
        </is>
      </c>
      <c r="B19" s="26">
        <f>IFERROR(B7/B5,0)</f>
        <v/>
      </c>
      <c r="C19" s="26">
        <f>IFERROR(C7/C5,0)</f>
        <v/>
      </c>
      <c r="D19" s="26">
        <f>IFERROR(D7/D5,0)</f>
        <v/>
      </c>
      <c r="E19" s="26">
        <f>IFERROR(E7/E5,0)</f>
        <v/>
      </c>
      <c r="F19" s="26">
        <f>IFERROR(F7/F5,0)</f>
        <v/>
      </c>
      <c r="G19" s="26">
        <f>IFERROR(G7/G5,0)</f>
        <v/>
      </c>
    </row>
    <row r="20">
      <c r="A20" s="24" t="inlineStr">
        <is>
          <t>EBITDA margin %</t>
        </is>
      </c>
      <c r="B20" s="26">
        <f>IFERROR(B9/B5,0)</f>
        <v/>
      </c>
      <c r="C20" s="26">
        <f>IFERROR(C9/C5,0)</f>
        <v/>
      </c>
      <c r="D20" s="26">
        <f>IFERROR(D9/D5,0)</f>
        <v/>
      </c>
      <c r="E20" s="26">
        <f>IFERROR(E9/E5,0)</f>
        <v/>
      </c>
      <c r="F20" s="26">
        <f>IFERROR(F9/F5,0)</f>
        <v/>
      </c>
      <c r="G20" s="26">
        <f>IFERROR(G9/G5,0)</f>
        <v/>
      </c>
    </row>
    <row r="21">
      <c r="A21" s="24" t="inlineStr">
        <is>
          <t>Net margin %</t>
        </is>
      </c>
      <c r="B21" s="26">
        <f>IFERROR(B15/B5,0)</f>
        <v/>
      </c>
      <c r="C21" s="26">
        <f>IFERROR(C15/C5,0)</f>
        <v/>
      </c>
      <c r="D21" s="26">
        <f>IFERROR(D15/D5,0)</f>
        <v/>
      </c>
      <c r="E21" s="26">
        <f>IFERROR(E15/E5,0)</f>
        <v/>
      </c>
      <c r="F21" s="26">
        <f>IFERROR(F15/F5,0)</f>
        <v/>
      </c>
      <c r="G21" s="26">
        <f>IFERROR(G15/G5,0)</f>
        <v/>
      </c>
    </row>
  </sheetData>
  <pageMargins left="0.75" right="0.75" top="1" bottom="1" header="0.5" footer="0.5"/>
</worksheet>
</file>

<file path=xl/worksheets/sheet4.xml><?xml version="1.0" encoding="utf-8"?>
<worksheet xmlns="http://schemas.openxmlformats.org/spreadsheetml/2006/main">
  <sheetPr>
    <tabColor rgb="0000B4A6"/>
    <outlinePr summaryBelow="1" summaryRight="1"/>
    <pageSetUpPr/>
  </sheetPr>
  <dimension ref="A1:G24"/>
  <sheetViews>
    <sheetView showGridLines="0" workbookViewId="0">
      <selection activeCell="A1" sqref="A1"/>
    </sheetView>
  </sheetViews>
  <sheetFormatPr baseColWidth="8" defaultRowHeight="15"/>
  <cols>
    <col width="38" customWidth="1" min="1" max="1"/>
    <col width="16" customWidth="1" min="2" max="2"/>
    <col width="15" customWidth="1" min="3" max="3"/>
    <col width="15" customWidth="1" min="4" max="4"/>
    <col width="15" customWidth="1" min="5" max="5"/>
    <col width="15" customWidth="1" min="6" max="6"/>
    <col width="15" customWidth="1" min="7" max="7"/>
  </cols>
  <sheetData>
    <row r="1" ht="30" customHeight="1">
      <c r="A1" s="1" t="inlineStr">
        <is>
          <t>Balance Sheet</t>
        </is>
      </c>
      <c r="B1" s="2" t="n"/>
      <c r="C1" s="2" t="n"/>
      <c r="D1" s="2" t="n"/>
      <c r="E1" s="2" t="n"/>
      <c r="F1" s="2" t="n"/>
      <c r="G1" s="2" t="n"/>
    </row>
    <row r="2" ht="18" customHeight="1">
      <c r="A2" s="3" t="inlineStr">
        <is>
          <t>Working capital is driven by DSO, DIO and DPO. Cash comes from the cash flow.</t>
        </is>
      </c>
      <c r="B2" s="2" t="n"/>
      <c r="C2" s="2" t="n"/>
      <c r="D2" s="2" t="n"/>
      <c r="E2" s="2" t="n"/>
      <c r="F2" s="2" t="n"/>
      <c r="G2" s="2" t="n"/>
    </row>
    <row r="4" ht="28" customHeight="1">
      <c r="A4" s="13" t="inlineStr">
        <is>
          <t>Line item</t>
        </is>
      </c>
      <c r="B4" s="13" t="inlineStr">
        <is>
          <t>Year 0 (actual)</t>
        </is>
      </c>
      <c r="C4" s="13" t="inlineStr">
        <is>
          <t>Year 1</t>
        </is>
      </c>
      <c r="D4" s="13" t="inlineStr">
        <is>
          <t>Year 2</t>
        </is>
      </c>
      <c r="E4" s="13" t="inlineStr">
        <is>
          <t>Year 3</t>
        </is>
      </c>
      <c r="F4" s="13" t="inlineStr">
        <is>
          <t>Year 4</t>
        </is>
      </c>
      <c r="G4" s="13" t="inlineStr">
        <is>
          <t>Year 5</t>
        </is>
      </c>
    </row>
    <row r="5" ht="20" customHeight="1">
      <c r="A5" s="11" t="inlineStr">
        <is>
          <t>ASSETS</t>
        </is>
      </c>
      <c r="B5" s="12" t="n"/>
      <c r="C5" s="12" t="n"/>
      <c r="D5" s="12" t="n"/>
      <c r="E5" s="12" t="n"/>
      <c r="F5" s="12" t="n"/>
      <c r="G5" s="12" t="n"/>
    </row>
    <row r="6">
      <c r="A6" s="24" t="inlineStr">
        <is>
          <t>Cash</t>
        </is>
      </c>
      <c r="B6" s="25">
        <f>Assumptions!$B$21</f>
        <v/>
      </c>
      <c r="C6" s="25">
        <f>B6+'Cash Flow'!C18</f>
        <v/>
      </c>
      <c r="D6" s="25">
        <f>C6+'Cash Flow'!D18</f>
        <v/>
      </c>
      <c r="E6" s="25">
        <f>D6+'Cash Flow'!E18</f>
        <v/>
      </c>
      <c r="F6" s="25">
        <f>E6+'Cash Flow'!F18</f>
        <v/>
      </c>
      <c r="G6" s="25">
        <f>F6+'Cash Flow'!G18</f>
        <v/>
      </c>
    </row>
    <row r="7">
      <c r="A7" s="24" t="inlineStr">
        <is>
          <t>Accounts receivable</t>
        </is>
      </c>
      <c r="B7" s="25">
        <f>Assumptions!$B$22</f>
        <v/>
      </c>
      <c r="C7" s="25">
        <f>'Income Statement'!C5/365*Assumptions!C$14</f>
        <v/>
      </c>
      <c r="D7" s="25">
        <f>'Income Statement'!D5/365*Assumptions!D$14</f>
        <v/>
      </c>
      <c r="E7" s="25">
        <f>'Income Statement'!E5/365*Assumptions!E$14</f>
        <v/>
      </c>
      <c r="F7" s="25">
        <f>'Income Statement'!F5/365*Assumptions!F$14</f>
        <v/>
      </c>
      <c r="G7" s="25">
        <f>'Income Statement'!G5/365*Assumptions!G$14</f>
        <v/>
      </c>
    </row>
    <row r="8">
      <c r="A8" s="24" t="inlineStr">
        <is>
          <t>Inventory</t>
        </is>
      </c>
      <c r="B8" s="25">
        <f>Assumptions!$B$23</f>
        <v/>
      </c>
      <c r="C8" s="25">
        <f>-'Income Statement'!C6/365*Assumptions!C$15</f>
        <v/>
      </c>
      <c r="D8" s="25">
        <f>-'Income Statement'!D6/365*Assumptions!D$15</f>
        <v/>
      </c>
      <c r="E8" s="25">
        <f>-'Income Statement'!E6/365*Assumptions!E$15</f>
        <v/>
      </c>
      <c r="F8" s="25">
        <f>-'Income Statement'!F6/365*Assumptions!F$15</f>
        <v/>
      </c>
      <c r="G8" s="25">
        <f>-'Income Statement'!G6/365*Assumptions!G$15</f>
        <v/>
      </c>
    </row>
    <row r="9">
      <c r="A9" s="14" t="inlineStr">
        <is>
          <t>Total current assets</t>
        </is>
      </c>
      <c r="B9" s="23">
        <f>SUM(B6:B8)</f>
        <v/>
      </c>
      <c r="C9" s="23">
        <f>SUM(C6:C8)</f>
        <v/>
      </c>
      <c r="D9" s="23">
        <f>SUM(D6:D8)</f>
        <v/>
      </c>
      <c r="E9" s="23">
        <f>SUM(E6:E8)</f>
        <v/>
      </c>
      <c r="F9" s="23">
        <f>SUM(F6:F8)</f>
        <v/>
      </c>
      <c r="G9" s="23">
        <f>SUM(G6:G8)</f>
        <v/>
      </c>
    </row>
    <row r="10">
      <c r="A10" s="24" t="inlineStr">
        <is>
          <t>Property, plant &amp; equipment (net)</t>
        </is>
      </c>
      <c r="B10" s="25">
        <f>Assumptions!$B$24</f>
        <v/>
      </c>
      <c r="C10" s="25">
        <f>B10+'Cash Flow'!C12*-1+'Income Statement'!C10</f>
        <v/>
      </c>
      <c r="D10" s="25">
        <f>C10+'Cash Flow'!D12*-1+'Income Statement'!D10</f>
        <v/>
      </c>
      <c r="E10" s="25">
        <f>D10+'Cash Flow'!E12*-1+'Income Statement'!E10</f>
        <v/>
      </c>
      <c r="F10" s="25">
        <f>E10+'Cash Flow'!F12*-1+'Income Statement'!F10</f>
        <v/>
      </c>
      <c r="G10" s="25">
        <f>F10+'Cash Flow'!G12*-1+'Income Statement'!G10</f>
        <v/>
      </c>
    </row>
    <row r="11">
      <c r="A11" s="14" t="inlineStr">
        <is>
          <t>TOTAL ASSETS</t>
        </is>
      </c>
      <c r="B11" s="23">
        <f>B9+B10</f>
        <v/>
      </c>
      <c r="C11" s="23">
        <f>C9+C10</f>
        <v/>
      </c>
      <c r="D11" s="23">
        <f>D9+D10</f>
        <v/>
      </c>
      <c r="E11" s="23">
        <f>E9+E10</f>
        <v/>
      </c>
      <c r="F11" s="23">
        <f>F9+F10</f>
        <v/>
      </c>
      <c r="G11" s="23">
        <f>G9+G10</f>
        <v/>
      </c>
    </row>
    <row r="13" ht="20" customHeight="1">
      <c r="A13" s="11" t="inlineStr">
        <is>
          <t>LIABILITIES &amp; EQUITY</t>
        </is>
      </c>
      <c r="B13" s="12" t="n"/>
      <c r="C13" s="12" t="n"/>
      <c r="D13" s="12" t="n"/>
      <c r="E13" s="12" t="n"/>
      <c r="F13" s="12" t="n"/>
      <c r="G13" s="12" t="n"/>
    </row>
    <row r="14">
      <c r="A14" s="24" t="inlineStr">
        <is>
          <t>Accounts payable</t>
        </is>
      </c>
      <c r="B14" s="25">
        <f>Assumptions!$B$25</f>
        <v/>
      </c>
      <c r="C14" s="25">
        <f>-'Income Statement'!C6/365*Assumptions!C$16</f>
        <v/>
      </c>
      <c r="D14" s="25">
        <f>-'Income Statement'!D6/365*Assumptions!D$16</f>
        <v/>
      </c>
      <c r="E14" s="25">
        <f>-'Income Statement'!E6/365*Assumptions!E$16</f>
        <v/>
      </c>
      <c r="F14" s="25">
        <f>-'Income Statement'!F6/365*Assumptions!F$16</f>
        <v/>
      </c>
      <c r="G14" s="25">
        <f>-'Income Statement'!G6/365*Assumptions!G$16</f>
        <v/>
      </c>
    </row>
    <row r="15">
      <c r="A15" s="14" t="inlineStr">
        <is>
          <t>Total current liabilities</t>
        </is>
      </c>
      <c r="B15" s="23">
        <f>B14</f>
        <v/>
      </c>
      <c r="C15" s="23">
        <f>C14</f>
        <v/>
      </c>
      <c r="D15" s="23">
        <f>D14</f>
        <v/>
      </c>
      <c r="E15" s="23">
        <f>E14</f>
        <v/>
      </c>
      <c r="F15" s="23">
        <f>F14</f>
        <v/>
      </c>
      <c r="G15" s="23">
        <f>G14</f>
        <v/>
      </c>
    </row>
    <row r="16">
      <c r="A16" s="24" t="inlineStr">
        <is>
          <t>Long-term debt</t>
        </is>
      </c>
      <c r="B16" s="25">
        <f>Assumptions!$B$26</f>
        <v/>
      </c>
      <c r="C16" s="25">
        <f>B16+Assumptions!C$17</f>
        <v/>
      </c>
      <c r="D16" s="25">
        <f>C16+Assumptions!D$17</f>
        <v/>
      </c>
      <c r="E16" s="25">
        <f>D16+Assumptions!E$17</f>
        <v/>
      </c>
      <c r="F16" s="25">
        <f>E16+Assumptions!F$17</f>
        <v/>
      </c>
      <c r="G16" s="25">
        <f>F16+Assumptions!G$17</f>
        <v/>
      </c>
    </row>
    <row r="17">
      <c r="A17" s="14" t="inlineStr">
        <is>
          <t>Total liabilities</t>
        </is>
      </c>
      <c r="B17" s="23">
        <f>B15+B16</f>
        <v/>
      </c>
      <c r="C17" s="23">
        <f>C15+C16</f>
        <v/>
      </c>
      <c r="D17" s="23">
        <f>D15+D16</f>
        <v/>
      </c>
      <c r="E17" s="23">
        <f>E15+E16</f>
        <v/>
      </c>
      <c r="F17" s="23">
        <f>F15+F16</f>
        <v/>
      </c>
      <c r="G17" s="23">
        <f>G15+G16</f>
        <v/>
      </c>
    </row>
    <row r="18">
      <c r="A18" s="24" t="inlineStr">
        <is>
          <t>Share capital</t>
        </is>
      </c>
      <c r="B18" s="25">
        <f>Assumptions!$B$27</f>
        <v/>
      </c>
      <c r="C18" s="25">
        <f>B18</f>
        <v/>
      </c>
      <c r="D18" s="25">
        <f>C18</f>
        <v/>
      </c>
      <c r="E18" s="25">
        <f>D18</f>
        <v/>
      </c>
      <c r="F18" s="25">
        <f>E18</f>
        <v/>
      </c>
      <c r="G18" s="25">
        <f>F18</f>
        <v/>
      </c>
    </row>
    <row r="19">
      <c r="A19" s="24" t="inlineStr">
        <is>
          <t>Retained earnings</t>
        </is>
      </c>
      <c r="B19" s="25">
        <f>Assumptions!$B$28</f>
        <v/>
      </c>
      <c r="C19" s="25">
        <f>B19+'Income Statement'!C15+'Income Statement'!C17</f>
        <v/>
      </c>
      <c r="D19" s="25">
        <f>C19+'Income Statement'!D15+'Income Statement'!D17</f>
        <v/>
      </c>
      <c r="E19" s="25">
        <f>D19+'Income Statement'!E15+'Income Statement'!E17</f>
        <v/>
      </c>
      <c r="F19" s="25">
        <f>E19+'Income Statement'!F15+'Income Statement'!F17</f>
        <v/>
      </c>
      <c r="G19" s="25">
        <f>F19+'Income Statement'!G15+'Income Statement'!G17</f>
        <v/>
      </c>
    </row>
    <row r="20">
      <c r="A20" s="14" t="inlineStr">
        <is>
          <t>Total equity</t>
        </is>
      </c>
      <c r="B20" s="23">
        <f>B18+B19</f>
        <v/>
      </c>
      <c r="C20" s="23">
        <f>C18+C19</f>
        <v/>
      </c>
      <c r="D20" s="23">
        <f>D18+D19</f>
        <v/>
      </c>
      <c r="E20" s="23">
        <f>E18+E19</f>
        <v/>
      </c>
      <c r="F20" s="23">
        <f>F18+F19</f>
        <v/>
      </c>
      <c r="G20" s="23">
        <f>G18+G19</f>
        <v/>
      </c>
    </row>
    <row r="21">
      <c r="A21" s="14" t="inlineStr">
        <is>
          <t>TOTAL LIABILITIES &amp; EQUITY</t>
        </is>
      </c>
      <c r="B21" s="23">
        <f>B17+B20</f>
        <v/>
      </c>
      <c r="C21" s="23">
        <f>C17+C20</f>
        <v/>
      </c>
      <c r="D21" s="23">
        <f>D17+D20</f>
        <v/>
      </c>
      <c r="E21" s="23">
        <f>E17+E20</f>
        <v/>
      </c>
      <c r="F21" s="23">
        <f>F17+F20</f>
        <v/>
      </c>
      <c r="G21" s="23">
        <f>G17+G20</f>
        <v/>
      </c>
    </row>
    <row r="23">
      <c r="A23" s="14" t="inlineStr">
        <is>
          <t>CHECK — assets less liabilities &amp; equity</t>
        </is>
      </c>
      <c r="B23" s="23">
        <f>ROUND(B11-B21,2)</f>
        <v/>
      </c>
      <c r="C23" s="23">
        <f>ROUND(C11-C21,2)</f>
        <v/>
      </c>
      <c r="D23" s="23">
        <f>ROUND(D11-D21,2)</f>
        <v/>
      </c>
      <c r="E23" s="23">
        <f>ROUND(E11-E21,2)</f>
        <v/>
      </c>
      <c r="F23" s="23">
        <f>ROUND(F11-F21,2)</f>
        <v/>
      </c>
      <c r="G23" s="23">
        <f>ROUND(G11-G21,2)</f>
        <v/>
      </c>
    </row>
    <row r="24">
      <c r="A24" s="14" t="inlineStr">
        <is>
          <t>Status</t>
        </is>
      </c>
      <c r="B24" s="20">
        <f>IF(ABS(B23)&lt;0.5,"BALANCED ✓","⚠ OUT")</f>
        <v/>
      </c>
      <c r="C24" s="20">
        <f>IF(ABS(C23)&lt;0.5,"BALANCED ✓","⚠ OUT")</f>
        <v/>
      </c>
      <c r="D24" s="20">
        <f>IF(ABS(D23)&lt;0.5,"BALANCED ✓","⚠ OUT")</f>
        <v/>
      </c>
      <c r="E24" s="20">
        <f>IF(ABS(E23)&lt;0.5,"BALANCED ✓","⚠ OUT")</f>
        <v/>
      </c>
      <c r="F24" s="20">
        <f>IF(ABS(F23)&lt;0.5,"BALANCED ✓","⚠ OUT")</f>
        <v/>
      </c>
      <c r="G24" s="20">
        <f>IF(ABS(G23)&lt;0.5,"BALANCED ✓","⚠ OUT")</f>
        <v/>
      </c>
    </row>
  </sheetData>
  <pageMargins left="0.75" right="0.75" top="1" bottom="1" header="0.5" footer="0.5"/>
</worksheet>
</file>

<file path=xl/worksheets/sheet5.xml><?xml version="1.0" encoding="utf-8"?>
<worksheet xmlns="http://schemas.openxmlformats.org/spreadsheetml/2006/main">
  <sheetPr>
    <tabColor rgb="0000B4A6"/>
    <outlinePr summaryBelow="1" summaryRight="1"/>
    <pageSetUpPr/>
  </sheetPr>
  <dimension ref="A1:G22"/>
  <sheetViews>
    <sheetView showGridLines="0" workbookViewId="0">
      <selection activeCell="A1" sqref="A1"/>
    </sheetView>
  </sheetViews>
  <sheetFormatPr baseColWidth="8" defaultRowHeight="15"/>
  <cols>
    <col width="40" customWidth="1" min="1" max="1"/>
    <col width="16" customWidth="1" min="2" max="2"/>
    <col width="15" customWidth="1" min="3" max="3"/>
    <col width="15" customWidth="1" min="4" max="4"/>
    <col width="15" customWidth="1" min="5" max="5"/>
    <col width="15" customWidth="1" min="6" max="6"/>
    <col width="15" customWidth="1" min="7" max="7"/>
  </cols>
  <sheetData>
    <row r="1" ht="30" customHeight="1">
      <c r="A1" s="1" t="inlineStr">
        <is>
          <t>Cash Flow Statement</t>
        </is>
      </c>
      <c r="B1" s="2" t="n"/>
      <c r="C1" s="2" t="n"/>
      <c r="D1" s="2" t="n"/>
      <c r="E1" s="2" t="n"/>
      <c r="F1" s="2" t="n"/>
      <c r="G1" s="2" t="n"/>
    </row>
    <row r="2" ht="18" customHeight="1">
      <c r="A2" s="3" t="inlineStr">
        <is>
          <t>Indirect method. Ties back to the cash line on the balance sheet.</t>
        </is>
      </c>
      <c r="B2" s="2" t="n"/>
      <c r="C2" s="2" t="n"/>
      <c r="D2" s="2" t="n"/>
      <c r="E2" s="2" t="n"/>
      <c r="F2" s="2" t="n"/>
      <c r="G2" s="2" t="n"/>
    </row>
    <row r="4" ht="28" customHeight="1">
      <c r="A4" s="13" t="inlineStr">
        <is>
          <t>Line item</t>
        </is>
      </c>
      <c r="B4" s="13" t="inlineStr">
        <is>
          <t>Year 0 (actual)</t>
        </is>
      </c>
      <c r="C4" s="13" t="inlineStr">
        <is>
          <t>Year 1</t>
        </is>
      </c>
      <c r="D4" s="13" t="inlineStr">
        <is>
          <t>Year 2</t>
        </is>
      </c>
      <c r="E4" s="13" t="inlineStr">
        <is>
          <t>Year 3</t>
        </is>
      </c>
      <c r="F4" s="13" t="inlineStr">
        <is>
          <t>Year 4</t>
        </is>
      </c>
      <c r="G4" s="13" t="inlineStr">
        <is>
          <t>Year 5</t>
        </is>
      </c>
    </row>
    <row r="5" ht="20" customHeight="1">
      <c r="A5" s="11" t="inlineStr">
        <is>
          <t>OPERATING</t>
        </is>
      </c>
      <c r="B5" s="12" t="n"/>
      <c r="C5" s="12" t="n"/>
      <c r="D5" s="12" t="n"/>
      <c r="E5" s="12" t="n"/>
      <c r="F5" s="12" t="n"/>
      <c r="G5" s="12" t="n"/>
    </row>
    <row r="6">
      <c r="A6" s="24" t="inlineStr">
        <is>
          <t>Net income</t>
        </is>
      </c>
      <c r="B6" s="15" t="inlineStr"/>
      <c r="C6" s="25">
        <f>'Income Statement'!C15</f>
        <v/>
      </c>
      <c r="D6" s="25">
        <f>'Income Statement'!D15</f>
        <v/>
      </c>
      <c r="E6" s="25">
        <f>'Income Statement'!E15</f>
        <v/>
      </c>
      <c r="F6" s="25">
        <f>'Income Statement'!F15</f>
        <v/>
      </c>
      <c r="G6" s="25">
        <f>'Income Statement'!G15</f>
        <v/>
      </c>
    </row>
    <row r="7">
      <c r="A7" s="24" t="inlineStr">
        <is>
          <t>Add back depreciation &amp; amortisation</t>
        </is>
      </c>
      <c r="B7" s="15" t="inlineStr"/>
      <c r="C7" s="25">
        <f>-'Income Statement'!C10</f>
        <v/>
      </c>
      <c r="D7" s="25">
        <f>-'Income Statement'!D10</f>
        <v/>
      </c>
      <c r="E7" s="25">
        <f>-'Income Statement'!E10</f>
        <v/>
      </c>
      <c r="F7" s="25">
        <f>-'Income Statement'!F10</f>
        <v/>
      </c>
      <c r="G7" s="25">
        <f>-'Income Statement'!G10</f>
        <v/>
      </c>
    </row>
    <row r="8">
      <c r="A8" s="24" t="inlineStr">
        <is>
          <t>(Increase) / decrease in receivables</t>
        </is>
      </c>
      <c r="B8" s="15" t="inlineStr"/>
      <c r="C8" s="25">
        <f>'Balance Sheet'!B7-'Balance Sheet'!C7</f>
        <v/>
      </c>
      <c r="D8" s="25">
        <f>'Balance Sheet'!C7-'Balance Sheet'!D7</f>
        <v/>
      </c>
      <c r="E8" s="25">
        <f>'Balance Sheet'!D7-'Balance Sheet'!E7</f>
        <v/>
      </c>
      <c r="F8" s="25">
        <f>'Balance Sheet'!E7-'Balance Sheet'!F7</f>
        <v/>
      </c>
      <c r="G8" s="25">
        <f>'Balance Sheet'!F7-'Balance Sheet'!G7</f>
        <v/>
      </c>
    </row>
    <row r="9">
      <c r="A9" s="24" t="inlineStr">
        <is>
          <t>(Increase) / decrease in inventory</t>
        </is>
      </c>
      <c r="B9" s="15" t="inlineStr"/>
      <c r="C9" s="25">
        <f>'Balance Sheet'!B8-'Balance Sheet'!C8</f>
        <v/>
      </c>
      <c r="D9" s="25">
        <f>'Balance Sheet'!C8-'Balance Sheet'!D8</f>
        <v/>
      </c>
      <c r="E9" s="25">
        <f>'Balance Sheet'!D8-'Balance Sheet'!E8</f>
        <v/>
      </c>
      <c r="F9" s="25">
        <f>'Balance Sheet'!E8-'Balance Sheet'!F8</f>
        <v/>
      </c>
      <c r="G9" s="25">
        <f>'Balance Sheet'!F8-'Balance Sheet'!G8</f>
        <v/>
      </c>
    </row>
    <row r="10">
      <c r="A10" s="24" t="inlineStr">
        <is>
          <t>Increase / (decrease) in payables</t>
        </is>
      </c>
      <c r="B10" s="15" t="inlineStr"/>
      <c r="C10" s="25">
        <f>'Balance Sheet'!C14-'Balance Sheet'!B14</f>
        <v/>
      </c>
      <c r="D10" s="25">
        <f>'Balance Sheet'!D14-'Balance Sheet'!C14</f>
        <v/>
      </c>
      <c r="E10" s="25">
        <f>'Balance Sheet'!E14-'Balance Sheet'!D14</f>
        <v/>
      </c>
      <c r="F10" s="25">
        <f>'Balance Sheet'!F14-'Balance Sheet'!E14</f>
        <v/>
      </c>
      <c r="G10" s="25">
        <f>'Balance Sheet'!G14-'Balance Sheet'!F14</f>
        <v/>
      </c>
    </row>
    <row r="11">
      <c r="A11" s="14" t="inlineStr">
        <is>
          <t>Cash from operations</t>
        </is>
      </c>
      <c r="B11" s="15" t="inlineStr"/>
      <c r="C11" s="23">
        <f>SUM(C6:C10)</f>
        <v/>
      </c>
      <c r="D11" s="23">
        <f>SUM(D6:D10)</f>
        <v/>
      </c>
      <c r="E11" s="23">
        <f>SUM(E6:E10)</f>
        <v/>
      </c>
      <c r="F11" s="23">
        <f>SUM(F6:F10)</f>
        <v/>
      </c>
      <c r="G11" s="23">
        <f>SUM(G6:G10)</f>
        <v/>
      </c>
    </row>
    <row r="12" ht="20" customHeight="1">
      <c r="A12" s="27" t="inlineStr">
        <is>
          <t>Capital expenditure</t>
        </is>
      </c>
      <c r="B12" s="12" t="n"/>
      <c r="C12" s="25">
        <f>-'Income Statement'!C5*Assumptions!C$10</f>
        <v/>
      </c>
      <c r="D12" s="25">
        <f>-'Income Statement'!D5*Assumptions!D$10</f>
        <v/>
      </c>
      <c r="E12" s="25">
        <f>-'Income Statement'!E5*Assumptions!E$10</f>
        <v/>
      </c>
      <c r="F12" s="25">
        <f>-'Income Statement'!F5*Assumptions!F$10</f>
        <v/>
      </c>
      <c r="G12" s="25">
        <f>-'Income Statement'!G5*Assumptions!G$10</f>
        <v/>
      </c>
    </row>
    <row r="13">
      <c r="A13" s="14" t="inlineStr">
        <is>
          <t>Cash used in investing</t>
        </is>
      </c>
      <c r="B13" s="15" t="inlineStr"/>
      <c r="C13" s="23">
        <f>C12</f>
        <v/>
      </c>
      <c r="D13" s="23">
        <f>D12</f>
        <v/>
      </c>
      <c r="E13" s="23">
        <f>E12</f>
        <v/>
      </c>
      <c r="F13" s="23">
        <f>F12</f>
        <v/>
      </c>
      <c r="G13" s="23">
        <f>G12</f>
        <v/>
      </c>
    </row>
    <row r="15">
      <c r="A15" s="24" t="inlineStr">
        <is>
          <t>Debt drawn / (repaid)</t>
        </is>
      </c>
      <c r="B15" s="15" t="inlineStr"/>
      <c r="C15" s="25">
        <f>Assumptions!C$17</f>
        <v/>
      </c>
      <c r="D15" s="25">
        <f>Assumptions!D$17</f>
        <v/>
      </c>
      <c r="E15" s="25">
        <f>Assumptions!E$17</f>
        <v/>
      </c>
      <c r="F15" s="25">
        <f>Assumptions!F$17</f>
        <v/>
      </c>
      <c r="G15" s="25">
        <f>Assumptions!G$17</f>
        <v/>
      </c>
    </row>
    <row r="16">
      <c r="A16" s="24" t="inlineStr">
        <is>
          <t>Dividends paid</t>
        </is>
      </c>
      <c r="B16" s="15" t="inlineStr"/>
      <c r="C16" s="25">
        <f>'Income Statement'!C17</f>
        <v/>
      </c>
      <c r="D16" s="25">
        <f>'Income Statement'!D17</f>
        <v/>
      </c>
      <c r="E16" s="25">
        <f>'Income Statement'!E17</f>
        <v/>
      </c>
      <c r="F16" s="25">
        <f>'Income Statement'!F17</f>
        <v/>
      </c>
      <c r="G16" s="25">
        <f>'Income Statement'!G17</f>
        <v/>
      </c>
    </row>
    <row r="17">
      <c r="A17" s="14" t="inlineStr">
        <is>
          <t>Cash from financing</t>
        </is>
      </c>
      <c r="B17" s="15" t="inlineStr"/>
      <c r="C17" s="23">
        <f>C15+C16</f>
        <v/>
      </c>
      <c r="D17" s="23">
        <f>D15+D16</f>
        <v/>
      </c>
      <c r="E17" s="23">
        <f>E15+E16</f>
        <v/>
      </c>
      <c r="F17" s="23">
        <f>F15+F16</f>
        <v/>
      </c>
      <c r="G17" s="23">
        <f>G15+G16</f>
        <v/>
      </c>
    </row>
    <row r="18">
      <c r="A18" s="14" t="inlineStr">
        <is>
          <t>NET CHANGE IN CASH</t>
        </is>
      </c>
      <c r="B18" s="15" t="inlineStr"/>
      <c r="C18" s="23">
        <f>C11+C13+C17</f>
        <v/>
      </c>
      <c r="D18" s="23">
        <f>D11+D13+D17</f>
        <v/>
      </c>
      <c r="E18" s="23">
        <f>E11+E13+E17</f>
        <v/>
      </c>
      <c r="F18" s="23">
        <f>F11+F13+F17</f>
        <v/>
      </c>
      <c r="G18" s="23">
        <f>G11+G13+G17</f>
        <v/>
      </c>
    </row>
    <row r="19">
      <c r="A19" s="24" t="inlineStr">
        <is>
          <t>Opening cash</t>
        </is>
      </c>
      <c r="B19" s="15" t="inlineStr"/>
      <c r="C19" s="25">
        <f>'Balance Sheet'!B6</f>
        <v/>
      </c>
      <c r="D19" s="25">
        <f>'Balance Sheet'!C6</f>
        <v/>
      </c>
      <c r="E19" s="25">
        <f>'Balance Sheet'!D6</f>
        <v/>
      </c>
      <c r="F19" s="25">
        <f>'Balance Sheet'!E6</f>
        <v/>
      </c>
      <c r="G19" s="25">
        <f>'Balance Sheet'!F6</f>
        <v/>
      </c>
    </row>
    <row r="20">
      <c r="A20" s="14" t="inlineStr">
        <is>
          <t>CLOSING CASH</t>
        </is>
      </c>
      <c r="B20" s="15" t="inlineStr"/>
      <c r="C20" s="23">
        <f>C19+C18</f>
        <v/>
      </c>
      <c r="D20" s="23">
        <f>D19+D18</f>
        <v/>
      </c>
      <c r="E20" s="23">
        <f>E19+E18</f>
        <v/>
      </c>
      <c r="F20" s="23">
        <f>F19+F18</f>
        <v/>
      </c>
      <c r="G20" s="23">
        <f>G19+G18</f>
        <v/>
      </c>
    </row>
    <row r="22">
      <c r="A22" s="14" t="inlineStr">
        <is>
          <t>Free cash flow (operations less capex)</t>
        </is>
      </c>
      <c r="B22" s="15" t="inlineStr"/>
      <c r="C22" s="23">
        <f>C11+C12</f>
        <v/>
      </c>
      <c r="D22" s="23">
        <f>D11+D12</f>
        <v/>
      </c>
      <c r="E22" s="23">
        <f>E11+E12</f>
        <v/>
      </c>
      <c r="F22" s="23">
        <f>F11+F12</f>
        <v/>
      </c>
      <c r="G22" s="23">
        <f>G11+G12</f>
        <v/>
      </c>
    </row>
  </sheetData>
  <pageMargins left="0.75" right="0.75" top="1" bottom="1" header="0.5" footer="0.5"/>
</worksheet>
</file>

<file path=xl/worksheets/sheet6.xml><?xml version="1.0" encoding="utf-8"?>
<worksheet xmlns="http://schemas.openxmlformats.org/spreadsheetml/2006/main">
  <sheetPr>
    <tabColor rgb="0000B4A6"/>
    <outlinePr summaryBelow="1" summaryRight="1"/>
    <pageSetUpPr/>
  </sheetPr>
  <dimension ref="A1:G21"/>
  <sheetViews>
    <sheetView showGridLines="0" workbookViewId="0">
      <selection activeCell="A1" sqref="A1"/>
    </sheetView>
  </sheetViews>
  <sheetFormatPr baseColWidth="8" defaultRowHeight="15"/>
  <cols>
    <col width="36" customWidth="1" min="1" max="1"/>
    <col width="14" customWidth="1" min="2" max="2"/>
    <col width="14" customWidth="1" min="3" max="3"/>
    <col width="14" customWidth="1" min="4" max="4"/>
    <col width="14" customWidth="1" min="5" max="5"/>
    <col width="14" customWidth="1" min="6" max="6"/>
    <col width="14" customWidth="1" min="7" max="7"/>
  </cols>
  <sheetData>
    <row r="1" ht="30" customHeight="1">
      <c r="A1" s="1" t="inlineStr">
        <is>
          <t>Ratios &amp; Dashboard</t>
        </is>
      </c>
      <c r="B1" s="2" t="n"/>
      <c r="C1" s="2" t="n"/>
      <c r="D1" s="2" t="n"/>
      <c r="E1" s="2" t="n"/>
      <c r="F1" s="2" t="n"/>
      <c r="G1" s="2" t="n"/>
    </row>
    <row r="2" ht="18" customHeight="1">
      <c r="A2" s="3" t="inlineStr">
        <is>
          <t>The numbers a credit officer or investor asks for first.</t>
        </is>
      </c>
      <c r="B2" s="2" t="n"/>
      <c r="C2" s="2" t="n"/>
      <c r="D2" s="2" t="n"/>
      <c r="E2" s="2" t="n"/>
      <c r="F2" s="2" t="n"/>
      <c r="G2" s="2" t="n"/>
    </row>
    <row r="4" ht="28" customHeight="1">
      <c r="A4" s="13" t="inlineStr">
        <is>
          <t>Line item</t>
        </is>
      </c>
      <c r="B4" s="13" t="inlineStr">
        <is>
          <t>Year 0 (actual)</t>
        </is>
      </c>
      <c r="C4" s="13" t="inlineStr">
        <is>
          <t>Year 1</t>
        </is>
      </c>
      <c r="D4" s="13" t="inlineStr">
        <is>
          <t>Year 2</t>
        </is>
      </c>
      <c r="E4" s="13" t="inlineStr">
        <is>
          <t>Year 3</t>
        </is>
      </c>
      <c r="F4" s="13" t="inlineStr">
        <is>
          <t>Year 4</t>
        </is>
      </c>
      <c r="G4" s="13" t="inlineStr">
        <is>
          <t>Year 5</t>
        </is>
      </c>
    </row>
    <row r="5">
      <c r="A5" s="14" t="inlineStr">
        <is>
          <t>Revenue growth</t>
        </is>
      </c>
      <c r="B5" s="15" t="inlineStr">
        <is>
          <t>—</t>
        </is>
      </c>
      <c r="C5" s="26">
        <f>IFERROR('Income Statement'!C5/'Income Statement'!B5-1,0)</f>
        <v/>
      </c>
      <c r="D5" s="26">
        <f>IFERROR('Income Statement'!D5/'Income Statement'!C5-1,0)</f>
        <v/>
      </c>
      <c r="E5" s="26">
        <f>IFERROR('Income Statement'!E5/'Income Statement'!D5-1,0)</f>
        <v/>
      </c>
      <c r="F5" s="26">
        <f>IFERROR('Income Statement'!F5/'Income Statement'!E5-1,0)</f>
        <v/>
      </c>
      <c r="G5" s="26">
        <f>IFERROR('Income Statement'!G5/'Income Statement'!F5-1,0)</f>
        <v/>
      </c>
    </row>
    <row r="6">
      <c r="A6" s="14" t="inlineStr">
        <is>
          <t>Gross margin</t>
        </is>
      </c>
      <c r="B6" s="15" t="inlineStr">
        <is>
          <t>—</t>
        </is>
      </c>
      <c r="C6" s="26">
        <f>IFERROR('Income Statement'!C7/'Income Statement'!C5,0)</f>
        <v/>
      </c>
      <c r="D6" s="26">
        <f>IFERROR('Income Statement'!D7/'Income Statement'!D5,0)</f>
        <v/>
      </c>
      <c r="E6" s="26">
        <f>IFERROR('Income Statement'!E7/'Income Statement'!E5,0)</f>
        <v/>
      </c>
      <c r="F6" s="26">
        <f>IFERROR('Income Statement'!F7/'Income Statement'!F5,0)</f>
        <v/>
      </c>
      <c r="G6" s="26">
        <f>IFERROR('Income Statement'!G7/'Income Statement'!G5,0)</f>
        <v/>
      </c>
    </row>
    <row r="7">
      <c r="A7" s="14" t="inlineStr">
        <is>
          <t>EBITDA margin</t>
        </is>
      </c>
      <c r="B7" s="15" t="inlineStr">
        <is>
          <t>—</t>
        </is>
      </c>
      <c r="C7" s="26">
        <f>IFERROR('Income Statement'!C9/'Income Statement'!C5,0)</f>
        <v/>
      </c>
      <c r="D7" s="26">
        <f>IFERROR('Income Statement'!D9/'Income Statement'!D5,0)</f>
        <v/>
      </c>
      <c r="E7" s="26">
        <f>IFERROR('Income Statement'!E9/'Income Statement'!E5,0)</f>
        <v/>
      </c>
      <c r="F7" s="26">
        <f>IFERROR('Income Statement'!F9/'Income Statement'!F5,0)</f>
        <v/>
      </c>
      <c r="G7" s="26">
        <f>IFERROR('Income Statement'!G9/'Income Statement'!G5,0)</f>
        <v/>
      </c>
    </row>
    <row r="8">
      <c r="A8" s="14" t="inlineStr">
        <is>
          <t>Net margin</t>
        </is>
      </c>
      <c r="B8" s="15" t="inlineStr">
        <is>
          <t>—</t>
        </is>
      </c>
      <c r="C8" s="26">
        <f>IFERROR('Income Statement'!C15/'Income Statement'!C5,0)</f>
        <v/>
      </c>
      <c r="D8" s="26">
        <f>IFERROR('Income Statement'!D15/'Income Statement'!D5,0)</f>
        <v/>
      </c>
      <c r="E8" s="26">
        <f>IFERROR('Income Statement'!E15/'Income Statement'!E5,0)</f>
        <v/>
      </c>
      <c r="F8" s="26">
        <f>IFERROR('Income Statement'!F15/'Income Statement'!F5,0)</f>
        <v/>
      </c>
      <c r="G8" s="26">
        <f>IFERROR('Income Statement'!G15/'Income Statement'!G5,0)</f>
        <v/>
      </c>
    </row>
    <row r="9">
      <c r="A9" s="14" t="inlineStr">
        <is>
          <t>Current ratio</t>
        </is>
      </c>
      <c r="B9" s="15" t="inlineStr">
        <is>
          <t>—</t>
        </is>
      </c>
      <c r="C9" s="28">
        <f>IFERROR('Balance Sheet'!C9/'Balance Sheet'!C15,0)</f>
        <v/>
      </c>
      <c r="D9" s="28">
        <f>IFERROR('Balance Sheet'!D9/'Balance Sheet'!D15,0)</f>
        <v/>
      </c>
      <c r="E9" s="28">
        <f>IFERROR('Balance Sheet'!E9/'Balance Sheet'!E15,0)</f>
        <v/>
      </c>
      <c r="F9" s="28">
        <f>IFERROR('Balance Sheet'!F9/'Balance Sheet'!F15,0)</f>
        <v/>
      </c>
      <c r="G9" s="28">
        <f>IFERROR('Balance Sheet'!G9/'Balance Sheet'!G15,0)</f>
        <v/>
      </c>
    </row>
    <row r="10">
      <c r="A10" s="14" t="inlineStr">
        <is>
          <t>Quick ratio</t>
        </is>
      </c>
      <c r="B10" s="15" t="inlineStr">
        <is>
          <t>—</t>
        </is>
      </c>
      <c r="C10" s="28">
        <f>IFERROR(('Balance Sheet'!C6+'Balance Sheet'!C7)/'Balance Sheet'!C15,0)</f>
        <v/>
      </c>
      <c r="D10" s="28">
        <f>IFERROR(('Balance Sheet'!D6+'Balance Sheet'!D7)/'Balance Sheet'!D15,0)</f>
        <v/>
      </c>
      <c r="E10" s="28">
        <f>IFERROR(('Balance Sheet'!E6+'Balance Sheet'!E7)/'Balance Sheet'!E15,0)</f>
        <v/>
      </c>
      <c r="F10" s="28">
        <f>IFERROR(('Balance Sheet'!F6+'Balance Sheet'!F7)/'Balance Sheet'!F15,0)</f>
        <v/>
      </c>
      <c r="G10" s="28">
        <f>IFERROR(('Balance Sheet'!G6+'Balance Sheet'!G7)/'Balance Sheet'!G15,0)</f>
        <v/>
      </c>
    </row>
    <row r="11">
      <c r="A11" s="14" t="inlineStr">
        <is>
          <t>Debt / equity</t>
        </is>
      </c>
      <c r="B11" s="15" t="inlineStr">
        <is>
          <t>—</t>
        </is>
      </c>
      <c r="C11" s="28">
        <f>IFERROR('Balance Sheet'!C16/'Balance Sheet'!C20,0)</f>
        <v/>
      </c>
      <c r="D11" s="28">
        <f>IFERROR('Balance Sheet'!D16/'Balance Sheet'!D20,0)</f>
        <v/>
      </c>
      <c r="E11" s="28">
        <f>IFERROR('Balance Sheet'!E16/'Balance Sheet'!E20,0)</f>
        <v/>
      </c>
      <c r="F11" s="28">
        <f>IFERROR('Balance Sheet'!F16/'Balance Sheet'!F20,0)</f>
        <v/>
      </c>
      <c r="G11" s="28">
        <f>IFERROR('Balance Sheet'!G16/'Balance Sheet'!G20,0)</f>
        <v/>
      </c>
    </row>
    <row r="12">
      <c r="A12" s="14" t="inlineStr">
        <is>
          <t>Debt / EBITDA</t>
        </is>
      </c>
      <c r="B12" s="15" t="inlineStr">
        <is>
          <t>—</t>
        </is>
      </c>
      <c r="C12" s="28">
        <f>IFERROR('Balance Sheet'!C16/'Income Statement'!C9,0)</f>
        <v/>
      </c>
      <c r="D12" s="28">
        <f>IFERROR('Balance Sheet'!D16/'Income Statement'!D9,0)</f>
        <v/>
      </c>
      <c r="E12" s="28">
        <f>IFERROR('Balance Sheet'!E16/'Income Statement'!E9,0)</f>
        <v/>
      </c>
      <c r="F12" s="28">
        <f>IFERROR('Balance Sheet'!F16/'Income Statement'!F9,0)</f>
        <v/>
      </c>
      <c r="G12" s="28">
        <f>IFERROR('Balance Sheet'!G16/'Income Statement'!G9,0)</f>
        <v/>
      </c>
    </row>
    <row r="13">
      <c r="A13" s="14" t="inlineStr">
        <is>
          <t>Interest coverage (EBIT / interest)</t>
        </is>
      </c>
      <c r="B13" s="15" t="inlineStr">
        <is>
          <t>—</t>
        </is>
      </c>
      <c r="C13" s="28">
        <f>IFERROR('Income Statement'!C11/-'Income Statement'!C12,0)</f>
        <v/>
      </c>
      <c r="D13" s="28">
        <f>IFERROR('Income Statement'!D11/-'Income Statement'!D12,0)</f>
        <v/>
      </c>
      <c r="E13" s="28">
        <f>IFERROR('Income Statement'!E11/-'Income Statement'!E12,0)</f>
        <v/>
      </c>
      <c r="F13" s="28">
        <f>IFERROR('Income Statement'!F11/-'Income Statement'!F12,0)</f>
        <v/>
      </c>
      <c r="G13" s="28">
        <f>IFERROR('Income Statement'!G11/-'Income Statement'!G12,0)</f>
        <v/>
      </c>
    </row>
    <row r="14">
      <c r="A14" s="14" t="inlineStr">
        <is>
          <t>Return on equity</t>
        </is>
      </c>
      <c r="B14" s="15" t="inlineStr">
        <is>
          <t>—</t>
        </is>
      </c>
      <c r="C14" s="26">
        <f>IFERROR('Income Statement'!C15/'Balance Sheet'!C20,0)</f>
        <v/>
      </c>
      <c r="D14" s="26">
        <f>IFERROR('Income Statement'!D15/'Balance Sheet'!D20,0)</f>
        <v/>
      </c>
      <c r="E14" s="26">
        <f>IFERROR('Income Statement'!E15/'Balance Sheet'!E20,0)</f>
        <v/>
      </c>
      <c r="F14" s="26">
        <f>IFERROR('Income Statement'!F15/'Balance Sheet'!F20,0)</f>
        <v/>
      </c>
      <c r="G14" s="26">
        <f>IFERROR('Income Statement'!G15/'Balance Sheet'!G20,0)</f>
        <v/>
      </c>
    </row>
    <row r="15">
      <c r="A15" s="14" t="inlineStr">
        <is>
          <t>Return on assets</t>
        </is>
      </c>
      <c r="B15" s="15" t="inlineStr">
        <is>
          <t>—</t>
        </is>
      </c>
      <c r="C15" s="26">
        <f>IFERROR('Income Statement'!C15/'Balance Sheet'!C11,0)</f>
        <v/>
      </c>
      <c r="D15" s="26">
        <f>IFERROR('Income Statement'!D15/'Balance Sheet'!D11,0)</f>
        <v/>
      </c>
      <c r="E15" s="26">
        <f>IFERROR('Income Statement'!E15/'Balance Sheet'!E11,0)</f>
        <v/>
      </c>
      <c r="F15" s="26">
        <f>IFERROR('Income Statement'!F15/'Balance Sheet'!F11,0)</f>
        <v/>
      </c>
      <c r="G15" s="26">
        <f>IFERROR('Income Statement'!G15/'Balance Sheet'!G11,0)</f>
        <v/>
      </c>
    </row>
    <row r="16">
      <c r="A16" s="14" t="inlineStr">
        <is>
          <t>Cash conversion cycle (days)</t>
        </is>
      </c>
      <c r="B16" s="15" t="inlineStr">
        <is>
          <t>—</t>
        </is>
      </c>
      <c r="C16" s="29">
        <f>Assumptions!C$14+Assumptions!C$15-Assumptions!C$16</f>
        <v/>
      </c>
      <c r="D16" s="29">
        <f>Assumptions!D$14+Assumptions!D$15-Assumptions!D$16</f>
        <v/>
      </c>
      <c r="E16" s="29">
        <f>Assumptions!E$14+Assumptions!E$15-Assumptions!E$16</f>
        <v/>
      </c>
      <c r="F16" s="29">
        <f>Assumptions!F$14+Assumptions!F$15-Assumptions!F$16</f>
        <v/>
      </c>
      <c r="G16" s="29">
        <f>Assumptions!G$14+Assumptions!G$15-Assumptions!G$16</f>
        <v/>
      </c>
    </row>
    <row r="17">
      <c r="A17" s="14" t="inlineStr">
        <is>
          <t>Free cash flow</t>
        </is>
      </c>
      <c r="B17" s="15" t="inlineStr">
        <is>
          <t>—</t>
        </is>
      </c>
      <c r="C17" s="25">
        <f>'Cash Flow'!C22</f>
        <v/>
      </c>
      <c r="D17" s="25">
        <f>'Cash Flow'!D22</f>
        <v/>
      </c>
      <c r="E17" s="25">
        <f>'Cash Flow'!E22</f>
        <v/>
      </c>
      <c r="F17" s="25">
        <f>'Cash Flow'!F22</f>
        <v/>
      </c>
      <c r="G17" s="25">
        <f>'Cash Flow'!G22</f>
        <v/>
      </c>
    </row>
    <row r="19" ht="20" customHeight="1">
      <c r="A19" s="11" t="inlineStr">
        <is>
          <t>MODEL INTEGRITY</t>
        </is>
      </c>
      <c r="B19" s="12" t="n"/>
      <c r="C19" s="12" t="n"/>
      <c r="D19" s="12" t="n"/>
      <c r="E19" s="12" t="n"/>
      <c r="F19" s="12" t="n"/>
      <c r="G19" s="12" t="n"/>
    </row>
    <row r="20">
      <c r="A20" s="14" t="inlineStr">
        <is>
          <t>Balance sheet check</t>
        </is>
      </c>
      <c r="C20" s="20">
        <f>'Balance Sheet'!C24</f>
        <v/>
      </c>
      <c r="D20" s="20">
        <f>'Balance Sheet'!D24</f>
        <v/>
      </c>
      <c r="E20" s="20">
        <f>'Balance Sheet'!E24</f>
        <v/>
      </c>
      <c r="F20" s="20">
        <f>'Balance Sheet'!F24</f>
        <v/>
      </c>
      <c r="G20" s="20">
        <f>'Balance Sheet'!G24</f>
        <v/>
      </c>
    </row>
    <row r="21">
      <c r="A21" s="14" t="inlineStr">
        <is>
          <t>Cash flow ties to balance sheet</t>
        </is>
      </c>
      <c r="C21" s="20">
        <f>IF(ABS('Cash Flow'!C20-'Balance Sheet'!C6)&lt;0.5,"TIES ✓","⚠ OUT")</f>
        <v/>
      </c>
      <c r="D21" s="20">
        <f>IF(ABS('Cash Flow'!D20-'Balance Sheet'!D6)&lt;0.5,"TIES ✓","⚠ OUT")</f>
        <v/>
      </c>
      <c r="E21" s="20">
        <f>IF(ABS('Cash Flow'!E20-'Balance Sheet'!E6)&lt;0.5,"TIES ✓","⚠ OUT")</f>
        <v/>
      </c>
      <c r="F21" s="20">
        <f>IF(ABS('Cash Flow'!F20-'Balance Sheet'!F6)&lt;0.5,"TIES ✓","⚠ OUT")</f>
        <v/>
      </c>
      <c r="G21" s="20">
        <f>IF(ABS('Cash Flow'!G20-'Balance Sheet'!G6)&lt;0.5,"TIES ✓","⚠ OUT")</f>
        <v/>
      </c>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2026-09-05T08:21:33Z</dcterms:created>
  <dcterms:modified xsi:type="dcterms:W3CDTF">2026-09-05T08:21:33Z</dcterms:modified>
</cp:coreProperties>
</file>