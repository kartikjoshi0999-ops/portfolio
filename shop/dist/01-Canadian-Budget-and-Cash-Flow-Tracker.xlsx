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ategories" sheetId="2" state="visible" r:id="rId2"/>
    <sheet name="Transactions" sheetId="3" state="visible" r:id="rId3"/>
    <sheet name="Budget vs Actual" sheetId="4" state="visible" r:id="rId4"/>
    <sheet name="Dashboard" sheetId="5" state="visible" r:id="rId5"/>
  </sheets>
  <definedNames/>
  <calcPr calcId="124519" fullCalcOnLoad="1"/>
</workbook>
</file>

<file path=xl/styles.xml><?xml version="1.0" encoding="utf-8"?>
<styleSheet xmlns="http://schemas.openxmlformats.org/spreadsheetml/2006/main">
  <numFmts count="3">
    <numFmt numFmtId="164" formatCode="yyyy-mm-dd"/>
    <numFmt numFmtId="165" formatCode="$#,##0.00"/>
    <numFmt numFmtId="166" formatCode="0.0%"/>
  </numFmts>
  <fonts count="12">
    <font>
      <name val="Calibri"/>
      <family val="2"/>
      <color theme="1"/>
      <sz val="11"/>
      <scheme val="minor"/>
    </font>
    <font>
      <name val="Calibri"/>
      <b val="1"/>
      <color rgb="00FFFFFF"/>
      <sz val="18"/>
    </font>
    <font>
      <name val="Calibri"/>
      <color rgb="00C9A84C"/>
      <sz val="10"/>
    </font>
    <font>
      <b val="1"/>
      <color rgb="00FFFFFF"/>
      <sz val="10"/>
    </font>
    <font>
      <b val="1"/>
      <color rgb="001A1A1A"/>
    </font>
    <font>
      <i val="1"/>
      <color rgb="008A97AB"/>
      <sz val="9"/>
    </font>
    <font/>
    <font>
      <b val="1"/>
    </font>
    <font>
      <b val="1"/>
      <color rgb="00FFFFFF"/>
      <sz val="11"/>
    </font>
    <font>
      <b val="1"/>
      <color rgb="000D1F3C"/>
      <sz val="12"/>
    </font>
    <font>
      <color rgb="008A97AB"/>
      <sz val="9"/>
    </font>
    <font>
      <b val="1"/>
      <color rgb="000D1F3C"/>
      <sz val="10"/>
    </font>
  </fonts>
  <fills count="7">
    <fill>
      <patternFill/>
    </fill>
    <fill>
      <patternFill patternType="gray125"/>
    </fill>
    <fill>
      <patternFill patternType="solid">
        <fgColor rgb="000A1628"/>
      </patternFill>
    </fill>
    <fill>
      <patternFill patternType="solid">
        <fgColor rgb="0000B4A6"/>
      </patternFill>
    </fill>
    <fill>
      <patternFill patternType="solid">
        <fgColor rgb="00FFF7DC"/>
      </patternFill>
    </fill>
    <fill>
      <patternFill patternType="solid">
        <fgColor rgb="00EDF1F6"/>
      </patternFill>
    </fill>
    <fill>
      <patternFill patternType="solid">
        <fgColor rgb="000D1F3C"/>
      </patternFill>
    </fill>
  </fills>
  <borders count="2">
    <border>
      <left/>
      <right/>
      <top/>
      <bottom/>
      <diagonal/>
    </border>
    <border>
      <left style="thin">
        <color rgb="00C7D0DB"/>
      </left>
      <right style="thin">
        <color rgb="00C7D0DB"/>
      </right>
      <top style="thin">
        <color rgb="00C7D0DB"/>
      </top>
      <bottom style="thin">
        <color rgb="00C7D0DB"/>
      </bottom>
    </border>
  </borders>
  <cellStyleXfs count="1">
    <xf numFmtId="0" fontId="0" fillId="0" borderId="0"/>
  </cellStyleXfs>
  <cellXfs count="28">
    <xf numFmtId="0" fontId="0" fillId="0" borderId="0" pivotButton="0" quotePrefix="0" xfId="0"/>
    <xf numFmtId="0" fontId="1" fillId="2" borderId="0" pivotButton="0" quotePrefix="0" xfId="0"/>
    <xf numFmtId="0" fontId="0" fillId="2" borderId="0" pivotButton="0" quotePrefix="0" xfId="0"/>
    <xf numFmtId="0" fontId="2" fillId="2" borderId="0" pivotButton="0" quotePrefix="0" xfId="0"/>
    <xf numFmtId="0" fontId="9" fillId="0" borderId="0" pivotButton="0" quotePrefix="0" xfId="0"/>
    <xf numFmtId="0" fontId="0" fillId="0" borderId="0" applyAlignment="1" pivotButton="0" quotePrefix="0" xfId="0">
      <alignment wrapText="1"/>
    </xf>
    <xf numFmtId="0" fontId="0" fillId="4" borderId="0" pivotButton="0" quotePrefix="0" xfId="0"/>
    <xf numFmtId="0" fontId="0" fillId="5" borderId="0" pivotButton="0" quotePrefix="0" xfId="0"/>
    <xf numFmtId="0" fontId="10" fillId="0" borderId="0" applyAlignment="1" pivotButton="0" quotePrefix="0" xfId="0">
      <alignment vertical="top" wrapText="1"/>
    </xf>
    <xf numFmtId="0" fontId="11" fillId="0" borderId="0" pivotButton="0" quotePrefix="0" xfId="0"/>
    <xf numFmtId="0" fontId="10" fillId="0" borderId="0" pivotButton="0" quotePrefix="0" xfId="0"/>
    <xf numFmtId="0" fontId="3" fillId="3" borderId="1" applyAlignment="1" pivotButton="0" quotePrefix="0" xfId="0">
      <alignment horizontal="center" vertical="center" wrapText="1"/>
    </xf>
    <xf numFmtId="0" fontId="0" fillId="0" borderId="1" pivotButton="0" quotePrefix="0" xfId="0"/>
    <xf numFmtId="0" fontId="4" fillId="4" borderId="1" pivotButton="0" quotePrefix="0" xfId="0"/>
    <xf numFmtId="0" fontId="5" fillId="0" borderId="0" pivotButton="0" quotePrefix="0" xfId="0"/>
    <xf numFmtId="164" fontId="4" fillId="4" borderId="1" pivotButton="0" quotePrefix="0" xfId="0"/>
    <xf numFmtId="0" fontId="6" fillId="5" borderId="1" pivotButton="0" quotePrefix="0" xfId="0"/>
    <xf numFmtId="4" fontId="4" fillId="4" borderId="1" pivotButton="0" quotePrefix="0" xfId="0"/>
    <xf numFmtId="4" fontId="6" fillId="5" borderId="1" pivotButton="0" quotePrefix="0" xfId="0"/>
    <xf numFmtId="3" fontId="4" fillId="4" borderId="1" pivotButton="0" quotePrefix="0" xfId="0"/>
    <xf numFmtId="3" fontId="7" fillId="5" borderId="1" pivotButton="0" quotePrefix="0" xfId="0"/>
    <xf numFmtId="3" fontId="6" fillId="5" borderId="1" pivotButton="0" quotePrefix="0" xfId="0"/>
    <xf numFmtId="0" fontId="7" fillId="0" borderId="0" pivotButton="0" quotePrefix="0" xfId="0"/>
    <xf numFmtId="0" fontId="8" fillId="6" borderId="0" pivotButton="0" quotePrefix="0" xfId="0"/>
    <xf numFmtId="0" fontId="0" fillId="6" borderId="0" pivotButton="0" quotePrefix="0" xfId="0"/>
    <xf numFmtId="165" fontId="7" fillId="5" borderId="1" pivotButton="0" quotePrefix="0" xfId="0"/>
    <xf numFmtId="166" fontId="7" fillId="5" borderId="1" pivotButton="0" quotePrefix="0" xfId="0"/>
    <xf numFmtId="4" fontId="7"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Money in vs money out by month</a:t>
            </a:r>
          </a:p>
        </rich>
      </tx>
    </title>
    <plotArea>
      <barChart>
        <barDir val="col"/>
        <grouping val="clustered"/>
        <ser>
          <idx val="0"/>
          <order val="0"/>
          <tx>
            <strRef>
              <f>'Dashboard'!B15</f>
            </strRef>
          </tx>
          <spPr>
            <a:ln>
              <a:prstDash val="solid"/>
            </a:ln>
          </spPr>
          <cat>
            <numRef>
              <f>'Dashboard'!$A$16:$A$27</f>
            </numRef>
          </cat>
          <val>
            <numRef>
              <f>'Dashboard'!$B$16:$B$27</f>
            </numRef>
          </val>
        </ser>
        <ser>
          <idx val="1"/>
          <order val="1"/>
          <tx>
            <strRef>
              <f>'Dashboard'!C15</f>
            </strRef>
          </tx>
          <spPr>
            <a:ln>
              <a:prstDash val="solid"/>
            </a:ln>
          </spPr>
          <cat>
            <numRef>
              <f>'Dashboard'!$A$16:$A$27</f>
            </numRef>
          </cat>
          <val>
            <numRef>
              <f>'Dashboard'!$C$16:$C$27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5</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9A84C"/>
    <outlinePr summaryBelow="1" summaryRight="1"/>
    <pageSetUpPr/>
  </sheetPr>
  <dimension ref="A1:C26"/>
  <sheetViews>
    <sheetView showGridLines="0" workbookViewId="0">
      <selection activeCell="A1" sqref="A1"/>
    </sheetView>
  </sheetViews>
  <sheetFormatPr baseColWidth="8" defaultRowHeight="15"/>
  <cols>
    <col width="4" customWidth="1" min="1" max="1"/>
    <col width="100" customWidth="1" min="2" max="2"/>
  </cols>
  <sheetData>
    <row r="1" ht="30" customHeight="1">
      <c r="A1" s="1" t="inlineStr">
        <is>
          <t>Canadian Budget &amp; Cash-Flow Tracker</t>
        </is>
      </c>
      <c r="B1" s="2" t="n"/>
      <c r="C1" s="2" t="n"/>
    </row>
    <row r="2" ht="18" customHeight="1">
      <c r="A2" s="3" t="inlineStr">
        <is>
          <t>Built by a Canadian personal banker. Track every dollar, see your real savings rate.</t>
        </is>
      </c>
      <c r="B2" s="2" t="n"/>
      <c r="C2" s="2" t="n"/>
    </row>
    <row r="4">
      <c r="B4" s="4" t="inlineStr">
        <is>
          <t>WHAT'S INSIDE</t>
        </is>
      </c>
    </row>
    <row r="5">
      <c r="B5" s="5" t="inlineStr">
        <is>
          <t>•  Start Here — this page.</t>
        </is>
      </c>
    </row>
    <row r="6">
      <c r="B6" s="5" t="inlineStr">
        <is>
          <t>•  Categories — 38 ready-made Canadian budget categories you can rename.</t>
        </is>
      </c>
    </row>
    <row r="7">
      <c r="B7" s="5" t="inlineStr">
        <is>
          <t>•  Transactions — 1,200-row logbook with a drop-down category picker.</t>
        </is>
      </c>
    </row>
    <row r="8">
      <c r="B8" s="5" t="inlineStr">
        <is>
          <t>•  Budget vs Actual — 12-month plan against real spending, with variance.</t>
        </is>
      </c>
    </row>
    <row r="9">
      <c r="B9" s="5" t="inlineStr">
        <is>
          <t>•  Dashboard — income, spending, net cash flow, savings rate and a monthly chart.</t>
        </is>
      </c>
    </row>
    <row r="11">
      <c r="B11" s="4" t="inlineStr">
        <is>
          <t>HOW TO USE IT</t>
        </is>
      </c>
    </row>
    <row r="12">
      <c r="B12" s="5" t="inlineStr">
        <is>
          <t>1.  Open the Categories tab and rename anything that does not fit your life.</t>
        </is>
      </c>
    </row>
    <row r="13">
      <c r="B13" s="5" t="inlineStr">
        <is>
          <t>2.  Go to Budget vs Actual and type what you PLAN to spend in each month.</t>
        </is>
      </c>
    </row>
    <row r="14">
      <c r="B14" s="5" t="inlineStr">
        <is>
          <t>3.  Log spending on the Transactions tab — date, category, money in or money out.</t>
        </is>
      </c>
    </row>
    <row r="15">
      <c r="B15" s="5" t="inlineStr">
        <is>
          <t>4.  The Dashboard and the Actual columns update themselves. Nothing else to do.</t>
        </is>
      </c>
    </row>
    <row r="16">
      <c r="B16" s="5" t="inlineStr">
        <is>
          <t>5.  Check the variance column at month end: positive means you came in under plan.</t>
        </is>
      </c>
    </row>
    <row r="18">
      <c r="B18" s="4" t="inlineStr">
        <is>
          <t>COLOUR KEY</t>
        </is>
      </c>
    </row>
    <row r="19">
      <c r="B19" s="6" t="inlineStr">
        <is>
          <t>Yellow cells = you type here.</t>
        </is>
      </c>
    </row>
    <row r="20">
      <c r="B20" s="7" t="inlineStr">
        <is>
          <t>Grey cells = formulas. Do not overwrite them.</t>
        </is>
      </c>
    </row>
    <row r="22" ht="46" customHeight="1">
      <c r="B22" s="8" t="inlineStr">
        <is>
          <t>LICENSE: Single-user personal/business licence. You may use and edit this file for yourself or your own business. You may NOT resell, redistribute, share, or publish this file or any edited version of it. All rights reserved.</t>
        </is>
      </c>
    </row>
    <row r="23" ht="46" customHeight="1">
      <c r="B23" s="8" t="inlineStr">
        <is>
          <t>DISCLAIMER: This template is an educational planning tool only. It is not financial, tax, investment, or legal advice. Figures such as contribution limits and tax rates change — always confirm current numbers with the CRA or a licensed advisor before acting on any output.</t>
        </is>
      </c>
    </row>
    <row r="25">
      <c r="B25" s="9" t="inlineStr">
        <is>
          <t>Created by Kartik Joshi, MBA — Financial Analyst &amp; Banking Professional</t>
        </is>
      </c>
    </row>
    <row r="26">
      <c r="B26" s="10" t="inlineStr">
        <is>
          <t>Questions or a problem with the file? Message me through Etsy and I will help.</t>
        </is>
      </c>
    </row>
  </sheetData>
  <pageMargins left="0.75" right="0.75" top="1" bottom="1" header="0.5" footer="0.5"/>
</worksheet>
</file>

<file path=xl/worksheets/sheet2.xml><?xml version="1.0" encoding="utf-8"?>
<worksheet xmlns="http://schemas.openxmlformats.org/spreadsheetml/2006/main">
  <sheetPr>
    <tabColor rgb="0000B4A6"/>
    <outlinePr summaryBelow="1" summaryRight="1"/>
    <pageSetUpPr/>
  </sheetPr>
  <dimension ref="A1:D44"/>
  <sheetViews>
    <sheetView showGridLines="0" workbookViewId="0">
      <selection activeCell="A1" sqref="A1"/>
    </sheetView>
  </sheetViews>
  <sheetFormatPr baseColWidth="8" defaultRowHeight="15"/>
  <cols>
    <col width="16" customWidth="1" min="1" max="1"/>
    <col width="40" customWidth="1" min="2" max="2"/>
    <col width="14" customWidth="1" min="3" max="3"/>
  </cols>
  <sheetData>
    <row r="1" ht="30" customHeight="1">
      <c r="A1" s="1" t="inlineStr">
        <is>
          <t>Categories</t>
        </is>
      </c>
      <c r="B1" s="2" t="n"/>
      <c r="C1" s="2" t="n"/>
      <c r="D1" s="2" t="n"/>
    </row>
    <row r="2" ht="18" customHeight="1">
      <c r="A2" s="3" t="inlineStr">
        <is>
          <t>Rename or add rows to match your own life. Everything else updates automatically.</t>
        </is>
      </c>
      <c r="B2" s="2" t="n"/>
      <c r="C2" s="2" t="n"/>
      <c r="D2" s="2" t="n"/>
    </row>
    <row r="4" ht="28" customHeight="1">
      <c r="A4" s="11" t="inlineStr">
        <is>
          <t>Group</t>
        </is>
      </c>
      <c r="B4" s="11" t="inlineStr">
        <is>
          <t>Category</t>
        </is>
      </c>
      <c r="C4" s="11" t="inlineStr">
        <is>
          <t>Type</t>
        </is>
      </c>
    </row>
    <row r="5">
      <c r="A5" s="12" t="inlineStr">
        <is>
          <t>Income</t>
        </is>
      </c>
      <c r="B5" s="13" t="inlineStr">
        <is>
          <t>Employment income</t>
        </is>
      </c>
      <c r="C5" s="12" t="inlineStr">
        <is>
          <t>Income</t>
        </is>
      </c>
    </row>
    <row r="6">
      <c r="A6" s="12" t="inlineStr">
        <is>
          <t>Income</t>
        </is>
      </c>
      <c r="B6" s="13" t="inlineStr">
        <is>
          <t>Self-employment / side income</t>
        </is>
      </c>
      <c r="C6" s="12" t="inlineStr">
        <is>
          <t>Income</t>
        </is>
      </c>
    </row>
    <row r="7">
      <c r="A7" s="12" t="inlineStr">
        <is>
          <t>Income</t>
        </is>
      </c>
      <c r="B7" s="13" t="inlineStr">
        <is>
          <t>Government benefits (CCB, GST/HST credit)</t>
        </is>
      </c>
      <c r="C7" s="12" t="inlineStr">
        <is>
          <t>Income</t>
        </is>
      </c>
    </row>
    <row r="8">
      <c r="A8" s="12" t="inlineStr">
        <is>
          <t>Income</t>
        </is>
      </c>
      <c r="B8" s="13" t="inlineStr">
        <is>
          <t>Investment / other income</t>
        </is>
      </c>
      <c r="C8" s="12" t="inlineStr">
        <is>
          <t>Income</t>
        </is>
      </c>
    </row>
    <row r="9">
      <c r="A9" s="12" t="inlineStr">
        <is>
          <t>Housing</t>
        </is>
      </c>
      <c r="B9" s="13" t="inlineStr">
        <is>
          <t>Rent or mortgage payment</t>
        </is>
      </c>
      <c r="C9" s="12" t="inlineStr">
        <is>
          <t>Expense</t>
        </is>
      </c>
    </row>
    <row r="10">
      <c r="A10" s="12" t="inlineStr">
        <is>
          <t>Housing</t>
        </is>
      </c>
      <c r="B10" s="13" t="inlineStr">
        <is>
          <t>Property tax</t>
        </is>
      </c>
      <c r="C10" s="12" t="inlineStr">
        <is>
          <t>Expense</t>
        </is>
      </c>
    </row>
    <row r="11">
      <c r="A11" s="12" t="inlineStr">
        <is>
          <t>Housing</t>
        </is>
      </c>
      <c r="B11" s="13" t="inlineStr">
        <is>
          <t>Home / tenant insurance</t>
        </is>
      </c>
      <c r="C11" s="12" t="inlineStr">
        <is>
          <t>Expense</t>
        </is>
      </c>
    </row>
    <row r="12">
      <c r="A12" s="12" t="inlineStr">
        <is>
          <t>Housing</t>
        </is>
      </c>
      <c r="B12" s="13" t="inlineStr">
        <is>
          <t>Utilities (hydro, gas, water)</t>
        </is>
      </c>
      <c r="C12" s="12" t="inlineStr">
        <is>
          <t>Expense</t>
        </is>
      </c>
    </row>
    <row r="13">
      <c r="A13" s="12" t="inlineStr">
        <is>
          <t>Housing</t>
        </is>
      </c>
      <c r="B13" s="13" t="inlineStr">
        <is>
          <t>Internet / phone</t>
        </is>
      </c>
      <c r="C13" s="12" t="inlineStr">
        <is>
          <t>Expense</t>
        </is>
      </c>
    </row>
    <row r="14">
      <c r="A14" s="12" t="inlineStr">
        <is>
          <t>Housing</t>
        </is>
      </c>
      <c r="B14" s="13" t="inlineStr">
        <is>
          <t>Maintenance &amp; repairs</t>
        </is>
      </c>
      <c r="C14" s="12" t="inlineStr">
        <is>
          <t>Expense</t>
        </is>
      </c>
    </row>
    <row r="15">
      <c r="A15" s="12" t="inlineStr">
        <is>
          <t>Living</t>
        </is>
      </c>
      <c r="B15" s="13" t="inlineStr">
        <is>
          <t>Groceries</t>
        </is>
      </c>
      <c r="C15" s="12" t="inlineStr">
        <is>
          <t>Expense</t>
        </is>
      </c>
    </row>
    <row r="16">
      <c r="A16" s="12" t="inlineStr">
        <is>
          <t>Living</t>
        </is>
      </c>
      <c r="B16" s="13" t="inlineStr">
        <is>
          <t>Dining out &amp; takeout</t>
        </is>
      </c>
      <c r="C16" s="12" t="inlineStr">
        <is>
          <t>Expense</t>
        </is>
      </c>
    </row>
    <row r="17">
      <c r="A17" s="12" t="inlineStr">
        <is>
          <t>Living</t>
        </is>
      </c>
      <c r="B17" s="13" t="inlineStr">
        <is>
          <t>Household supplies</t>
        </is>
      </c>
      <c r="C17" s="12" t="inlineStr">
        <is>
          <t>Expense</t>
        </is>
      </c>
    </row>
    <row r="18">
      <c r="A18" s="12" t="inlineStr">
        <is>
          <t>Transport</t>
        </is>
      </c>
      <c r="B18" s="13" t="inlineStr">
        <is>
          <t>Car payment</t>
        </is>
      </c>
      <c r="C18" s="12" t="inlineStr">
        <is>
          <t>Expense</t>
        </is>
      </c>
    </row>
    <row r="19">
      <c r="A19" s="12" t="inlineStr">
        <is>
          <t>Transport</t>
        </is>
      </c>
      <c r="B19" s="13" t="inlineStr">
        <is>
          <t>Fuel</t>
        </is>
      </c>
      <c r="C19" s="12" t="inlineStr">
        <is>
          <t>Expense</t>
        </is>
      </c>
    </row>
    <row r="20">
      <c r="A20" s="12" t="inlineStr">
        <is>
          <t>Transport</t>
        </is>
      </c>
      <c r="B20" s="13" t="inlineStr">
        <is>
          <t>Auto insurance</t>
        </is>
      </c>
      <c r="C20" s="12" t="inlineStr">
        <is>
          <t>Expense</t>
        </is>
      </c>
    </row>
    <row r="21">
      <c r="A21" s="12" t="inlineStr">
        <is>
          <t>Transport</t>
        </is>
      </c>
      <c r="B21" s="13" t="inlineStr">
        <is>
          <t>Repairs, plates &amp; licence</t>
        </is>
      </c>
      <c r="C21" s="12" t="inlineStr">
        <is>
          <t>Expense</t>
        </is>
      </c>
    </row>
    <row r="22">
      <c r="A22" s="12" t="inlineStr">
        <is>
          <t>Transport</t>
        </is>
      </c>
      <c r="B22" s="13" t="inlineStr">
        <is>
          <t>Transit / rideshare</t>
        </is>
      </c>
      <c r="C22" s="12" t="inlineStr">
        <is>
          <t>Expense</t>
        </is>
      </c>
    </row>
    <row r="23">
      <c r="A23" s="12" t="inlineStr">
        <is>
          <t>Health</t>
        </is>
      </c>
      <c r="B23" s="13" t="inlineStr">
        <is>
          <t>Health &amp; dental premiums</t>
        </is>
      </c>
      <c r="C23" s="12" t="inlineStr">
        <is>
          <t>Expense</t>
        </is>
      </c>
    </row>
    <row r="24">
      <c r="A24" s="12" t="inlineStr">
        <is>
          <t>Health</t>
        </is>
      </c>
      <c r="B24" s="13" t="inlineStr">
        <is>
          <t>Prescriptions &amp; medical</t>
        </is>
      </c>
      <c r="C24" s="12" t="inlineStr">
        <is>
          <t>Expense</t>
        </is>
      </c>
    </row>
    <row r="25">
      <c r="A25" s="12" t="inlineStr">
        <is>
          <t>Health</t>
        </is>
      </c>
      <c r="B25" s="13" t="inlineStr">
        <is>
          <t>Fitness</t>
        </is>
      </c>
      <c r="C25" s="12" t="inlineStr">
        <is>
          <t>Expense</t>
        </is>
      </c>
    </row>
    <row r="26">
      <c r="A26" s="12" t="inlineStr">
        <is>
          <t>Family</t>
        </is>
      </c>
      <c r="B26" s="13" t="inlineStr">
        <is>
          <t>Childcare</t>
        </is>
      </c>
      <c r="C26" s="12" t="inlineStr">
        <is>
          <t>Expense</t>
        </is>
      </c>
    </row>
    <row r="27">
      <c r="A27" s="12" t="inlineStr">
        <is>
          <t>Family</t>
        </is>
      </c>
      <c r="B27" s="13" t="inlineStr">
        <is>
          <t>School &amp; activities</t>
        </is>
      </c>
      <c r="C27" s="12" t="inlineStr">
        <is>
          <t>Expense</t>
        </is>
      </c>
    </row>
    <row r="28">
      <c r="A28" s="12" t="inlineStr">
        <is>
          <t>Family</t>
        </is>
      </c>
      <c r="B28" s="13" t="inlineStr">
        <is>
          <t>Pets</t>
        </is>
      </c>
      <c r="C28" s="12" t="inlineStr">
        <is>
          <t>Expense</t>
        </is>
      </c>
    </row>
    <row r="29">
      <c r="A29" s="12" t="inlineStr">
        <is>
          <t>Debt</t>
        </is>
      </c>
      <c r="B29" s="13" t="inlineStr">
        <is>
          <t>Credit card payments</t>
        </is>
      </c>
      <c r="C29" s="12" t="inlineStr">
        <is>
          <t>Expense</t>
        </is>
      </c>
    </row>
    <row r="30">
      <c r="A30" s="12" t="inlineStr">
        <is>
          <t>Debt</t>
        </is>
      </c>
      <c r="B30" s="13" t="inlineStr">
        <is>
          <t>Student loan payments</t>
        </is>
      </c>
      <c r="C30" s="12" t="inlineStr">
        <is>
          <t>Expense</t>
        </is>
      </c>
    </row>
    <row r="31">
      <c r="A31" s="12" t="inlineStr">
        <is>
          <t>Debt</t>
        </is>
      </c>
      <c r="B31" s="13" t="inlineStr">
        <is>
          <t>Line of credit / loan</t>
        </is>
      </c>
      <c r="C31" s="12" t="inlineStr">
        <is>
          <t>Expense</t>
        </is>
      </c>
    </row>
    <row r="32">
      <c r="A32" s="12" t="inlineStr">
        <is>
          <t>Savings</t>
        </is>
      </c>
      <c r="B32" s="13" t="inlineStr">
        <is>
          <t>TFSA contribution</t>
        </is>
      </c>
      <c r="C32" s="12" t="inlineStr">
        <is>
          <t>Savings</t>
        </is>
      </c>
    </row>
    <row r="33">
      <c r="A33" s="12" t="inlineStr">
        <is>
          <t>Savings</t>
        </is>
      </c>
      <c r="B33" s="13" t="inlineStr">
        <is>
          <t>RRSP contribution</t>
        </is>
      </c>
      <c r="C33" s="12" t="inlineStr">
        <is>
          <t>Savings</t>
        </is>
      </c>
    </row>
    <row r="34">
      <c r="A34" s="12" t="inlineStr">
        <is>
          <t>Savings</t>
        </is>
      </c>
      <c r="B34" s="13" t="inlineStr">
        <is>
          <t>RESP contribution</t>
        </is>
      </c>
      <c r="C34" s="12" t="inlineStr">
        <is>
          <t>Savings</t>
        </is>
      </c>
    </row>
    <row r="35">
      <c r="A35" s="12" t="inlineStr">
        <is>
          <t>Savings</t>
        </is>
      </c>
      <c r="B35" s="13" t="inlineStr">
        <is>
          <t>Emergency fund</t>
        </is>
      </c>
      <c r="C35" s="12" t="inlineStr">
        <is>
          <t>Savings</t>
        </is>
      </c>
    </row>
    <row r="36">
      <c r="A36" s="12" t="inlineStr">
        <is>
          <t>Lifestyle</t>
        </is>
      </c>
      <c r="B36" s="13" t="inlineStr">
        <is>
          <t>Subscriptions &amp; streaming</t>
        </is>
      </c>
      <c r="C36" s="12" t="inlineStr">
        <is>
          <t>Expense</t>
        </is>
      </c>
    </row>
    <row r="37">
      <c r="A37" s="12" t="inlineStr">
        <is>
          <t>Lifestyle</t>
        </is>
      </c>
      <c r="B37" s="13" t="inlineStr">
        <is>
          <t>Clothing &amp; personal care</t>
        </is>
      </c>
      <c r="C37" s="12" t="inlineStr">
        <is>
          <t>Expense</t>
        </is>
      </c>
    </row>
    <row r="38">
      <c r="A38" s="12" t="inlineStr">
        <is>
          <t>Lifestyle</t>
        </is>
      </c>
      <c r="B38" s="13" t="inlineStr">
        <is>
          <t>Travel &amp; holidays</t>
        </is>
      </c>
      <c r="C38" s="12" t="inlineStr">
        <is>
          <t>Expense</t>
        </is>
      </c>
    </row>
    <row r="39">
      <c r="A39" s="12" t="inlineStr">
        <is>
          <t>Lifestyle</t>
        </is>
      </c>
      <c r="B39" s="13" t="inlineStr">
        <is>
          <t>Gifts &amp; donations</t>
        </is>
      </c>
      <c r="C39" s="12" t="inlineStr">
        <is>
          <t>Expense</t>
        </is>
      </c>
    </row>
    <row r="40">
      <c r="A40" s="12" t="inlineStr">
        <is>
          <t>Lifestyle</t>
        </is>
      </c>
      <c r="B40" s="13" t="inlineStr">
        <is>
          <t>Entertainment</t>
        </is>
      </c>
      <c r="C40" s="12" t="inlineStr">
        <is>
          <t>Expense</t>
        </is>
      </c>
    </row>
    <row r="41">
      <c r="A41" s="12" t="inlineStr">
        <is>
          <t>Other</t>
        </is>
      </c>
      <c r="B41" s="13" t="inlineStr">
        <is>
          <t>Bank fees</t>
        </is>
      </c>
      <c r="C41" s="12" t="inlineStr">
        <is>
          <t>Expense</t>
        </is>
      </c>
    </row>
    <row r="42">
      <c r="A42" s="12" t="inlineStr">
        <is>
          <t>Other</t>
        </is>
      </c>
      <c r="B42" s="13" t="inlineStr">
        <is>
          <t>Miscellaneous</t>
        </is>
      </c>
      <c r="C42" s="12" t="inlineStr">
        <is>
          <t>Expense</t>
        </is>
      </c>
    </row>
    <row r="44">
      <c r="A44" s="14" t="inlineStr">
        <is>
          <t>Tip: keep category names unique — the Budget and Dashboard tabs match on the exact text.</t>
        </is>
      </c>
    </row>
  </sheetData>
  <pageMargins left="0.75" right="0.75" top="1" bottom="1" header="0.5" footer="0.5"/>
</worksheet>
</file>

<file path=xl/worksheets/sheet3.xml><?xml version="1.0" encoding="utf-8"?>
<worksheet xmlns="http://schemas.openxmlformats.org/spreadsheetml/2006/main">
  <sheetPr>
    <tabColor rgb="0000B4A6"/>
    <outlinePr summaryBelow="1" summaryRight="1"/>
    <pageSetUpPr/>
  </sheetPr>
  <dimension ref="A1:G1204"/>
  <sheetViews>
    <sheetView showGridLines="0" workbookViewId="0">
      <pane ySplit="4" topLeftCell="A5" activePane="bottomLeft" state="frozen"/>
      <selection pane="bottomLeft" activeCell="A1" sqref="A1"/>
    </sheetView>
  </sheetViews>
  <sheetFormatPr baseColWidth="8" defaultRowHeight="15"/>
  <cols>
    <col width="13" customWidth="1" min="1" max="1"/>
    <col width="9" customWidth="1" min="2" max="2"/>
    <col width="34" customWidth="1" min="3" max="3"/>
    <col width="38" customWidth="1" min="4" max="4"/>
    <col width="13" customWidth="1" min="5" max="5"/>
    <col width="13" customWidth="1" min="6" max="6"/>
    <col width="13" customWidth="1" min="7" max="7"/>
  </cols>
  <sheetData>
    <row r="1" ht="30" customHeight="1">
      <c r="A1" s="1" t="inlineStr">
        <is>
          <t>Transactions</t>
        </is>
      </c>
      <c r="B1" s="2" t="n"/>
      <c r="C1" s="2" t="n"/>
      <c r="D1" s="2" t="n"/>
      <c r="E1" s="2" t="n"/>
      <c r="F1" s="2" t="n"/>
      <c r="G1" s="2" t="n"/>
    </row>
    <row r="2" ht="18" customHeight="1">
      <c r="A2" s="3" t="inlineStr">
        <is>
          <t>Log every dollar in and out. Paste from your bank export or type as you go.</t>
        </is>
      </c>
      <c r="B2" s="2" t="n"/>
      <c r="C2" s="2" t="n"/>
      <c r="D2" s="2" t="n"/>
      <c r="E2" s="2" t="n"/>
      <c r="F2" s="2" t="n"/>
      <c r="G2" s="2" t="n"/>
    </row>
    <row r="4" ht="28" customHeight="1">
      <c r="A4" s="11" t="inlineStr">
        <is>
          <t>Date</t>
        </is>
      </c>
      <c r="B4" s="11" t="inlineStr">
        <is>
          <t>Month</t>
        </is>
      </c>
      <c r="C4" s="11" t="inlineStr">
        <is>
          <t>Category</t>
        </is>
      </c>
      <c r="D4" s="11" t="inlineStr">
        <is>
          <t>Description</t>
        </is>
      </c>
      <c r="E4" s="11" t="inlineStr">
        <is>
          <t>Money In</t>
        </is>
      </c>
      <c r="F4" s="11" t="inlineStr">
        <is>
          <t>Money Out</t>
        </is>
      </c>
      <c r="G4" s="11" t="inlineStr">
        <is>
          <t>Net</t>
        </is>
      </c>
    </row>
    <row r="5">
      <c r="A5" s="15" t="n"/>
      <c r="B5" s="16">
        <f>IF($A5="","",TEXT($A5,"mmm"))</f>
        <v/>
      </c>
      <c r="C5" s="13" t="n"/>
      <c r="D5" s="13" t="n"/>
      <c r="E5" s="17" t="n"/>
      <c r="F5" s="17" t="n"/>
      <c r="G5" s="18">
        <f>IF(AND($E5="",$F5=""),"",N($E5)-N($F5))</f>
        <v/>
      </c>
    </row>
    <row r="6">
      <c r="A6" s="15" t="n"/>
      <c r="B6" s="16">
        <f>IF($A6="","",TEXT($A6,"mmm"))</f>
        <v/>
      </c>
      <c r="C6" s="13" t="n"/>
      <c r="D6" s="13" t="n"/>
      <c r="E6" s="17" t="n"/>
      <c r="F6" s="17" t="n"/>
      <c r="G6" s="18">
        <f>IF(AND($E6="",$F6=""),"",N($E6)-N($F6))</f>
        <v/>
      </c>
    </row>
    <row r="7">
      <c r="A7" s="15" t="n"/>
      <c r="B7" s="16">
        <f>IF($A7="","",TEXT($A7,"mmm"))</f>
        <v/>
      </c>
      <c r="C7" s="13" t="n"/>
      <c r="D7" s="13" t="n"/>
      <c r="E7" s="17" t="n"/>
      <c r="F7" s="17" t="n"/>
      <c r="G7" s="18">
        <f>IF(AND($E7="",$F7=""),"",N($E7)-N($F7))</f>
        <v/>
      </c>
    </row>
    <row r="8">
      <c r="A8" s="15" t="n"/>
      <c r="B8" s="16">
        <f>IF($A8="","",TEXT($A8,"mmm"))</f>
        <v/>
      </c>
      <c r="C8" s="13" t="n"/>
      <c r="D8" s="13" t="n"/>
      <c r="E8" s="17" t="n"/>
      <c r="F8" s="17" t="n"/>
      <c r="G8" s="18">
        <f>IF(AND($E8="",$F8=""),"",N($E8)-N($F8))</f>
        <v/>
      </c>
    </row>
    <row r="9">
      <c r="A9" s="15" t="n"/>
      <c r="B9" s="16">
        <f>IF($A9="","",TEXT($A9,"mmm"))</f>
        <v/>
      </c>
      <c r="C9" s="13" t="n"/>
      <c r="D9" s="13" t="n"/>
      <c r="E9" s="17" t="n"/>
      <c r="F9" s="17" t="n"/>
      <c r="G9" s="18">
        <f>IF(AND($E9="",$F9=""),"",N($E9)-N($F9))</f>
        <v/>
      </c>
    </row>
    <row r="10">
      <c r="A10" s="15" t="n"/>
      <c r="B10" s="16">
        <f>IF($A10="","",TEXT($A10,"mmm"))</f>
        <v/>
      </c>
      <c r="C10" s="13" t="n"/>
      <c r="D10" s="13" t="n"/>
      <c r="E10" s="17" t="n"/>
      <c r="F10" s="17" t="n"/>
      <c r="G10" s="18">
        <f>IF(AND($E10="",$F10=""),"",N($E10)-N($F10))</f>
        <v/>
      </c>
    </row>
    <row r="11">
      <c r="A11" s="15" t="n"/>
      <c r="B11" s="16">
        <f>IF($A11="","",TEXT($A11,"mmm"))</f>
        <v/>
      </c>
      <c r="C11" s="13" t="n"/>
      <c r="D11" s="13" t="n"/>
      <c r="E11" s="17" t="n"/>
      <c r="F11" s="17" t="n"/>
      <c r="G11" s="18">
        <f>IF(AND($E11="",$F11=""),"",N($E11)-N($F11))</f>
        <v/>
      </c>
    </row>
    <row r="12">
      <c r="A12" s="15" t="n"/>
      <c r="B12" s="16">
        <f>IF($A12="","",TEXT($A12,"mmm"))</f>
        <v/>
      </c>
      <c r="C12" s="13" t="n"/>
      <c r="D12" s="13" t="n"/>
      <c r="E12" s="17" t="n"/>
      <c r="F12" s="17" t="n"/>
      <c r="G12" s="18">
        <f>IF(AND($E12="",$F12=""),"",N($E12)-N($F12))</f>
        <v/>
      </c>
    </row>
    <row r="13">
      <c r="A13" s="15" t="n"/>
      <c r="B13" s="16">
        <f>IF($A13="","",TEXT($A13,"mmm"))</f>
        <v/>
      </c>
      <c r="C13" s="13" t="n"/>
      <c r="D13" s="13" t="n"/>
      <c r="E13" s="17" t="n"/>
      <c r="F13" s="17" t="n"/>
      <c r="G13" s="18">
        <f>IF(AND($E13="",$F13=""),"",N($E13)-N($F13))</f>
        <v/>
      </c>
    </row>
    <row r="14">
      <c r="A14" s="15" t="n"/>
      <c r="B14" s="16">
        <f>IF($A14="","",TEXT($A14,"mmm"))</f>
        <v/>
      </c>
      <c r="C14" s="13" t="n"/>
      <c r="D14" s="13" t="n"/>
      <c r="E14" s="17" t="n"/>
      <c r="F14" s="17" t="n"/>
      <c r="G14" s="18">
        <f>IF(AND($E14="",$F14=""),"",N($E14)-N($F14))</f>
        <v/>
      </c>
    </row>
    <row r="15">
      <c r="A15" s="15" t="n"/>
      <c r="B15" s="16">
        <f>IF($A15="","",TEXT($A15,"mmm"))</f>
        <v/>
      </c>
      <c r="C15" s="13" t="n"/>
      <c r="D15" s="13" t="n"/>
      <c r="E15" s="17" t="n"/>
      <c r="F15" s="17" t="n"/>
      <c r="G15" s="18">
        <f>IF(AND($E15="",$F15=""),"",N($E15)-N($F15))</f>
        <v/>
      </c>
    </row>
    <row r="16">
      <c r="A16" s="15" t="n"/>
      <c r="B16" s="16">
        <f>IF($A16="","",TEXT($A16,"mmm"))</f>
        <v/>
      </c>
      <c r="C16" s="13" t="n"/>
      <c r="D16" s="13" t="n"/>
      <c r="E16" s="17" t="n"/>
      <c r="F16" s="17" t="n"/>
      <c r="G16" s="18">
        <f>IF(AND($E16="",$F16=""),"",N($E16)-N($F16))</f>
        <v/>
      </c>
    </row>
    <row r="17">
      <c r="A17" s="15" t="n"/>
      <c r="B17" s="16">
        <f>IF($A17="","",TEXT($A17,"mmm"))</f>
        <v/>
      </c>
      <c r="C17" s="13" t="n"/>
      <c r="D17" s="13" t="n"/>
      <c r="E17" s="17" t="n"/>
      <c r="F17" s="17" t="n"/>
      <c r="G17" s="18">
        <f>IF(AND($E17="",$F17=""),"",N($E17)-N($F17))</f>
        <v/>
      </c>
    </row>
    <row r="18">
      <c r="A18" s="15" t="n"/>
      <c r="B18" s="16">
        <f>IF($A18="","",TEXT($A18,"mmm"))</f>
        <v/>
      </c>
      <c r="C18" s="13" t="n"/>
      <c r="D18" s="13" t="n"/>
      <c r="E18" s="17" t="n"/>
      <c r="F18" s="17" t="n"/>
      <c r="G18" s="18">
        <f>IF(AND($E18="",$F18=""),"",N($E18)-N($F18))</f>
        <v/>
      </c>
    </row>
    <row r="19">
      <c r="A19" s="15" t="n"/>
      <c r="B19" s="16">
        <f>IF($A19="","",TEXT($A19,"mmm"))</f>
        <v/>
      </c>
      <c r="C19" s="13" t="n"/>
      <c r="D19" s="13" t="n"/>
      <c r="E19" s="17" t="n"/>
      <c r="F19" s="17" t="n"/>
      <c r="G19" s="18">
        <f>IF(AND($E19="",$F19=""),"",N($E19)-N($F19))</f>
        <v/>
      </c>
    </row>
    <row r="20">
      <c r="A20" s="15" t="n"/>
      <c r="B20" s="16">
        <f>IF($A20="","",TEXT($A20,"mmm"))</f>
        <v/>
      </c>
      <c r="C20" s="13" t="n"/>
      <c r="D20" s="13" t="n"/>
      <c r="E20" s="17" t="n"/>
      <c r="F20" s="17" t="n"/>
      <c r="G20" s="18">
        <f>IF(AND($E20="",$F20=""),"",N($E20)-N($F20))</f>
        <v/>
      </c>
    </row>
    <row r="21">
      <c r="A21" s="15" t="n"/>
      <c r="B21" s="16">
        <f>IF($A21="","",TEXT($A21,"mmm"))</f>
        <v/>
      </c>
      <c r="C21" s="13" t="n"/>
      <c r="D21" s="13" t="n"/>
      <c r="E21" s="17" t="n"/>
      <c r="F21" s="17" t="n"/>
      <c r="G21" s="18">
        <f>IF(AND($E21="",$F21=""),"",N($E21)-N($F21))</f>
        <v/>
      </c>
    </row>
    <row r="22">
      <c r="A22" s="15" t="n"/>
      <c r="B22" s="16">
        <f>IF($A22="","",TEXT($A22,"mmm"))</f>
        <v/>
      </c>
      <c r="C22" s="13" t="n"/>
      <c r="D22" s="13" t="n"/>
      <c r="E22" s="17" t="n"/>
      <c r="F22" s="17" t="n"/>
      <c r="G22" s="18">
        <f>IF(AND($E22="",$F22=""),"",N($E22)-N($F22))</f>
        <v/>
      </c>
    </row>
    <row r="23">
      <c r="A23" s="15" t="n"/>
      <c r="B23" s="16">
        <f>IF($A23="","",TEXT($A23,"mmm"))</f>
        <v/>
      </c>
      <c r="C23" s="13" t="n"/>
      <c r="D23" s="13" t="n"/>
      <c r="E23" s="17" t="n"/>
      <c r="F23" s="17" t="n"/>
      <c r="G23" s="18">
        <f>IF(AND($E23="",$F23=""),"",N($E23)-N($F23))</f>
        <v/>
      </c>
    </row>
    <row r="24">
      <c r="A24" s="15" t="n"/>
      <c r="B24" s="16">
        <f>IF($A24="","",TEXT($A24,"mmm"))</f>
        <v/>
      </c>
      <c r="C24" s="13" t="n"/>
      <c r="D24" s="13" t="n"/>
      <c r="E24" s="17" t="n"/>
      <c r="F24" s="17" t="n"/>
      <c r="G24" s="18">
        <f>IF(AND($E24="",$F24=""),"",N($E24)-N($F24))</f>
        <v/>
      </c>
    </row>
    <row r="25">
      <c r="A25" s="15" t="n"/>
      <c r="B25" s="16">
        <f>IF($A25="","",TEXT($A25,"mmm"))</f>
        <v/>
      </c>
      <c r="C25" s="13" t="n"/>
      <c r="D25" s="13" t="n"/>
      <c r="E25" s="17" t="n"/>
      <c r="F25" s="17" t="n"/>
      <c r="G25" s="18">
        <f>IF(AND($E25="",$F25=""),"",N($E25)-N($F25))</f>
        <v/>
      </c>
    </row>
    <row r="26">
      <c r="A26" s="15" t="n"/>
      <c r="B26" s="16">
        <f>IF($A26="","",TEXT($A26,"mmm"))</f>
        <v/>
      </c>
      <c r="C26" s="13" t="n"/>
      <c r="D26" s="13" t="n"/>
      <c r="E26" s="17" t="n"/>
      <c r="F26" s="17" t="n"/>
      <c r="G26" s="18">
        <f>IF(AND($E26="",$F26=""),"",N($E26)-N($F26))</f>
        <v/>
      </c>
    </row>
    <row r="27">
      <c r="A27" s="15" t="n"/>
      <c r="B27" s="16">
        <f>IF($A27="","",TEXT($A27,"mmm"))</f>
        <v/>
      </c>
      <c r="C27" s="13" t="n"/>
      <c r="D27" s="13" t="n"/>
      <c r="E27" s="17" t="n"/>
      <c r="F27" s="17" t="n"/>
      <c r="G27" s="18">
        <f>IF(AND($E27="",$F27=""),"",N($E27)-N($F27))</f>
        <v/>
      </c>
    </row>
    <row r="28">
      <c r="A28" s="15" t="n"/>
      <c r="B28" s="16">
        <f>IF($A28="","",TEXT($A28,"mmm"))</f>
        <v/>
      </c>
      <c r="C28" s="13" t="n"/>
      <c r="D28" s="13" t="n"/>
      <c r="E28" s="17" t="n"/>
      <c r="F28" s="17" t="n"/>
      <c r="G28" s="18">
        <f>IF(AND($E28="",$F28=""),"",N($E28)-N($F28))</f>
        <v/>
      </c>
    </row>
    <row r="29">
      <c r="A29" s="15" t="n"/>
      <c r="B29" s="16">
        <f>IF($A29="","",TEXT($A29,"mmm"))</f>
        <v/>
      </c>
      <c r="C29" s="13" t="n"/>
      <c r="D29" s="13" t="n"/>
      <c r="E29" s="17" t="n"/>
      <c r="F29" s="17" t="n"/>
      <c r="G29" s="18">
        <f>IF(AND($E29="",$F29=""),"",N($E29)-N($F29))</f>
        <v/>
      </c>
    </row>
    <row r="30">
      <c r="A30" s="15" t="n"/>
      <c r="B30" s="16">
        <f>IF($A30="","",TEXT($A30,"mmm"))</f>
        <v/>
      </c>
      <c r="C30" s="13" t="n"/>
      <c r="D30" s="13" t="n"/>
      <c r="E30" s="17" t="n"/>
      <c r="F30" s="17" t="n"/>
      <c r="G30" s="18">
        <f>IF(AND($E30="",$F30=""),"",N($E30)-N($F30))</f>
        <v/>
      </c>
    </row>
    <row r="31">
      <c r="A31" s="15" t="n"/>
      <c r="B31" s="16">
        <f>IF($A31="","",TEXT($A31,"mmm"))</f>
        <v/>
      </c>
      <c r="C31" s="13" t="n"/>
      <c r="D31" s="13" t="n"/>
      <c r="E31" s="17" t="n"/>
      <c r="F31" s="17" t="n"/>
      <c r="G31" s="18">
        <f>IF(AND($E31="",$F31=""),"",N($E31)-N($F31))</f>
        <v/>
      </c>
    </row>
    <row r="32">
      <c r="A32" s="15" t="n"/>
      <c r="B32" s="16">
        <f>IF($A32="","",TEXT($A32,"mmm"))</f>
        <v/>
      </c>
      <c r="C32" s="13" t="n"/>
      <c r="D32" s="13" t="n"/>
      <c r="E32" s="17" t="n"/>
      <c r="F32" s="17" t="n"/>
      <c r="G32" s="18">
        <f>IF(AND($E32="",$F32=""),"",N($E32)-N($F32))</f>
        <v/>
      </c>
    </row>
    <row r="33">
      <c r="A33" s="15" t="n"/>
      <c r="B33" s="16">
        <f>IF($A33="","",TEXT($A33,"mmm"))</f>
        <v/>
      </c>
      <c r="C33" s="13" t="n"/>
      <c r="D33" s="13" t="n"/>
      <c r="E33" s="17" t="n"/>
      <c r="F33" s="17" t="n"/>
      <c r="G33" s="18">
        <f>IF(AND($E33="",$F33=""),"",N($E33)-N($F33))</f>
        <v/>
      </c>
    </row>
    <row r="34">
      <c r="A34" s="15" t="n"/>
      <c r="B34" s="16">
        <f>IF($A34="","",TEXT($A34,"mmm"))</f>
        <v/>
      </c>
      <c r="C34" s="13" t="n"/>
      <c r="D34" s="13" t="n"/>
      <c r="E34" s="17" t="n"/>
      <c r="F34" s="17" t="n"/>
      <c r="G34" s="18">
        <f>IF(AND($E34="",$F34=""),"",N($E34)-N($F34))</f>
        <v/>
      </c>
    </row>
    <row r="35">
      <c r="A35" s="15" t="n"/>
      <c r="B35" s="16">
        <f>IF($A35="","",TEXT($A35,"mmm"))</f>
        <v/>
      </c>
      <c r="C35" s="13" t="n"/>
      <c r="D35" s="13" t="n"/>
      <c r="E35" s="17" t="n"/>
      <c r="F35" s="17" t="n"/>
      <c r="G35" s="18">
        <f>IF(AND($E35="",$F35=""),"",N($E35)-N($F35))</f>
        <v/>
      </c>
    </row>
    <row r="36">
      <c r="A36" s="15" t="n"/>
      <c r="B36" s="16">
        <f>IF($A36="","",TEXT($A36,"mmm"))</f>
        <v/>
      </c>
      <c r="C36" s="13" t="n"/>
      <c r="D36" s="13" t="n"/>
      <c r="E36" s="17" t="n"/>
      <c r="F36" s="17" t="n"/>
      <c r="G36" s="18">
        <f>IF(AND($E36="",$F36=""),"",N($E36)-N($F36))</f>
        <v/>
      </c>
    </row>
    <row r="37">
      <c r="A37" s="15" t="n"/>
      <c r="B37" s="16">
        <f>IF($A37="","",TEXT($A37,"mmm"))</f>
        <v/>
      </c>
      <c r="C37" s="13" t="n"/>
      <c r="D37" s="13" t="n"/>
      <c r="E37" s="17" t="n"/>
      <c r="F37" s="17" t="n"/>
      <c r="G37" s="18">
        <f>IF(AND($E37="",$F37=""),"",N($E37)-N($F37))</f>
        <v/>
      </c>
    </row>
    <row r="38">
      <c r="A38" s="15" t="n"/>
      <c r="B38" s="16">
        <f>IF($A38="","",TEXT($A38,"mmm"))</f>
        <v/>
      </c>
      <c r="C38" s="13" t="n"/>
      <c r="D38" s="13" t="n"/>
      <c r="E38" s="17" t="n"/>
      <c r="F38" s="17" t="n"/>
      <c r="G38" s="18">
        <f>IF(AND($E38="",$F38=""),"",N($E38)-N($F38))</f>
        <v/>
      </c>
    </row>
    <row r="39">
      <c r="A39" s="15" t="n"/>
      <c r="B39" s="16">
        <f>IF($A39="","",TEXT($A39,"mmm"))</f>
        <v/>
      </c>
      <c r="C39" s="13" t="n"/>
      <c r="D39" s="13" t="n"/>
      <c r="E39" s="17" t="n"/>
      <c r="F39" s="17" t="n"/>
      <c r="G39" s="18">
        <f>IF(AND($E39="",$F39=""),"",N($E39)-N($F39))</f>
        <v/>
      </c>
    </row>
    <row r="40">
      <c r="A40" s="15" t="n"/>
      <c r="B40" s="16">
        <f>IF($A40="","",TEXT($A40,"mmm"))</f>
        <v/>
      </c>
      <c r="C40" s="13" t="n"/>
      <c r="D40" s="13" t="n"/>
      <c r="E40" s="17" t="n"/>
      <c r="F40" s="17" t="n"/>
      <c r="G40" s="18">
        <f>IF(AND($E40="",$F40=""),"",N($E40)-N($F40))</f>
        <v/>
      </c>
    </row>
    <row r="41">
      <c r="A41" s="15" t="n"/>
      <c r="B41" s="16">
        <f>IF($A41="","",TEXT($A41,"mmm"))</f>
        <v/>
      </c>
      <c r="C41" s="13" t="n"/>
      <c r="D41" s="13" t="n"/>
      <c r="E41" s="17" t="n"/>
      <c r="F41" s="17" t="n"/>
      <c r="G41" s="18">
        <f>IF(AND($E41="",$F41=""),"",N($E41)-N($F41))</f>
        <v/>
      </c>
    </row>
    <row r="42">
      <c r="A42" s="15" t="n"/>
      <c r="B42" s="16">
        <f>IF($A42="","",TEXT($A42,"mmm"))</f>
        <v/>
      </c>
      <c r="C42" s="13" t="n"/>
      <c r="D42" s="13" t="n"/>
      <c r="E42" s="17" t="n"/>
      <c r="F42" s="17" t="n"/>
      <c r="G42" s="18">
        <f>IF(AND($E42="",$F42=""),"",N($E42)-N($F42))</f>
        <v/>
      </c>
    </row>
    <row r="43">
      <c r="A43" s="15" t="n"/>
      <c r="B43" s="16">
        <f>IF($A43="","",TEXT($A43,"mmm"))</f>
        <v/>
      </c>
      <c r="C43" s="13" t="n"/>
      <c r="D43" s="13" t="n"/>
      <c r="E43" s="17" t="n"/>
      <c r="F43" s="17" t="n"/>
      <c r="G43" s="18">
        <f>IF(AND($E43="",$F43=""),"",N($E43)-N($F43))</f>
        <v/>
      </c>
    </row>
    <row r="44">
      <c r="A44" s="15" t="n"/>
      <c r="B44" s="16">
        <f>IF($A44="","",TEXT($A44,"mmm"))</f>
        <v/>
      </c>
      <c r="C44" s="13" t="n"/>
      <c r="D44" s="13" t="n"/>
      <c r="E44" s="17" t="n"/>
      <c r="F44" s="17" t="n"/>
      <c r="G44" s="18">
        <f>IF(AND($E44="",$F44=""),"",N($E44)-N($F44))</f>
        <v/>
      </c>
    </row>
    <row r="45">
      <c r="A45" s="15" t="n"/>
      <c r="B45" s="16">
        <f>IF($A45="","",TEXT($A45,"mmm"))</f>
        <v/>
      </c>
      <c r="C45" s="13" t="n"/>
      <c r="D45" s="13" t="n"/>
      <c r="E45" s="17" t="n"/>
      <c r="F45" s="17" t="n"/>
      <c r="G45" s="18">
        <f>IF(AND($E45="",$F45=""),"",N($E45)-N($F45))</f>
        <v/>
      </c>
    </row>
    <row r="46">
      <c r="A46" s="15" t="n"/>
      <c r="B46" s="16">
        <f>IF($A46="","",TEXT($A46,"mmm"))</f>
        <v/>
      </c>
      <c r="C46" s="13" t="n"/>
      <c r="D46" s="13" t="n"/>
      <c r="E46" s="17" t="n"/>
      <c r="F46" s="17" t="n"/>
      <c r="G46" s="18">
        <f>IF(AND($E46="",$F46=""),"",N($E46)-N($F46))</f>
        <v/>
      </c>
    </row>
    <row r="47">
      <c r="A47" s="15" t="n"/>
      <c r="B47" s="16">
        <f>IF($A47="","",TEXT($A47,"mmm"))</f>
        <v/>
      </c>
      <c r="C47" s="13" t="n"/>
      <c r="D47" s="13" t="n"/>
      <c r="E47" s="17" t="n"/>
      <c r="F47" s="17" t="n"/>
      <c r="G47" s="18">
        <f>IF(AND($E47="",$F47=""),"",N($E47)-N($F47))</f>
        <v/>
      </c>
    </row>
    <row r="48">
      <c r="A48" s="15" t="n"/>
      <c r="B48" s="16">
        <f>IF($A48="","",TEXT($A48,"mmm"))</f>
        <v/>
      </c>
      <c r="C48" s="13" t="n"/>
      <c r="D48" s="13" t="n"/>
      <c r="E48" s="17" t="n"/>
      <c r="F48" s="17" t="n"/>
      <c r="G48" s="18">
        <f>IF(AND($E48="",$F48=""),"",N($E48)-N($F48))</f>
        <v/>
      </c>
    </row>
    <row r="49">
      <c r="A49" s="15" t="n"/>
      <c r="B49" s="16">
        <f>IF($A49="","",TEXT($A49,"mmm"))</f>
        <v/>
      </c>
      <c r="C49" s="13" t="n"/>
      <c r="D49" s="13" t="n"/>
      <c r="E49" s="17" t="n"/>
      <c r="F49" s="17" t="n"/>
      <c r="G49" s="18">
        <f>IF(AND($E49="",$F49=""),"",N($E49)-N($F49))</f>
        <v/>
      </c>
    </row>
    <row r="50">
      <c r="A50" s="15" t="n"/>
      <c r="B50" s="16">
        <f>IF($A50="","",TEXT($A50,"mmm"))</f>
        <v/>
      </c>
      <c r="C50" s="13" t="n"/>
      <c r="D50" s="13" t="n"/>
      <c r="E50" s="17" t="n"/>
      <c r="F50" s="17" t="n"/>
      <c r="G50" s="18">
        <f>IF(AND($E50="",$F50=""),"",N($E50)-N($F50))</f>
        <v/>
      </c>
    </row>
    <row r="51">
      <c r="A51" s="15" t="n"/>
      <c r="B51" s="16">
        <f>IF($A51="","",TEXT($A51,"mmm"))</f>
        <v/>
      </c>
      <c r="C51" s="13" t="n"/>
      <c r="D51" s="13" t="n"/>
      <c r="E51" s="17" t="n"/>
      <c r="F51" s="17" t="n"/>
      <c r="G51" s="18">
        <f>IF(AND($E51="",$F51=""),"",N($E51)-N($F51))</f>
        <v/>
      </c>
    </row>
    <row r="52">
      <c r="A52" s="15" t="n"/>
      <c r="B52" s="16">
        <f>IF($A52="","",TEXT($A52,"mmm"))</f>
        <v/>
      </c>
      <c r="C52" s="13" t="n"/>
      <c r="D52" s="13" t="n"/>
      <c r="E52" s="17" t="n"/>
      <c r="F52" s="17" t="n"/>
      <c r="G52" s="18">
        <f>IF(AND($E52="",$F52=""),"",N($E52)-N($F52))</f>
        <v/>
      </c>
    </row>
    <row r="53">
      <c r="A53" s="15" t="n"/>
      <c r="B53" s="16">
        <f>IF($A53="","",TEXT($A53,"mmm"))</f>
        <v/>
      </c>
      <c r="C53" s="13" t="n"/>
      <c r="D53" s="13" t="n"/>
      <c r="E53" s="17" t="n"/>
      <c r="F53" s="17" t="n"/>
      <c r="G53" s="18">
        <f>IF(AND($E53="",$F53=""),"",N($E53)-N($F53))</f>
        <v/>
      </c>
    </row>
    <row r="54">
      <c r="A54" s="15" t="n"/>
      <c r="B54" s="16">
        <f>IF($A54="","",TEXT($A54,"mmm"))</f>
        <v/>
      </c>
      <c r="C54" s="13" t="n"/>
      <c r="D54" s="13" t="n"/>
      <c r="E54" s="17" t="n"/>
      <c r="F54" s="17" t="n"/>
      <c r="G54" s="18">
        <f>IF(AND($E54="",$F54=""),"",N($E54)-N($F54))</f>
        <v/>
      </c>
    </row>
    <row r="55">
      <c r="A55" s="15" t="n"/>
      <c r="B55" s="16">
        <f>IF($A55="","",TEXT($A55,"mmm"))</f>
        <v/>
      </c>
      <c r="C55" s="13" t="n"/>
      <c r="D55" s="13" t="n"/>
      <c r="E55" s="17" t="n"/>
      <c r="F55" s="17" t="n"/>
      <c r="G55" s="18">
        <f>IF(AND($E55="",$F55=""),"",N($E55)-N($F55))</f>
        <v/>
      </c>
    </row>
    <row r="56">
      <c r="A56" s="15" t="n"/>
      <c r="B56" s="16">
        <f>IF($A56="","",TEXT($A56,"mmm"))</f>
        <v/>
      </c>
      <c r="C56" s="13" t="n"/>
      <c r="D56" s="13" t="n"/>
      <c r="E56" s="17" t="n"/>
      <c r="F56" s="17" t="n"/>
      <c r="G56" s="18">
        <f>IF(AND($E56="",$F56=""),"",N($E56)-N($F56))</f>
        <v/>
      </c>
    </row>
    <row r="57">
      <c r="A57" s="15" t="n"/>
      <c r="B57" s="16">
        <f>IF($A57="","",TEXT($A57,"mmm"))</f>
        <v/>
      </c>
      <c r="C57" s="13" t="n"/>
      <c r="D57" s="13" t="n"/>
      <c r="E57" s="17" t="n"/>
      <c r="F57" s="17" t="n"/>
      <c r="G57" s="18">
        <f>IF(AND($E57="",$F57=""),"",N($E57)-N($F57))</f>
        <v/>
      </c>
    </row>
    <row r="58">
      <c r="A58" s="15" t="n"/>
      <c r="B58" s="16">
        <f>IF($A58="","",TEXT($A58,"mmm"))</f>
        <v/>
      </c>
      <c r="C58" s="13" t="n"/>
      <c r="D58" s="13" t="n"/>
      <c r="E58" s="17" t="n"/>
      <c r="F58" s="17" t="n"/>
      <c r="G58" s="18">
        <f>IF(AND($E58="",$F58=""),"",N($E58)-N($F58))</f>
        <v/>
      </c>
    </row>
    <row r="59">
      <c r="A59" s="15" t="n"/>
      <c r="B59" s="16">
        <f>IF($A59="","",TEXT($A59,"mmm"))</f>
        <v/>
      </c>
      <c r="C59" s="13" t="n"/>
      <c r="D59" s="13" t="n"/>
      <c r="E59" s="17" t="n"/>
      <c r="F59" s="17" t="n"/>
      <c r="G59" s="18">
        <f>IF(AND($E59="",$F59=""),"",N($E59)-N($F59))</f>
        <v/>
      </c>
    </row>
    <row r="60">
      <c r="A60" s="15" t="n"/>
      <c r="B60" s="16">
        <f>IF($A60="","",TEXT($A60,"mmm"))</f>
        <v/>
      </c>
      <c r="C60" s="13" t="n"/>
      <c r="D60" s="13" t="n"/>
      <c r="E60" s="17" t="n"/>
      <c r="F60" s="17" t="n"/>
      <c r="G60" s="18">
        <f>IF(AND($E60="",$F60=""),"",N($E60)-N($F60))</f>
        <v/>
      </c>
    </row>
    <row r="61">
      <c r="A61" s="15" t="n"/>
      <c r="B61" s="16">
        <f>IF($A61="","",TEXT($A61,"mmm"))</f>
        <v/>
      </c>
      <c r="C61" s="13" t="n"/>
      <c r="D61" s="13" t="n"/>
      <c r="E61" s="17" t="n"/>
      <c r="F61" s="17" t="n"/>
      <c r="G61" s="18">
        <f>IF(AND($E61="",$F61=""),"",N($E61)-N($F61))</f>
        <v/>
      </c>
    </row>
    <row r="62">
      <c r="A62" s="15" t="n"/>
      <c r="B62" s="16">
        <f>IF($A62="","",TEXT($A62,"mmm"))</f>
        <v/>
      </c>
      <c r="C62" s="13" t="n"/>
      <c r="D62" s="13" t="n"/>
      <c r="E62" s="17" t="n"/>
      <c r="F62" s="17" t="n"/>
      <c r="G62" s="18">
        <f>IF(AND($E62="",$F62=""),"",N($E62)-N($F62))</f>
        <v/>
      </c>
    </row>
    <row r="63">
      <c r="A63" s="15" t="n"/>
      <c r="B63" s="16">
        <f>IF($A63="","",TEXT($A63,"mmm"))</f>
        <v/>
      </c>
      <c r="C63" s="13" t="n"/>
      <c r="D63" s="13" t="n"/>
      <c r="E63" s="17" t="n"/>
      <c r="F63" s="17" t="n"/>
      <c r="G63" s="18">
        <f>IF(AND($E63="",$F63=""),"",N($E63)-N($F63))</f>
        <v/>
      </c>
    </row>
    <row r="64">
      <c r="A64" s="15" t="n"/>
      <c r="B64" s="16">
        <f>IF($A64="","",TEXT($A64,"mmm"))</f>
        <v/>
      </c>
      <c r="C64" s="13" t="n"/>
      <c r="D64" s="13" t="n"/>
      <c r="E64" s="17" t="n"/>
      <c r="F64" s="17" t="n"/>
      <c r="G64" s="18">
        <f>IF(AND($E64="",$F64=""),"",N($E64)-N($F64))</f>
        <v/>
      </c>
    </row>
    <row r="65">
      <c r="A65" s="15" t="n"/>
      <c r="B65" s="16">
        <f>IF($A65="","",TEXT($A65,"mmm"))</f>
        <v/>
      </c>
      <c r="C65" s="13" t="n"/>
      <c r="D65" s="13" t="n"/>
      <c r="E65" s="17" t="n"/>
      <c r="F65" s="17" t="n"/>
      <c r="G65" s="18">
        <f>IF(AND($E65="",$F65=""),"",N($E65)-N($F65))</f>
        <v/>
      </c>
    </row>
    <row r="66">
      <c r="A66" s="15" t="n"/>
      <c r="B66" s="16">
        <f>IF($A66="","",TEXT($A66,"mmm"))</f>
        <v/>
      </c>
      <c r="C66" s="13" t="n"/>
      <c r="D66" s="13" t="n"/>
      <c r="E66" s="17" t="n"/>
      <c r="F66" s="17" t="n"/>
      <c r="G66" s="18">
        <f>IF(AND($E66="",$F66=""),"",N($E66)-N($F66))</f>
        <v/>
      </c>
    </row>
    <row r="67">
      <c r="A67" s="15" t="n"/>
      <c r="B67" s="16">
        <f>IF($A67="","",TEXT($A67,"mmm"))</f>
        <v/>
      </c>
      <c r="C67" s="13" t="n"/>
      <c r="D67" s="13" t="n"/>
      <c r="E67" s="17" t="n"/>
      <c r="F67" s="17" t="n"/>
      <c r="G67" s="18">
        <f>IF(AND($E67="",$F67=""),"",N($E67)-N($F67))</f>
        <v/>
      </c>
    </row>
    <row r="68">
      <c r="A68" s="15" t="n"/>
      <c r="B68" s="16">
        <f>IF($A68="","",TEXT($A68,"mmm"))</f>
        <v/>
      </c>
      <c r="C68" s="13" t="n"/>
      <c r="D68" s="13" t="n"/>
      <c r="E68" s="17" t="n"/>
      <c r="F68" s="17" t="n"/>
      <c r="G68" s="18">
        <f>IF(AND($E68="",$F68=""),"",N($E68)-N($F68))</f>
        <v/>
      </c>
    </row>
    <row r="69">
      <c r="A69" s="15" t="n"/>
      <c r="B69" s="16">
        <f>IF($A69="","",TEXT($A69,"mmm"))</f>
        <v/>
      </c>
      <c r="C69" s="13" t="n"/>
      <c r="D69" s="13" t="n"/>
      <c r="E69" s="17" t="n"/>
      <c r="F69" s="17" t="n"/>
      <c r="G69" s="18">
        <f>IF(AND($E69="",$F69=""),"",N($E69)-N($F69))</f>
        <v/>
      </c>
    </row>
    <row r="70">
      <c r="A70" s="15" t="n"/>
      <c r="B70" s="16">
        <f>IF($A70="","",TEXT($A70,"mmm"))</f>
        <v/>
      </c>
      <c r="C70" s="13" t="n"/>
      <c r="D70" s="13" t="n"/>
      <c r="E70" s="17" t="n"/>
      <c r="F70" s="17" t="n"/>
      <c r="G70" s="18">
        <f>IF(AND($E70="",$F70=""),"",N($E70)-N($F70))</f>
        <v/>
      </c>
    </row>
    <row r="71">
      <c r="A71" s="15" t="n"/>
      <c r="B71" s="16">
        <f>IF($A71="","",TEXT($A71,"mmm"))</f>
        <v/>
      </c>
      <c r="C71" s="13" t="n"/>
      <c r="D71" s="13" t="n"/>
      <c r="E71" s="17" t="n"/>
      <c r="F71" s="17" t="n"/>
      <c r="G71" s="18">
        <f>IF(AND($E71="",$F71=""),"",N($E71)-N($F71))</f>
        <v/>
      </c>
    </row>
    <row r="72">
      <c r="A72" s="15" t="n"/>
      <c r="B72" s="16">
        <f>IF($A72="","",TEXT($A72,"mmm"))</f>
        <v/>
      </c>
      <c r="C72" s="13" t="n"/>
      <c r="D72" s="13" t="n"/>
      <c r="E72" s="17" t="n"/>
      <c r="F72" s="17" t="n"/>
      <c r="G72" s="18">
        <f>IF(AND($E72="",$F72=""),"",N($E72)-N($F72))</f>
        <v/>
      </c>
    </row>
    <row r="73">
      <c r="A73" s="15" t="n"/>
      <c r="B73" s="16">
        <f>IF($A73="","",TEXT($A73,"mmm"))</f>
        <v/>
      </c>
      <c r="C73" s="13" t="n"/>
      <c r="D73" s="13" t="n"/>
      <c r="E73" s="17" t="n"/>
      <c r="F73" s="17" t="n"/>
      <c r="G73" s="18">
        <f>IF(AND($E73="",$F73=""),"",N($E73)-N($F73))</f>
        <v/>
      </c>
    </row>
    <row r="74">
      <c r="A74" s="15" t="n"/>
      <c r="B74" s="16">
        <f>IF($A74="","",TEXT($A74,"mmm"))</f>
        <v/>
      </c>
      <c r="C74" s="13" t="n"/>
      <c r="D74" s="13" t="n"/>
      <c r="E74" s="17" t="n"/>
      <c r="F74" s="17" t="n"/>
      <c r="G74" s="18">
        <f>IF(AND($E74="",$F74=""),"",N($E74)-N($F74))</f>
        <v/>
      </c>
    </row>
    <row r="75">
      <c r="A75" s="15" t="n"/>
      <c r="B75" s="16">
        <f>IF($A75="","",TEXT($A75,"mmm"))</f>
        <v/>
      </c>
      <c r="C75" s="13" t="n"/>
      <c r="D75" s="13" t="n"/>
      <c r="E75" s="17" t="n"/>
      <c r="F75" s="17" t="n"/>
      <c r="G75" s="18">
        <f>IF(AND($E75="",$F75=""),"",N($E75)-N($F75))</f>
        <v/>
      </c>
    </row>
    <row r="76">
      <c r="A76" s="15" t="n"/>
      <c r="B76" s="16">
        <f>IF($A76="","",TEXT($A76,"mmm"))</f>
        <v/>
      </c>
      <c r="C76" s="13" t="n"/>
      <c r="D76" s="13" t="n"/>
      <c r="E76" s="17" t="n"/>
      <c r="F76" s="17" t="n"/>
      <c r="G76" s="18">
        <f>IF(AND($E76="",$F76=""),"",N($E76)-N($F76))</f>
        <v/>
      </c>
    </row>
    <row r="77">
      <c r="A77" s="15" t="n"/>
      <c r="B77" s="16">
        <f>IF($A77="","",TEXT($A77,"mmm"))</f>
        <v/>
      </c>
      <c r="C77" s="13" t="n"/>
      <c r="D77" s="13" t="n"/>
      <c r="E77" s="17" t="n"/>
      <c r="F77" s="17" t="n"/>
      <c r="G77" s="18">
        <f>IF(AND($E77="",$F77=""),"",N($E77)-N($F77))</f>
        <v/>
      </c>
    </row>
    <row r="78">
      <c r="A78" s="15" t="n"/>
      <c r="B78" s="16">
        <f>IF($A78="","",TEXT($A78,"mmm"))</f>
        <v/>
      </c>
      <c r="C78" s="13" t="n"/>
      <c r="D78" s="13" t="n"/>
      <c r="E78" s="17" t="n"/>
      <c r="F78" s="17" t="n"/>
      <c r="G78" s="18">
        <f>IF(AND($E78="",$F78=""),"",N($E78)-N($F78))</f>
        <v/>
      </c>
    </row>
    <row r="79">
      <c r="A79" s="15" t="n"/>
      <c r="B79" s="16">
        <f>IF($A79="","",TEXT($A79,"mmm"))</f>
        <v/>
      </c>
      <c r="C79" s="13" t="n"/>
      <c r="D79" s="13" t="n"/>
      <c r="E79" s="17" t="n"/>
      <c r="F79" s="17" t="n"/>
      <c r="G79" s="18">
        <f>IF(AND($E79="",$F79=""),"",N($E79)-N($F79))</f>
        <v/>
      </c>
    </row>
    <row r="80">
      <c r="A80" s="15" t="n"/>
      <c r="B80" s="16">
        <f>IF($A80="","",TEXT($A80,"mmm"))</f>
        <v/>
      </c>
      <c r="C80" s="13" t="n"/>
      <c r="D80" s="13" t="n"/>
      <c r="E80" s="17" t="n"/>
      <c r="F80" s="17" t="n"/>
      <c r="G80" s="18">
        <f>IF(AND($E80="",$F80=""),"",N($E80)-N($F80))</f>
        <v/>
      </c>
    </row>
    <row r="81">
      <c r="A81" s="15" t="n"/>
      <c r="B81" s="16">
        <f>IF($A81="","",TEXT($A81,"mmm"))</f>
        <v/>
      </c>
      <c r="C81" s="13" t="n"/>
      <c r="D81" s="13" t="n"/>
      <c r="E81" s="17" t="n"/>
      <c r="F81" s="17" t="n"/>
      <c r="G81" s="18">
        <f>IF(AND($E81="",$F81=""),"",N($E81)-N($F81))</f>
        <v/>
      </c>
    </row>
    <row r="82">
      <c r="A82" s="15" t="n"/>
      <c r="B82" s="16">
        <f>IF($A82="","",TEXT($A82,"mmm"))</f>
        <v/>
      </c>
      <c r="C82" s="13" t="n"/>
      <c r="D82" s="13" t="n"/>
      <c r="E82" s="17" t="n"/>
      <c r="F82" s="17" t="n"/>
      <c r="G82" s="18">
        <f>IF(AND($E82="",$F82=""),"",N($E82)-N($F82))</f>
        <v/>
      </c>
    </row>
    <row r="83">
      <c r="A83" s="15" t="n"/>
      <c r="B83" s="16">
        <f>IF($A83="","",TEXT($A83,"mmm"))</f>
        <v/>
      </c>
      <c r="C83" s="13" t="n"/>
      <c r="D83" s="13" t="n"/>
      <c r="E83" s="17" t="n"/>
      <c r="F83" s="17" t="n"/>
      <c r="G83" s="18">
        <f>IF(AND($E83="",$F83=""),"",N($E83)-N($F83))</f>
        <v/>
      </c>
    </row>
    <row r="84">
      <c r="A84" s="15" t="n"/>
      <c r="B84" s="16">
        <f>IF($A84="","",TEXT($A84,"mmm"))</f>
        <v/>
      </c>
      <c r="C84" s="13" t="n"/>
      <c r="D84" s="13" t="n"/>
      <c r="E84" s="17" t="n"/>
      <c r="F84" s="17" t="n"/>
      <c r="G84" s="18">
        <f>IF(AND($E84="",$F84=""),"",N($E84)-N($F84))</f>
        <v/>
      </c>
    </row>
    <row r="85">
      <c r="A85" s="15" t="n"/>
      <c r="B85" s="16">
        <f>IF($A85="","",TEXT($A85,"mmm"))</f>
        <v/>
      </c>
      <c r="C85" s="13" t="n"/>
      <c r="D85" s="13" t="n"/>
      <c r="E85" s="17" t="n"/>
      <c r="F85" s="17" t="n"/>
      <c r="G85" s="18">
        <f>IF(AND($E85="",$F85=""),"",N($E85)-N($F85))</f>
        <v/>
      </c>
    </row>
    <row r="86">
      <c r="A86" s="15" t="n"/>
      <c r="B86" s="16">
        <f>IF($A86="","",TEXT($A86,"mmm"))</f>
        <v/>
      </c>
      <c r="C86" s="13" t="n"/>
      <c r="D86" s="13" t="n"/>
      <c r="E86" s="17" t="n"/>
      <c r="F86" s="17" t="n"/>
      <c r="G86" s="18">
        <f>IF(AND($E86="",$F86=""),"",N($E86)-N($F86))</f>
        <v/>
      </c>
    </row>
    <row r="87">
      <c r="A87" s="15" t="n"/>
      <c r="B87" s="16">
        <f>IF($A87="","",TEXT($A87,"mmm"))</f>
        <v/>
      </c>
      <c r="C87" s="13" t="n"/>
      <c r="D87" s="13" t="n"/>
      <c r="E87" s="17" t="n"/>
      <c r="F87" s="17" t="n"/>
      <c r="G87" s="18">
        <f>IF(AND($E87="",$F87=""),"",N($E87)-N($F87))</f>
        <v/>
      </c>
    </row>
    <row r="88">
      <c r="A88" s="15" t="n"/>
      <c r="B88" s="16">
        <f>IF($A88="","",TEXT($A88,"mmm"))</f>
        <v/>
      </c>
      <c r="C88" s="13" t="n"/>
      <c r="D88" s="13" t="n"/>
      <c r="E88" s="17" t="n"/>
      <c r="F88" s="17" t="n"/>
      <c r="G88" s="18">
        <f>IF(AND($E88="",$F88=""),"",N($E88)-N($F88))</f>
        <v/>
      </c>
    </row>
    <row r="89">
      <c r="A89" s="15" t="n"/>
      <c r="B89" s="16">
        <f>IF($A89="","",TEXT($A89,"mmm"))</f>
        <v/>
      </c>
      <c r="C89" s="13" t="n"/>
      <c r="D89" s="13" t="n"/>
      <c r="E89" s="17" t="n"/>
      <c r="F89" s="17" t="n"/>
      <c r="G89" s="18">
        <f>IF(AND($E89="",$F89=""),"",N($E89)-N($F89))</f>
        <v/>
      </c>
    </row>
    <row r="90">
      <c r="A90" s="15" t="n"/>
      <c r="B90" s="16">
        <f>IF($A90="","",TEXT($A90,"mmm"))</f>
        <v/>
      </c>
      <c r="C90" s="13" t="n"/>
      <c r="D90" s="13" t="n"/>
      <c r="E90" s="17" t="n"/>
      <c r="F90" s="17" t="n"/>
      <c r="G90" s="18">
        <f>IF(AND($E90="",$F90=""),"",N($E90)-N($F90))</f>
        <v/>
      </c>
    </row>
    <row r="91">
      <c r="A91" s="15" t="n"/>
      <c r="B91" s="16">
        <f>IF($A91="","",TEXT($A91,"mmm"))</f>
        <v/>
      </c>
      <c r="C91" s="13" t="n"/>
      <c r="D91" s="13" t="n"/>
      <c r="E91" s="17" t="n"/>
      <c r="F91" s="17" t="n"/>
      <c r="G91" s="18">
        <f>IF(AND($E91="",$F91=""),"",N($E91)-N($F91))</f>
        <v/>
      </c>
    </row>
    <row r="92">
      <c r="A92" s="15" t="n"/>
      <c r="B92" s="16">
        <f>IF($A92="","",TEXT($A92,"mmm"))</f>
        <v/>
      </c>
      <c r="C92" s="13" t="n"/>
      <c r="D92" s="13" t="n"/>
      <c r="E92" s="17" t="n"/>
      <c r="F92" s="17" t="n"/>
      <c r="G92" s="18">
        <f>IF(AND($E92="",$F92=""),"",N($E92)-N($F92))</f>
        <v/>
      </c>
    </row>
    <row r="93">
      <c r="A93" s="15" t="n"/>
      <c r="B93" s="16">
        <f>IF($A93="","",TEXT($A93,"mmm"))</f>
        <v/>
      </c>
      <c r="C93" s="13" t="n"/>
      <c r="D93" s="13" t="n"/>
      <c r="E93" s="17" t="n"/>
      <c r="F93" s="17" t="n"/>
      <c r="G93" s="18">
        <f>IF(AND($E93="",$F93=""),"",N($E93)-N($F93))</f>
        <v/>
      </c>
    </row>
    <row r="94">
      <c r="A94" s="15" t="n"/>
      <c r="B94" s="16">
        <f>IF($A94="","",TEXT($A94,"mmm"))</f>
        <v/>
      </c>
      <c r="C94" s="13" t="n"/>
      <c r="D94" s="13" t="n"/>
      <c r="E94" s="17" t="n"/>
      <c r="F94" s="17" t="n"/>
      <c r="G94" s="18">
        <f>IF(AND($E94="",$F94=""),"",N($E94)-N($F94))</f>
        <v/>
      </c>
    </row>
    <row r="95">
      <c r="A95" s="15" t="n"/>
      <c r="B95" s="16">
        <f>IF($A95="","",TEXT($A95,"mmm"))</f>
        <v/>
      </c>
      <c r="C95" s="13" t="n"/>
      <c r="D95" s="13" t="n"/>
      <c r="E95" s="17" t="n"/>
      <c r="F95" s="17" t="n"/>
      <c r="G95" s="18">
        <f>IF(AND($E95="",$F95=""),"",N($E95)-N($F95))</f>
        <v/>
      </c>
    </row>
    <row r="96">
      <c r="A96" s="15" t="n"/>
      <c r="B96" s="16">
        <f>IF($A96="","",TEXT($A96,"mmm"))</f>
        <v/>
      </c>
      <c r="C96" s="13" t="n"/>
      <c r="D96" s="13" t="n"/>
      <c r="E96" s="17" t="n"/>
      <c r="F96" s="17" t="n"/>
      <c r="G96" s="18">
        <f>IF(AND($E96="",$F96=""),"",N($E96)-N($F96))</f>
        <v/>
      </c>
    </row>
    <row r="97">
      <c r="A97" s="15" t="n"/>
      <c r="B97" s="16">
        <f>IF($A97="","",TEXT($A97,"mmm"))</f>
        <v/>
      </c>
      <c r="C97" s="13" t="n"/>
      <c r="D97" s="13" t="n"/>
      <c r="E97" s="17" t="n"/>
      <c r="F97" s="17" t="n"/>
      <c r="G97" s="18">
        <f>IF(AND($E97="",$F97=""),"",N($E97)-N($F97))</f>
        <v/>
      </c>
    </row>
    <row r="98">
      <c r="A98" s="15" t="n"/>
      <c r="B98" s="16">
        <f>IF($A98="","",TEXT($A98,"mmm"))</f>
        <v/>
      </c>
      <c r="C98" s="13" t="n"/>
      <c r="D98" s="13" t="n"/>
      <c r="E98" s="17" t="n"/>
      <c r="F98" s="17" t="n"/>
      <c r="G98" s="18">
        <f>IF(AND($E98="",$F98=""),"",N($E98)-N($F98))</f>
        <v/>
      </c>
    </row>
    <row r="99">
      <c r="A99" s="15" t="n"/>
      <c r="B99" s="16">
        <f>IF($A99="","",TEXT($A99,"mmm"))</f>
        <v/>
      </c>
      <c r="C99" s="13" t="n"/>
      <c r="D99" s="13" t="n"/>
      <c r="E99" s="17" t="n"/>
      <c r="F99" s="17" t="n"/>
      <c r="G99" s="18">
        <f>IF(AND($E99="",$F99=""),"",N($E99)-N($F99))</f>
        <v/>
      </c>
    </row>
    <row r="100">
      <c r="A100" s="15" t="n"/>
      <c r="B100" s="16">
        <f>IF($A100="","",TEXT($A100,"mmm"))</f>
        <v/>
      </c>
      <c r="C100" s="13" t="n"/>
      <c r="D100" s="13" t="n"/>
      <c r="E100" s="17" t="n"/>
      <c r="F100" s="17" t="n"/>
      <c r="G100" s="18">
        <f>IF(AND($E100="",$F100=""),"",N($E100)-N($F100))</f>
        <v/>
      </c>
    </row>
    <row r="101">
      <c r="A101" s="15" t="n"/>
      <c r="B101" s="16">
        <f>IF($A101="","",TEXT($A101,"mmm"))</f>
        <v/>
      </c>
      <c r="C101" s="13" t="n"/>
      <c r="D101" s="13" t="n"/>
      <c r="E101" s="17" t="n"/>
      <c r="F101" s="17" t="n"/>
      <c r="G101" s="18">
        <f>IF(AND($E101="",$F101=""),"",N($E101)-N($F101))</f>
        <v/>
      </c>
    </row>
    <row r="102">
      <c r="A102" s="15" t="n"/>
      <c r="B102" s="16">
        <f>IF($A102="","",TEXT($A102,"mmm"))</f>
        <v/>
      </c>
      <c r="C102" s="13" t="n"/>
      <c r="D102" s="13" t="n"/>
      <c r="E102" s="17" t="n"/>
      <c r="F102" s="17" t="n"/>
      <c r="G102" s="18">
        <f>IF(AND($E102="",$F102=""),"",N($E102)-N($F102))</f>
        <v/>
      </c>
    </row>
    <row r="103">
      <c r="A103" s="15" t="n"/>
      <c r="B103" s="16">
        <f>IF($A103="","",TEXT($A103,"mmm"))</f>
        <v/>
      </c>
      <c r="C103" s="13" t="n"/>
      <c r="D103" s="13" t="n"/>
      <c r="E103" s="17" t="n"/>
      <c r="F103" s="17" t="n"/>
      <c r="G103" s="18">
        <f>IF(AND($E103="",$F103=""),"",N($E103)-N($F103))</f>
        <v/>
      </c>
    </row>
    <row r="104">
      <c r="A104" s="15" t="n"/>
      <c r="B104" s="16">
        <f>IF($A104="","",TEXT($A104,"mmm"))</f>
        <v/>
      </c>
      <c r="C104" s="13" t="n"/>
      <c r="D104" s="13" t="n"/>
      <c r="E104" s="17" t="n"/>
      <c r="F104" s="17" t="n"/>
      <c r="G104" s="18">
        <f>IF(AND($E104="",$F104=""),"",N($E104)-N($F104))</f>
        <v/>
      </c>
    </row>
    <row r="105">
      <c r="A105" s="15" t="n"/>
      <c r="B105" s="16">
        <f>IF($A105="","",TEXT($A105,"mmm"))</f>
        <v/>
      </c>
      <c r="C105" s="13" t="n"/>
      <c r="D105" s="13" t="n"/>
      <c r="E105" s="17" t="n"/>
      <c r="F105" s="17" t="n"/>
      <c r="G105" s="18">
        <f>IF(AND($E105="",$F105=""),"",N($E105)-N($F105))</f>
        <v/>
      </c>
    </row>
    <row r="106">
      <c r="A106" s="15" t="n"/>
      <c r="B106" s="16">
        <f>IF($A106="","",TEXT($A106,"mmm"))</f>
        <v/>
      </c>
      <c r="C106" s="13" t="n"/>
      <c r="D106" s="13" t="n"/>
      <c r="E106" s="17" t="n"/>
      <c r="F106" s="17" t="n"/>
      <c r="G106" s="18">
        <f>IF(AND($E106="",$F106=""),"",N($E106)-N($F106))</f>
        <v/>
      </c>
    </row>
    <row r="107">
      <c r="A107" s="15" t="n"/>
      <c r="B107" s="16">
        <f>IF($A107="","",TEXT($A107,"mmm"))</f>
        <v/>
      </c>
      <c r="C107" s="13" t="n"/>
      <c r="D107" s="13" t="n"/>
      <c r="E107" s="17" t="n"/>
      <c r="F107" s="17" t="n"/>
      <c r="G107" s="18">
        <f>IF(AND($E107="",$F107=""),"",N($E107)-N($F107))</f>
        <v/>
      </c>
    </row>
    <row r="108">
      <c r="A108" s="15" t="n"/>
      <c r="B108" s="16">
        <f>IF($A108="","",TEXT($A108,"mmm"))</f>
        <v/>
      </c>
      <c r="C108" s="13" t="n"/>
      <c r="D108" s="13" t="n"/>
      <c r="E108" s="17" t="n"/>
      <c r="F108" s="17" t="n"/>
      <c r="G108" s="18">
        <f>IF(AND($E108="",$F108=""),"",N($E108)-N($F108))</f>
        <v/>
      </c>
    </row>
    <row r="109">
      <c r="A109" s="15" t="n"/>
      <c r="B109" s="16">
        <f>IF($A109="","",TEXT($A109,"mmm"))</f>
        <v/>
      </c>
      <c r="C109" s="13" t="n"/>
      <c r="D109" s="13" t="n"/>
      <c r="E109" s="17" t="n"/>
      <c r="F109" s="17" t="n"/>
      <c r="G109" s="18">
        <f>IF(AND($E109="",$F109=""),"",N($E109)-N($F109))</f>
        <v/>
      </c>
    </row>
    <row r="110">
      <c r="A110" s="15" t="n"/>
      <c r="B110" s="16">
        <f>IF($A110="","",TEXT($A110,"mmm"))</f>
        <v/>
      </c>
      <c r="C110" s="13" t="n"/>
      <c r="D110" s="13" t="n"/>
      <c r="E110" s="17" t="n"/>
      <c r="F110" s="17" t="n"/>
      <c r="G110" s="18">
        <f>IF(AND($E110="",$F110=""),"",N($E110)-N($F110))</f>
        <v/>
      </c>
    </row>
    <row r="111">
      <c r="A111" s="15" t="n"/>
      <c r="B111" s="16">
        <f>IF($A111="","",TEXT($A111,"mmm"))</f>
        <v/>
      </c>
      <c r="C111" s="13" t="n"/>
      <c r="D111" s="13" t="n"/>
      <c r="E111" s="17" t="n"/>
      <c r="F111" s="17" t="n"/>
      <c r="G111" s="18">
        <f>IF(AND($E111="",$F111=""),"",N($E111)-N($F111))</f>
        <v/>
      </c>
    </row>
    <row r="112">
      <c r="A112" s="15" t="n"/>
      <c r="B112" s="16">
        <f>IF($A112="","",TEXT($A112,"mmm"))</f>
        <v/>
      </c>
      <c r="C112" s="13" t="n"/>
      <c r="D112" s="13" t="n"/>
      <c r="E112" s="17" t="n"/>
      <c r="F112" s="17" t="n"/>
      <c r="G112" s="18">
        <f>IF(AND($E112="",$F112=""),"",N($E112)-N($F112))</f>
        <v/>
      </c>
    </row>
    <row r="113">
      <c r="A113" s="15" t="n"/>
      <c r="B113" s="16">
        <f>IF($A113="","",TEXT($A113,"mmm"))</f>
        <v/>
      </c>
      <c r="C113" s="13" t="n"/>
      <c r="D113" s="13" t="n"/>
      <c r="E113" s="17" t="n"/>
      <c r="F113" s="17" t="n"/>
      <c r="G113" s="18">
        <f>IF(AND($E113="",$F113=""),"",N($E113)-N($F113))</f>
        <v/>
      </c>
    </row>
    <row r="114">
      <c r="A114" s="15" t="n"/>
      <c r="B114" s="16">
        <f>IF($A114="","",TEXT($A114,"mmm"))</f>
        <v/>
      </c>
      <c r="C114" s="13" t="n"/>
      <c r="D114" s="13" t="n"/>
      <c r="E114" s="17" t="n"/>
      <c r="F114" s="17" t="n"/>
      <c r="G114" s="18">
        <f>IF(AND($E114="",$F114=""),"",N($E114)-N($F114))</f>
        <v/>
      </c>
    </row>
    <row r="115">
      <c r="A115" s="15" t="n"/>
      <c r="B115" s="16">
        <f>IF($A115="","",TEXT($A115,"mmm"))</f>
        <v/>
      </c>
      <c r="C115" s="13" t="n"/>
      <c r="D115" s="13" t="n"/>
      <c r="E115" s="17" t="n"/>
      <c r="F115" s="17" t="n"/>
      <c r="G115" s="18">
        <f>IF(AND($E115="",$F115=""),"",N($E115)-N($F115))</f>
        <v/>
      </c>
    </row>
    <row r="116">
      <c r="A116" s="15" t="n"/>
      <c r="B116" s="16">
        <f>IF($A116="","",TEXT($A116,"mmm"))</f>
        <v/>
      </c>
      <c r="C116" s="13" t="n"/>
      <c r="D116" s="13" t="n"/>
      <c r="E116" s="17" t="n"/>
      <c r="F116" s="17" t="n"/>
      <c r="G116" s="18">
        <f>IF(AND($E116="",$F116=""),"",N($E116)-N($F116))</f>
        <v/>
      </c>
    </row>
    <row r="117">
      <c r="A117" s="15" t="n"/>
      <c r="B117" s="16">
        <f>IF($A117="","",TEXT($A117,"mmm"))</f>
        <v/>
      </c>
      <c r="C117" s="13" t="n"/>
      <c r="D117" s="13" t="n"/>
      <c r="E117" s="17" t="n"/>
      <c r="F117" s="17" t="n"/>
      <c r="G117" s="18">
        <f>IF(AND($E117="",$F117=""),"",N($E117)-N($F117))</f>
        <v/>
      </c>
    </row>
    <row r="118">
      <c r="A118" s="15" t="n"/>
      <c r="B118" s="16">
        <f>IF($A118="","",TEXT($A118,"mmm"))</f>
        <v/>
      </c>
      <c r="C118" s="13" t="n"/>
      <c r="D118" s="13" t="n"/>
      <c r="E118" s="17" t="n"/>
      <c r="F118" s="17" t="n"/>
      <c r="G118" s="18">
        <f>IF(AND($E118="",$F118=""),"",N($E118)-N($F118))</f>
        <v/>
      </c>
    </row>
    <row r="119">
      <c r="A119" s="15" t="n"/>
      <c r="B119" s="16">
        <f>IF($A119="","",TEXT($A119,"mmm"))</f>
        <v/>
      </c>
      <c r="C119" s="13" t="n"/>
      <c r="D119" s="13" t="n"/>
      <c r="E119" s="17" t="n"/>
      <c r="F119" s="17" t="n"/>
      <c r="G119" s="18">
        <f>IF(AND($E119="",$F119=""),"",N($E119)-N($F119))</f>
        <v/>
      </c>
    </row>
    <row r="120">
      <c r="A120" s="15" t="n"/>
      <c r="B120" s="16">
        <f>IF($A120="","",TEXT($A120,"mmm"))</f>
        <v/>
      </c>
      <c r="C120" s="13" t="n"/>
      <c r="D120" s="13" t="n"/>
      <c r="E120" s="17" t="n"/>
      <c r="F120" s="17" t="n"/>
      <c r="G120" s="18">
        <f>IF(AND($E120="",$F120=""),"",N($E120)-N($F120))</f>
        <v/>
      </c>
    </row>
    <row r="121">
      <c r="A121" s="15" t="n"/>
      <c r="B121" s="16">
        <f>IF($A121="","",TEXT($A121,"mmm"))</f>
        <v/>
      </c>
      <c r="C121" s="13" t="n"/>
      <c r="D121" s="13" t="n"/>
      <c r="E121" s="17" t="n"/>
      <c r="F121" s="17" t="n"/>
      <c r="G121" s="18">
        <f>IF(AND($E121="",$F121=""),"",N($E121)-N($F121))</f>
        <v/>
      </c>
    </row>
    <row r="122">
      <c r="A122" s="15" t="n"/>
      <c r="B122" s="16">
        <f>IF($A122="","",TEXT($A122,"mmm"))</f>
        <v/>
      </c>
      <c r="C122" s="13" t="n"/>
      <c r="D122" s="13" t="n"/>
      <c r="E122" s="17" t="n"/>
      <c r="F122" s="17" t="n"/>
      <c r="G122" s="18">
        <f>IF(AND($E122="",$F122=""),"",N($E122)-N($F122))</f>
        <v/>
      </c>
    </row>
    <row r="123">
      <c r="A123" s="15" t="n"/>
      <c r="B123" s="16">
        <f>IF($A123="","",TEXT($A123,"mmm"))</f>
        <v/>
      </c>
      <c r="C123" s="13" t="n"/>
      <c r="D123" s="13" t="n"/>
      <c r="E123" s="17" t="n"/>
      <c r="F123" s="17" t="n"/>
      <c r="G123" s="18">
        <f>IF(AND($E123="",$F123=""),"",N($E123)-N($F123))</f>
        <v/>
      </c>
    </row>
    <row r="124">
      <c r="A124" s="15" t="n"/>
      <c r="B124" s="16">
        <f>IF($A124="","",TEXT($A124,"mmm"))</f>
        <v/>
      </c>
      <c r="C124" s="13" t="n"/>
      <c r="D124" s="13" t="n"/>
      <c r="E124" s="17" t="n"/>
      <c r="F124" s="17" t="n"/>
      <c r="G124" s="18">
        <f>IF(AND($E124="",$F124=""),"",N($E124)-N($F124))</f>
        <v/>
      </c>
    </row>
    <row r="125">
      <c r="A125" s="15" t="n"/>
      <c r="B125" s="16">
        <f>IF($A125="","",TEXT($A125,"mmm"))</f>
        <v/>
      </c>
      <c r="C125" s="13" t="n"/>
      <c r="D125" s="13" t="n"/>
      <c r="E125" s="17" t="n"/>
      <c r="F125" s="17" t="n"/>
      <c r="G125" s="18">
        <f>IF(AND($E125="",$F125=""),"",N($E125)-N($F125))</f>
        <v/>
      </c>
    </row>
    <row r="126">
      <c r="A126" s="15" t="n"/>
      <c r="B126" s="16">
        <f>IF($A126="","",TEXT($A126,"mmm"))</f>
        <v/>
      </c>
      <c r="C126" s="13" t="n"/>
      <c r="D126" s="13" t="n"/>
      <c r="E126" s="17" t="n"/>
      <c r="F126" s="17" t="n"/>
      <c r="G126" s="18">
        <f>IF(AND($E126="",$F126=""),"",N($E126)-N($F126))</f>
        <v/>
      </c>
    </row>
    <row r="127">
      <c r="A127" s="15" t="n"/>
      <c r="B127" s="16">
        <f>IF($A127="","",TEXT($A127,"mmm"))</f>
        <v/>
      </c>
      <c r="C127" s="13" t="n"/>
      <c r="D127" s="13" t="n"/>
      <c r="E127" s="17" t="n"/>
      <c r="F127" s="17" t="n"/>
      <c r="G127" s="18">
        <f>IF(AND($E127="",$F127=""),"",N($E127)-N($F127))</f>
        <v/>
      </c>
    </row>
    <row r="128">
      <c r="A128" s="15" t="n"/>
      <c r="B128" s="16">
        <f>IF($A128="","",TEXT($A128,"mmm"))</f>
        <v/>
      </c>
      <c r="C128" s="13" t="n"/>
      <c r="D128" s="13" t="n"/>
      <c r="E128" s="17" t="n"/>
      <c r="F128" s="17" t="n"/>
      <c r="G128" s="18">
        <f>IF(AND($E128="",$F128=""),"",N($E128)-N($F128))</f>
        <v/>
      </c>
    </row>
    <row r="129">
      <c r="A129" s="15" t="n"/>
      <c r="B129" s="16">
        <f>IF($A129="","",TEXT($A129,"mmm"))</f>
        <v/>
      </c>
      <c r="C129" s="13" t="n"/>
      <c r="D129" s="13" t="n"/>
      <c r="E129" s="17" t="n"/>
      <c r="F129" s="17" t="n"/>
      <c r="G129" s="18">
        <f>IF(AND($E129="",$F129=""),"",N($E129)-N($F129))</f>
        <v/>
      </c>
    </row>
    <row r="130">
      <c r="A130" s="15" t="n"/>
      <c r="B130" s="16">
        <f>IF($A130="","",TEXT($A130,"mmm"))</f>
        <v/>
      </c>
      <c r="C130" s="13" t="n"/>
      <c r="D130" s="13" t="n"/>
      <c r="E130" s="17" t="n"/>
      <c r="F130" s="17" t="n"/>
      <c r="G130" s="18">
        <f>IF(AND($E130="",$F130=""),"",N($E130)-N($F130))</f>
        <v/>
      </c>
    </row>
    <row r="131">
      <c r="A131" s="15" t="n"/>
      <c r="B131" s="16">
        <f>IF($A131="","",TEXT($A131,"mmm"))</f>
        <v/>
      </c>
      <c r="C131" s="13" t="n"/>
      <c r="D131" s="13" t="n"/>
      <c r="E131" s="17" t="n"/>
      <c r="F131" s="17" t="n"/>
      <c r="G131" s="18">
        <f>IF(AND($E131="",$F131=""),"",N($E131)-N($F131))</f>
        <v/>
      </c>
    </row>
    <row r="132">
      <c r="A132" s="15" t="n"/>
      <c r="B132" s="16">
        <f>IF($A132="","",TEXT($A132,"mmm"))</f>
        <v/>
      </c>
      <c r="C132" s="13" t="n"/>
      <c r="D132" s="13" t="n"/>
      <c r="E132" s="17" t="n"/>
      <c r="F132" s="17" t="n"/>
      <c r="G132" s="18">
        <f>IF(AND($E132="",$F132=""),"",N($E132)-N($F132))</f>
        <v/>
      </c>
    </row>
    <row r="133">
      <c r="A133" s="15" t="n"/>
      <c r="B133" s="16">
        <f>IF($A133="","",TEXT($A133,"mmm"))</f>
        <v/>
      </c>
      <c r="C133" s="13" t="n"/>
      <c r="D133" s="13" t="n"/>
      <c r="E133" s="17" t="n"/>
      <c r="F133" s="17" t="n"/>
      <c r="G133" s="18">
        <f>IF(AND($E133="",$F133=""),"",N($E133)-N($F133))</f>
        <v/>
      </c>
    </row>
    <row r="134">
      <c r="A134" s="15" t="n"/>
      <c r="B134" s="16">
        <f>IF($A134="","",TEXT($A134,"mmm"))</f>
        <v/>
      </c>
      <c r="C134" s="13" t="n"/>
      <c r="D134" s="13" t="n"/>
      <c r="E134" s="17" t="n"/>
      <c r="F134" s="17" t="n"/>
      <c r="G134" s="18">
        <f>IF(AND($E134="",$F134=""),"",N($E134)-N($F134))</f>
        <v/>
      </c>
    </row>
    <row r="135">
      <c r="A135" s="15" t="n"/>
      <c r="B135" s="16">
        <f>IF($A135="","",TEXT($A135,"mmm"))</f>
        <v/>
      </c>
      <c r="C135" s="13" t="n"/>
      <c r="D135" s="13" t="n"/>
      <c r="E135" s="17" t="n"/>
      <c r="F135" s="17" t="n"/>
      <c r="G135" s="18">
        <f>IF(AND($E135="",$F135=""),"",N($E135)-N($F135))</f>
        <v/>
      </c>
    </row>
    <row r="136">
      <c r="A136" s="15" t="n"/>
      <c r="B136" s="16">
        <f>IF($A136="","",TEXT($A136,"mmm"))</f>
        <v/>
      </c>
      <c r="C136" s="13" t="n"/>
      <c r="D136" s="13" t="n"/>
      <c r="E136" s="17" t="n"/>
      <c r="F136" s="17" t="n"/>
      <c r="G136" s="18">
        <f>IF(AND($E136="",$F136=""),"",N($E136)-N($F136))</f>
        <v/>
      </c>
    </row>
    <row r="137">
      <c r="A137" s="15" t="n"/>
      <c r="B137" s="16">
        <f>IF($A137="","",TEXT($A137,"mmm"))</f>
        <v/>
      </c>
      <c r="C137" s="13" t="n"/>
      <c r="D137" s="13" t="n"/>
      <c r="E137" s="17" t="n"/>
      <c r="F137" s="17" t="n"/>
      <c r="G137" s="18">
        <f>IF(AND($E137="",$F137=""),"",N($E137)-N($F137))</f>
        <v/>
      </c>
    </row>
    <row r="138">
      <c r="A138" s="15" t="n"/>
      <c r="B138" s="16">
        <f>IF($A138="","",TEXT($A138,"mmm"))</f>
        <v/>
      </c>
      <c r="C138" s="13" t="n"/>
      <c r="D138" s="13" t="n"/>
      <c r="E138" s="17" t="n"/>
      <c r="F138" s="17" t="n"/>
      <c r="G138" s="18">
        <f>IF(AND($E138="",$F138=""),"",N($E138)-N($F138))</f>
        <v/>
      </c>
    </row>
    <row r="139">
      <c r="A139" s="15" t="n"/>
      <c r="B139" s="16">
        <f>IF($A139="","",TEXT($A139,"mmm"))</f>
        <v/>
      </c>
      <c r="C139" s="13" t="n"/>
      <c r="D139" s="13" t="n"/>
      <c r="E139" s="17" t="n"/>
      <c r="F139" s="17" t="n"/>
      <c r="G139" s="18">
        <f>IF(AND($E139="",$F139=""),"",N($E139)-N($F139))</f>
        <v/>
      </c>
    </row>
    <row r="140">
      <c r="A140" s="15" t="n"/>
      <c r="B140" s="16">
        <f>IF($A140="","",TEXT($A140,"mmm"))</f>
        <v/>
      </c>
      <c r="C140" s="13" t="n"/>
      <c r="D140" s="13" t="n"/>
      <c r="E140" s="17" t="n"/>
      <c r="F140" s="17" t="n"/>
      <c r="G140" s="18">
        <f>IF(AND($E140="",$F140=""),"",N($E140)-N($F140))</f>
        <v/>
      </c>
    </row>
    <row r="141">
      <c r="A141" s="15" t="n"/>
      <c r="B141" s="16">
        <f>IF($A141="","",TEXT($A141,"mmm"))</f>
        <v/>
      </c>
      <c r="C141" s="13" t="n"/>
      <c r="D141" s="13" t="n"/>
      <c r="E141" s="17" t="n"/>
      <c r="F141" s="17" t="n"/>
      <c r="G141" s="18">
        <f>IF(AND($E141="",$F141=""),"",N($E141)-N($F141))</f>
        <v/>
      </c>
    </row>
    <row r="142">
      <c r="A142" s="15" t="n"/>
      <c r="B142" s="16">
        <f>IF($A142="","",TEXT($A142,"mmm"))</f>
        <v/>
      </c>
      <c r="C142" s="13" t="n"/>
      <c r="D142" s="13" t="n"/>
      <c r="E142" s="17" t="n"/>
      <c r="F142" s="17" t="n"/>
      <c r="G142" s="18">
        <f>IF(AND($E142="",$F142=""),"",N($E142)-N($F142))</f>
        <v/>
      </c>
    </row>
    <row r="143">
      <c r="A143" s="15" t="n"/>
      <c r="B143" s="16">
        <f>IF($A143="","",TEXT($A143,"mmm"))</f>
        <v/>
      </c>
      <c r="C143" s="13" t="n"/>
      <c r="D143" s="13" t="n"/>
      <c r="E143" s="17" t="n"/>
      <c r="F143" s="17" t="n"/>
      <c r="G143" s="18">
        <f>IF(AND($E143="",$F143=""),"",N($E143)-N($F143))</f>
        <v/>
      </c>
    </row>
    <row r="144">
      <c r="A144" s="15" t="n"/>
      <c r="B144" s="16">
        <f>IF($A144="","",TEXT($A144,"mmm"))</f>
        <v/>
      </c>
      <c r="C144" s="13" t="n"/>
      <c r="D144" s="13" t="n"/>
      <c r="E144" s="17" t="n"/>
      <c r="F144" s="17" t="n"/>
      <c r="G144" s="18">
        <f>IF(AND($E144="",$F144=""),"",N($E144)-N($F144))</f>
        <v/>
      </c>
    </row>
    <row r="145">
      <c r="A145" s="15" t="n"/>
      <c r="B145" s="16">
        <f>IF($A145="","",TEXT($A145,"mmm"))</f>
        <v/>
      </c>
      <c r="C145" s="13" t="n"/>
      <c r="D145" s="13" t="n"/>
      <c r="E145" s="17" t="n"/>
      <c r="F145" s="17" t="n"/>
      <c r="G145" s="18">
        <f>IF(AND($E145="",$F145=""),"",N($E145)-N($F145))</f>
        <v/>
      </c>
    </row>
    <row r="146">
      <c r="A146" s="15" t="n"/>
      <c r="B146" s="16">
        <f>IF($A146="","",TEXT($A146,"mmm"))</f>
        <v/>
      </c>
      <c r="C146" s="13" t="n"/>
      <c r="D146" s="13" t="n"/>
      <c r="E146" s="17" t="n"/>
      <c r="F146" s="17" t="n"/>
      <c r="G146" s="18">
        <f>IF(AND($E146="",$F146=""),"",N($E146)-N($F146))</f>
        <v/>
      </c>
    </row>
    <row r="147">
      <c r="A147" s="15" t="n"/>
      <c r="B147" s="16">
        <f>IF($A147="","",TEXT($A147,"mmm"))</f>
        <v/>
      </c>
      <c r="C147" s="13" t="n"/>
      <c r="D147" s="13" t="n"/>
      <c r="E147" s="17" t="n"/>
      <c r="F147" s="17" t="n"/>
      <c r="G147" s="18">
        <f>IF(AND($E147="",$F147=""),"",N($E147)-N($F147))</f>
        <v/>
      </c>
    </row>
    <row r="148">
      <c r="A148" s="15" t="n"/>
      <c r="B148" s="16">
        <f>IF($A148="","",TEXT($A148,"mmm"))</f>
        <v/>
      </c>
      <c r="C148" s="13" t="n"/>
      <c r="D148" s="13" t="n"/>
      <c r="E148" s="17" t="n"/>
      <c r="F148" s="17" t="n"/>
      <c r="G148" s="18">
        <f>IF(AND($E148="",$F148=""),"",N($E148)-N($F148))</f>
        <v/>
      </c>
    </row>
    <row r="149">
      <c r="A149" s="15" t="n"/>
      <c r="B149" s="16">
        <f>IF($A149="","",TEXT($A149,"mmm"))</f>
        <v/>
      </c>
      <c r="C149" s="13" t="n"/>
      <c r="D149" s="13" t="n"/>
      <c r="E149" s="17" t="n"/>
      <c r="F149" s="17" t="n"/>
      <c r="G149" s="18">
        <f>IF(AND($E149="",$F149=""),"",N($E149)-N($F149))</f>
        <v/>
      </c>
    </row>
    <row r="150">
      <c r="A150" s="15" t="n"/>
      <c r="B150" s="16">
        <f>IF($A150="","",TEXT($A150,"mmm"))</f>
        <v/>
      </c>
      <c r="C150" s="13" t="n"/>
      <c r="D150" s="13" t="n"/>
      <c r="E150" s="17" t="n"/>
      <c r="F150" s="17" t="n"/>
      <c r="G150" s="18">
        <f>IF(AND($E150="",$F150=""),"",N($E150)-N($F150))</f>
        <v/>
      </c>
    </row>
    <row r="151">
      <c r="A151" s="15" t="n"/>
      <c r="B151" s="16">
        <f>IF($A151="","",TEXT($A151,"mmm"))</f>
        <v/>
      </c>
      <c r="C151" s="13" t="n"/>
      <c r="D151" s="13" t="n"/>
      <c r="E151" s="17" t="n"/>
      <c r="F151" s="17" t="n"/>
      <c r="G151" s="18">
        <f>IF(AND($E151="",$F151=""),"",N($E151)-N($F151))</f>
        <v/>
      </c>
    </row>
    <row r="152">
      <c r="A152" s="15" t="n"/>
      <c r="B152" s="16">
        <f>IF($A152="","",TEXT($A152,"mmm"))</f>
        <v/>
      </c>
      <c r="C152" s="13" t="n"/>
      <c r="D152" s="13" t="n"/>
      <c r="E152" s="17" t="n"/>
      <c r="F152" s="17" t="n"/>
      <c r="G152" s="18">
        <f>IF(AND($E152="",$F152=""),"",N($E152)-N($F152))</f>
        <v/>
      </c>
    </row>
    <row r="153">
      <c r="A153" s="15" t="n"/>
      <c r="B153" s="16">
        <f>IF($A153="","",TEXT($A153,"mmm"))</f>
        <v/>
      </c>
      <c r="C153" s="13" t="n"/>
      <c r="D153" s="13" t="n"/>
      <c r="E153" s="17" t="n"/>
      <c r="F153" s="17" t="n"/>
      <c r="G153" s="18">
        <f>IF(AND($E153="",$F153=""),"",N($E153)-N($F153))</f>
        <v/>
      </c>
    </row>
    <row r="154">
      <c r="A154" s="15" t="n"/>
      <c r="B154" s="16">
        <f>IF($A154="","",TEXT($A154,"mmm"))</f>
        <v/>
      </c>
      <c r="C154" s="13" t="n"/>
      <c r="D154" s="13" t="n"/>
      <c r="E154" s="17" t="n"/>
      <c r="F154" s="17" t="n"/>
      <c r="G154" s="18">
        <f>IF(AND($E154="",$F154=""),"",N($E154)-N($F154))</f>
        <v/>
      </c>
    </row>
    <row r="155">
      <c r="A155" s="15" t="n"/>
      <c r="B155" s="16">
        <f>IF($A155="","",TEXT($A155,"mmm"))</f>
        <v/>
      </c>
      <c r="C155" s="13" t="n"/>
      <c r="D155" s="13" t="n"/>
      <c r="E155" s="17" t="n"/>
      <c r="F155" s="17" t="n"/>
      <c r="G155" s="18">
        <f>IF(AND($E155="",$F155=""),"",N($E155)-N($F155))</f>
        <v/>
      </c>
    </row>
    <row r="156">
      <c r="A156" s="15" t="n"/>
      <c r="B156" s="16">
        <f>IF($A156="","",TEXT($A156,"mmm"))</f>
        <v/>
      </c>
      <c r="C156" s="13" t="n"/>
      <c r="D156" s="13" t="n"/>
      <c r="E156" s="17" t="n"/>
      <c r="F156" s="17" t="n"/>
      <c r="G156" s="18">
        <f>IF(AND($E156="",$F156=""),"",N($E156)-N($F156))</f>
        <v/>
      </c>
    </row>
    <row r="157">
      <c r="A157" s="15" t="n"/>
      <c r="B157" s="16">
        <f>IF($A157="","",TEXT($A157,"mmm"))</f>
        <v/>
      </c>
      <c r="C157" s="13" t="n"/>
      <c r="D157" s="13" t="n"/>
      <c r="E157" s="17" t="n"/>
      <c r="F157" s="17" t="n"/>
      <c r="G157" s="18">
        <f>IF(AND($E157="",$F157=""),"",N($E157)-N($F157))</f>
        <v/>
      </c>
    </row>
    <row r="158">
      <c r="A158" s="15" t="n"/>
      <c r="B158" s="16">
        <f>IF($A158="","",TEXT($A158,"mmm"))</f>
        <v/>
      </c>
      <c r="C158" s="13" t="n"/>
      <c r="D158" s="13" t="n"/>
      <c r="E158" s="17" t="n"/>
      <c r="F158" s="17" t="n"/>
      <c r="G158" s="18">
        <f>IF(AND($E158="",$F158=""),"",N($E158)-N($F158))</f>
        <v/>
      </c>
    </row>
    <row r="159">
      <c r="A159" s="15" t="n"/>
      <c r="B159" s="16">
        <f>IF($A159="","",TEXT($A159,"mmm"))</f>
        <v/>
      </c>
      <c r="C159" s="13" t="n"/>
      <c r="D159" s="13" t="n"/>
      <c r="E159" s="17" t="n"/>
      <c r="F159" s="17" t="n"/>
      <c r="G159" s="18">
        <f>IF(AND($E159="",$F159=""),"",N($E159)-N($F159))</f>
        <v/>
      </c>
    </row>
    <row r="160">
      <c r="A160" s="15" t="n"/>
      <c r="B160" s="16">
        <f>IF($A160="","",TEXT($A160,"mmm"))</f>
        <v/>
      </c>
      <c r="C160" s="13" t="n"/>
      <c r="D160" s="13" t="n"/>
      <c r="E160" s="17" t="n"/>
      <c r="F160" s="17" t="n"/>
      <c r="G160" s="18">
        <f>IF(AND($E160="",$F160=""),"",N($E160)-N($F160))</f>
        <v/>
      </c>
    </row>
    <row r="161">
      <c r="A161" s="15" t="n"/>
      <c r="B161" s="16">
        <f>IF($A161="","",TEXT($A161,"mmm"))</f>
        <v/>
      </c>
      <c r="C161" s="13" t="n"/>
      <c r="D161" s="13" t="n"/>
      <c r="E161" s="17" t="n"/>
      <c r="F161" s="17" t="n"/>
      <c r="G161" s="18">
        <f>IF(AND($E161="",$F161=""),"",N($E161)-N($F161))</f>
        <v/>
      </c>
    </row>
    <row r="162">
      <c r="A162" s="15" t="n"/>
      <c r="B162" s="16">
        <f>IF($A162="","",TEXT($A162,"mmm"))</f>
        <v/>
      </c>
      <c r="C162" s="13" t="n"/>
      <c r="D162" s="13" t="n"/>
      <c r="E162" s="17" t="n"/>
      <c r="F162" s="17" t="n"/>
      <c r="G162" s="18">
        <f>IF(AND($E162="",$F162=""),"",N($E162)-N($F162))</f>
        <v/>
      </c>
    </row>
    <row r="163">
      <c r="A163" s="15" t="n"/>
      <c r="B163" s="16">
        <f>IF($A163="","",TEXT($A163,"mmm"))</f>
        <v/>
      </c>
      <c r="C163" s="13" t="n"/>
      <c r="D163" s="13" t="n"/>
      <c r="E163" s="17" t="n"/>
      <c r="F163" s="17" t="n"/>
      <c r="G163" s="18">
        <f>IF(AND($E163="",$F163=""),"",N($E163)-N($F163))</f>
        <v/>
      </c>
    </row>
    <row r="164">
      <c r="A164" s="15" t="n"/>
      <c r="B164" s="16">
        <f>IF($A164="","",TEXT($A164,"mmm"))</f>
        <v/>
      </c>
      <c r="C164" s="13" t="n"/>
      <c r="D164" s="13" t="n"/>
      <c r="E164" s="17" t="n"/>
      <c r="F164" s="17" t="n"/>
      <c r="G164" s="18">
        <f>IF(AND($E164="",$F164=""),"",N($E164)-N($F164))</f>
        <v/>
      </c>
    </row>
    <row r="165">
      <c r="A165" s="15" t="n"/>
      <c r="B165" s="16">
        <f>IF($A165="","",TEXT($A165,"mmm"))</f>
        <v/>
      </c>
      <c r="C165" s="13" t="n"/>
      <c r="D165" s="13" t="n"/>
      <c r="E165" s="17" t="n"/>
      <c r="F165" s="17" t="n"/>
      <c r="G165" s="18">
        <f>IF(AND($E165="",$F165=""),"",N($E165)-N($F165))</f>
        <v/>
      </c>
    </row>
    <row r="166">
      <c r="A166" s="15" t="n"/>
      <c r="B166" s="16">
        <f>IF($A166="","",TEXT($A166,"mmm"))</f>
        <v/>
      </c>
      <c r="C166" s="13" t="n"/>
      <c r="D166" s="13" t="n"/>
      <c r="E166" s="17" t="n"/>
      <c r="F166" s="17" t="n"/>
      <c r="G166" s="18">
        <f>IF(AND($E166="",$F166=""),"",N($E166)-N($F166))</f>
        <v/>
      </c>
    </row>
    <row r="167">
      <c r="A167" s="15" t="n"/>
      <c r="B167" s="16">
        <f>IF($A167="","",TEXT($A167,"mmm"))</f>
        <v/>
      </c>
      <c r="C167" s="13" t="n"/>
      <c r="D167" s="13" t="n"/>
      <c r="E167" s="17" t="n"/>
      <c r="F167" s="17" t="n"/>
      <c r="G167" s="18">
        <f>IF(AND($E167="",$F167=""),"",N($E167)-N($F167))</f>
        <v/>
      </c>
    </row>
    <row r="168">
      <c r="A168" s="15" t="n"/>
      <c r="B168" s="16">
        <f>IF($A168="","",TEXT($A168,"mmm"))</f>
        <v/>
      </c>
      <c r="C168" s="13" t="n"/>
      <c r="D168" s="13" t="n"/>
      <c r="E168" s="17" t="n"/>
      <c r="F168" s="17" t="n"/>
      <c r="G168" s="18">
        <f>IF(AND($E168="",$F168=""),"",N($E168)-N($F168))</f>
        <v/>
      </c>
    </row>
    <row r="169">
      <c r="A169" s="15" t="n"/>
      <c r="B169" s="16">
        <f>IF($A169="","",TEXT($A169,"mmm"))</f>
        <v/>
      </c>
      <c r="C169" s="13" t="n"/>
      <c r="D169" s="13" t="n"/>
      <c r="E169" s="17" t="n"/>
      <c r="F169" s="17" t="n"/>
      <c r="G169" s="18">
        <f>IF(AND($E169="",$F169=""),"",N($E169)-N($F169))</f>
        <v/>
      </c>
    </row>
    <row r="170">
      <c r="A170" s="15" t="n"/>
      <c r="B170" s="16">
        <f>IF($A170="","",TEXT($A170,"mmm"))</f>
        <v/>
      </c>
      <c r="C170" s="13" t="n"/>
      <c r="D170" s="13" t="n"/>
      <c r="E170" s="17" t="n"/>
      <c r="F170" s="17" t="n"/>
      <c r="G170" s="18">
        <f>IF(AND($E170="",$F170=""),"",N($E170)-N($F170))</f>
        <v/>
      </c>
    </row>
    <row r="171">
      <c r="A171" s="15" t="n"/>
      <c r="B171" s="16">
        <f>IF($A171="","",TEXT($A171,"mmm"))</f>
        <v/>
      </c>
      <c r="C171" s="13" t="n"/>
      <c r="D171" s="13" t="n"/>
      <c r="E171" s="17" t="n"/>
      <c r="F171" s="17" t="n"/>
      <c r="G171" s="18">
        <f>IF(AND($E171="",$F171=""),"",N($E171)-N($F171))</f>
        <v/>
      </c>
    </row>
    <row r="172">
      <c r="A172" s="15" t="n"/>
      <c r="B172" s="16">
        <f>IF($A172="","",TEXT($A172,"mmm"))</f>
        <v/>
      </c>
      <c r="C172" s="13" t="n"/>
      <c r="D172" s="13" t="n"/>
      <c r="E172" s="17" t="n"/>
      <c r="F172" s="17" t="n"/>
      <c r="G172" s="18">
        <f>IF(AND($E172="",$F172=""),"",N($E172)-N($F172))</f>
        <v/>
      </c>
    </row>
    <row r="173">
      <c r="A173" s="15" t="n"/>
      <c r="B173" s="16">
        <f>IF($A173="","",TEXT($A173,"mmm"))</f>
        <v/>
      </c>
      <c r="C173" s="13" t="n"/>
      <c r="D173" s="13" t="n"/>
      <c r="E173" s="17" t="n"/>
      <c r="F173" s="17" t="n"/>
      <c r="G173" s="18">
        <f>IF(AND($E173="",$F173=""),"",N($E173)-N($F173))</f>
        <v/>
      </c>
    </row>
    <row r="174">
      <c r="A174" s="15" t="n"/>
      <c r="B174" s="16">
        <f>IF($A174="","",TEXT($A174,"mmm"))</f>
        <v/>
      </c>
      <c r="C174" s="13" t="n"/>
      <c r="D174" s="13" t="n"/>
      <c r="E174" s="17" t="n"/>
      <c r="F174" s="17" t="n"/>
      <c r="G174" s="18">
        <f>IF(AND($E174="",$F174=""),"",N($E174)-N($F174))</f>
        <v/>
      </c>
    </row>
    <row r="175">
      <c r="A175" s="15" t="n"/>
      <c r="B175" s="16">
        <f>IF($A175="","",TEXT($A175,"mmm"))</f>
        <v/>
      </c>
      <c r="C175" s="13" t="n"/>
      <c r="D175" s="13" t="n"/>
      <c r="E175" s="17" t="n"/>
      <c r="F175" s="17" t="n"/>
      <c r="G175" s="18">
        <f>IF(AND($E175="",$F175=""),"",N($E175)-N($F175))</f>
        <v/>
      </c>
    </row>
    <row r="176">
      <c r="A176" s="15" t="n"/>
      <c r="B176" s="16">
        <f>IF($A176="","",TEXT($A176,"mmm"))</f>
        <v/>
      </c>
      <c r="C176" s="13" t="n"/>
      <c r="D176" s="13" t="n"/>
      <c r="E176" s="17" t="n"/>
      <c r="F176" s="17" t="n"/>
      <c r="G176" s="18">
        <f>IF(AND($E176="",$F176=""),"",N($E176)-N($F176))</f>
        <v/>
      </c>
    </row>
    <row r="177">
      <c r="A177" s="15" t="n"/>
      <c r="B177" s="16">
        <f>IF($A177="","",TEXT($A177,"mmm"))</f>
        <v/>
      </c>
      <c r="C177" s="13" t="n"/>
      <c r="D177" s="13" t="n"/>
      <c r="E177" s="17" t="n"/>
      <c r="F177" s="17" t="n"/>
      <c r="G177" s="18">
        <f>IF(AND($E177="",$F177=""),"",N($E177)-N($F177))</f>
        <v/>
      </c>
    </row>
    <row r="178">
      <c r="A178" s="15" t="n"/>
      <c r="B178" s="16">
        <f>IF($A178="","",TEXT($A178,"mmm"))</f>
        <v/>
      </c>
      <c r="C178" s="13" t="n"/>
      <c r="D178" s="13" t="n"/>
      <c r="E178" s="17" t="n"/>
      <c r="F178" s="17" t="n"/>
      <c r="G178" s="18">
        <f>IF(AND($E178="",$F178=""),"",N($E178)-N($F178))</f>
        <v/>
      </c>
    </row>
    <row r="179">
      <c r="A179" s="15" t="n"/>
      <c r="B179" s="16">
        <f>IF($A179="","",TEXT($A179,"mmm"))</f>
        <v/>
      </c>
      <c r="C179" s="13" t="n"/>
      <c r="D179" s="13" t="n"/>
      <c r="E179" s="17" t="n"/>
      <c r="F179" s="17" t="n"/>
      <c r="G179" s="18">
        <f>IF(AND($E179="",$F179=""),"",N($E179)-N($F179))</f>
        <v/>
      </c>
    </row>
    <row r="180">
      <c r="A180" s="15" t="n"/>
      <c r="B180" s="16">
        <f>IF($A180="","",TEXT($A180,"mmm"))</f>
        <v/>
      </c>
      <c r="C180" s="13" t="n"/>
      <c r="D180" s="13" t="n"/>
      <c r="E180" s="17" t="n"/>
      <c r="F180" s="17" t="n"/>
      <c r="G180" s="18">
        <f>IF(AND($E180="",$F180=""),"",N($E180)-N($F180))</f>
        <v/>
      </c>
    </row>
    <row r="181">
      <c r="A181" s="15" t="n"/>
      <c r="B181" s="16">
        <f>IF($A181="","",TEXT($A181,"mmm"))</f>
        <v/>
      </c>
      <c r="C181" s="13" t="n"/>
      <c r="D181" s="13" t="n"/>
      <c r="E181" s="17" t="n"/>
      <c r="F181" s="17" t="n"/>
      <c r="G181" s="18">
        <f>IF(AND($E181="",$F181=""),"",N($E181)-N($F181))</f>
        <v/>
      </c>
    </row>
    <row r="182">
      <c r="A182" s="15" t="n"/>
      <c r="B182" s="16">
        <f>IF($A182="","",TEXT($A182,"mmm"))</f>
        <v/>
      </c>
      <c r="C182" s="13" t="n"/>
      <c r="D182" s="13" t="n"/>
      <c r="E182" s="17" t="n"/>
      <c r="F182" s="17" t="n"/>
      <c r="G182" s="18">
        <f>IF(AND($E182="",$F182=""),"",N($E182)-N($F182))</f>
        <v/>
      </c>
    </row>
    <row r="183">
      <c r="A183" s="15" t="n"/>
      <c r="B183" s="16">
        <f>IF($A183="","",TEXT($A183,"mmm"))</f>
        <v/>
      </c>
      <c r="C183" s="13" t="n"/>
      <c r="D183" s="13" t="n"/>
      <c r="E183" s="17" t="n"/>
      <c r="F183" s="17" t="n"/>
      <c r="G183" s="18">
        <f>IF(AND($E183="",$F183=""),"",N($E183)-N($F183))</f>
        <v/>
      </c>
    </row>
    <row r="184">
      <c r="A184" s="15" t="n"/>
      <c r="B184" s="16">
        <f>IF($A184="","",TEXT($A184,"mmm"))</f>
        <v/>
      </c>
      <c r="C184" s="13" t="n"/>
      <c r="D184" s="13" t="n"/>
      <c r="E184" s="17" t="n"/>
      <c r="F184" s="17" t="n"/>
      <c r="G184" s="18">
        <f>IF(AND($E184="",$F184=""),"",N($E184)-N($F184))</f>
        <v/>
      </c>
    </row>
    <row r="185">
      <c r="A185" s="15" t="n"/>
      <c r="B185" s="16">
        <f>IF($A185="","",TEXT($A185,"mmm"))</f>
        <v/>
      </c>
      <c r="C185" s="13" t="n"/>
      <c r="D185" s="13" t="n"/>
      <c r="E185" s="17" t="n"/>
      <c r="F185" s="17" t="n"/>
      <c r="G185" s="18">
        <f>IF(AND($E185="",$F185=""),"",N($E185)-N($F185))</f>
        <v/>
      </c>
    </row>
    <row r="186">
      <c r="A186" s="15" t="n"/>
      <c r="B186" s="16">
        <f>IF($A186="","",TEXT($A186,"mmm"))</f>
        <v/>
      </c>
      <c r="C186" s="13" t="n"/>
      <c r="D186" s="13" t="n"/>
      <c r="E186" s="17" t="n"/>
      <c r="F186" s="17" t="n"/>
      <c r="G186" s="18">
        <f>IF(AND($E186="",$F186=""),"",N($E186)-N($F186))</f>
        <v/>
      </c>
    </row>
    <row r="187">
      <c r="A187" s="15" t="n"/>
      <c r="B187" s="16">
        <f>IF($A187="","",TEXT($A187,"mmm"))</f>
        <v/>
      </c>
      <c r="C187" s="13" t="n"/>
      <c r="D187" s="13" t="n"/>
      <c r="E187" s="17" t="n"/>
      <c r="F187" s="17" t="n"/>
      <c r="G187" s="18">
        <f>IF(AND($E187="",$F187=""),"",N($E187)-N($F187))</f>
        <v/>
      </c>
    </row>
    <row r="188">
      <c r="A188" s="15" t="n"/>
      <c r="B188" s="16">
        <f>IF($A188="","",TEXT($A188,"mmm"))</f>
        <v/>
      </c>
      <c r="C188" s="13" t="n"/>
      <c r="D188" s="13" t="n"/>
      <c r="E188" s="17" t="n"/>
      <c r="F188" s="17" t="n"/>
      <c r="G188" s="18">
        <f>IF(AND($E188="",$F188=""),"",N($E188)-N($F188))</f>
        <v/>
      </c>
    </row>
    <row r="189">
      <c r="A189" s="15" t="n"/>
      <c r="B189" s="16">
        <f>IF($A189="","",TEXT($A189,"mmm"))</f>
        <v/>
      </c>
      <c r="C189" s="13" t="n"/>
      <c r="D189" s="13" t="n"/>
      <c r="E189" s="17" t="n"/>
      <c r="F189" s="17" t="n"/>
      <c r="G189" s="18">
        <f>IF(AND($E189="",$F189=""),"",N($E189)-N($F189))</f>
        <v/>
      </c>
    </row>
    <row r="190">
      <c r="A190" s="15" t="n"/>
      <c r="B190" s="16">
        <f>IF($A190="","",TEXT($A190,"mmm"))</f>
        <v/>
      </c>
      <c r="C190" s="13" t="n"/>
      <c r="D190" s="13" t="n"/>
      <c r="E190" s="17" t="n"/>
      <c r="F190" s="17" t="n"/>
      <c r="G190" s="18">
        <f>IF(AND($E190="",$F190=""),"",N($E190)-N($F190))</f>
        <v/>
      </c>
    </row>
    <row r="191">
      <c r="A191" s="15" t="n"/>
      <c r="B191" s="16">
        <f>IF($A191="","",TEXT($A191,"mmm"))</f>
        <v/>
      </c>
      <c r="C191" s="13" t="n"/>
      <c r="D191" s="13" t="n"/>
      <c r="E191" s="17" t="n"/>
      <c r="F191" s="17" t="n"/>
      <c r="G191" s="18">
        <f>IF(AND($E191="",$F191=""),"",N($E191)-N($F191))</f>
        <v/>
      </c>
    </row>
    <row r="192">
      <c r="A192" s="15" t="n"/>
      <c r="B192" s="16">
        <f>IF($A192="","",TEXT($A192,"mmm"))</f>
        <v/>
      </c>
      <c r="C192" s="13" t="n"/>
      <c r="D192" s="13" t="n"/>
      <c r="E192" s="17" t="n"/>
      <c r="F192" s="17" t="n"/>
      <c r="G192" s="18">
        <f>IF(AND($E192="",$F192=""),"",N($E192)-N($F192))</f>
        <v/>
      </c>
    </row>
    <row r="193">
      <c r="A193" s="15" t="n"/>
      <c r="B193" s="16">
        <f>IF($A193="","",TEXT($A193,"mmm"))</f>
        <v/>
      </c>
      <c r="C193" s="13" t="n"/>
      <c r="D193" s="13" t="n"/>
      <c r="E193" s="17" t="n"/>
      <c r="F193" s="17" t="n"/>
      <c r="G193" s="18">
        <f>IF(AND($E193="",$F193=""),"",N($E193)-N($F193))</f>
        <v/>
      </c>
    </row>
    <row r="194">
      <c r="A194" s="15" t="n"/>
      <c r="B194" s="16">
        <f>IF($A194="","",TEXT($A194,"mmm"))</f>
        <v/>
      </c>
      <c r="C194" s="13" t="n"/>
      <c r="D194" s="13" t="n"/>
      <c r="E194" s="17" t="n"/>
      <c r="F194" s="17" t="n"/>
      <c r="G194" s="18">
        <f>IF(AND($E194="",$F194=""),"",N($E194)-N($F194))</f>
        <v/>
      </c>
    </row>
    <row r="195">
      <c r="A195" s="15" t="n"/>
      <c r="B195" s="16">
        <f>IF($A195="","",TEXT($A195,"mmm"))</f>
        <v/>
      </c>
      <c r="C195" s="13" t="n"/>
      <c r="D195" s="13" t="n"/>
      <c r="E195" s="17" t="n"/>
      <c r="F195" s="17" t="n"/>
      <c r="G195" s="18">
        <f>IF(AND($E195="",$F195=""),"",N($E195)-N($F195))</f>
        <v/>
      </c>
    </row>
    <row r="196">
      <c r="A196" s="15" t="n"/>
      <c r="B196" s="16">
        <f>IF($A196="","",TEXT($A196,"mmm"))</f>
        <v/>
      </c>
      <c r="C196" s="13" t="n"/>
      <c r="D196" s="13" t="n"/>
      <c r="E196" s="17" t="n"/>
      <c r="F196" s="17" t="n"/>
      <c r="G196" s="18">
        <f>IF(AND($E196="",$F196=""),"",N($E196)-N($F196))</f>
        <v/>
      </c>
    </row>
    <row r="197">
      <c r="A197" s="15" t="n"/>
      <c r="B197" s="16">
        <f>IF($A197="","",TEXT($A197,"mmm"))</f>
        <v/>
      </c>
      <c r="C197" s="13" t="n"/>
      <c r="D197" s="13" t="n"/>
      <c r="E197" s="17" t="n"/>
      <c r="F197" s="17" t="n"/>
      <c r="G197" s="18">
        <f>IF(AND($E197="",$F197=""),"",N($E197)-N($F197))</f>
        <v/>
      </c>
    </row>
    <row r="198">
      <c r="A198" s="15" t="n"/>
      <c r="B198" s="16">
        <f>IF($A198="","",TEXT($A198,"mmm"))</f>
        <v/>
      </c>
      <c r="C198" s="13" t="n"/>
      <c r="D198" s="13" t="n"/>
      <c r="E198" s="17" t="n"/>
      <c r="F198" s="17" t="n"/>
      <c r="G198" s="18">
        <f>IF(AND($E198="",$F198=""),"",N($E198)-N($F198))</f>
        <v/>
      </c>
    </row>
    <row r="199">
      <c r="A199" s="15" t="n"/>
      <c r="B199" s="16">
        <f>IF($A199="","",TEXT($A199,"mmm"))</f>
        <v/>
      </c>
      <c r="C199" s="13" t="n"/>
      <c r="D199" s="13" t="n"/>
      <c r="E199" s="17" t="n"/>
      <c r="F199" s="17" t="n"/>
      <c r="G199" s="18">
        <f>IF(AND($E199="",$F199=""),"",N($E199)-N($F199))</f>
        <v/>
      </c>
    </row>
    <row r="200">
      <c r="A200" s="15" t="n"/>
      <c r="B200" s="16">
        <f>IF($A200="","",TEXT($A200,"mmm"))</f>
        <v/>
      </c>
      <c r="C200" s="13" t="n"/>
      <c r="D200" s="13" t="n"/>
      <c r="E200" s="17" t="n"/>
      <c r="F200" s="17" t="n"/>
      <c r="G200" s="18">
        <f>IF(AND($E200="",$F200=""),"",N($E200)-N($F200))</f>
        <v/>
      </c>
    </row>
    <row r="201">
      <c r="A201" s="15" t="n"/>
      <c r="B201" s="16">
        <f>IF($A201="","",TEXT($A201,"mmm"))</f>
        <v/>
      </c>
      <c r="C201" s="13" t="n"/>
      <c r="D201" s="13" t="n"/>
      <c r="E201" s="17" t="n"/>
      <c r="F201" s="17" t="n"/>
      <c r="G201" s="18">
        <f>IF(AND($E201="",$F201=""),"",N($E201)-N($F201))</f>
        <v/>
      </c>
    </row>
    <row r="202">
      <c r="A202" s="15" t="n"/>
      <c r="B202" s="16">
        <f>IF($A202="","",TEXT($A202,"mmm"))</f>
        <v/>
      </c>
      <c r="C202" s="13" t="n"/>
      <c r="D202" s="13" t="n"/>
      <c r="E202" s="17" t="n"/>
      <c r="F202" s="17" t="n"/>
      <c r="G202" s="18">
        <f>IF(AND($E202="",$F202=""),"",N($E202)-N($F202))</f>
        <v/>
      </c>
    </row>
    <row r="203">
      <c r="A203" s="15" t="n"/>
      <c r="B203" s="16">
        <f>IF($A203="","",TEXT($A203,"mmm"))</f>
        <v/>
      </c>
      <c r="C203" s="13" t="n"/>
      <c r="D203" s="13" t="n"/>
      <c r="E203" s="17" t="n"/>
      <c r="F203" s="17" t="n"/>
      <c r="G203" s="18">
        <f>IF(AND($E203="",$F203=""),"",N($E203)-N($F203))</f>
        <v/>
      </c>
    </row>
    <row r="204">
      <c r="A204" s="15" t="n"/>
      <c r="B204" s="16">
        <f>IF($A204="","",TEXT($A204,"mmm"))</f>
        <v/>
      </c>
      <c r="C204" s="13" t="n"/>
      <c r="D204" s="13" t="n"/>
      <c r="E204" s="17" t="n"/>
      <c r="F204" s="17" t="n"/>
      <c r="G204" s="18">
        <f>IF(AND($E204="",$F204=""),"",N($E204)-N($F204))</f>
        <v/>
      </c>
    </row>
    <row r="205">
      <c r="A205" s="15" t="n"/>
      <c r="B205" s="16">
        <f>IF($A205="","",TEXT($A205,"mmm"))</f>
        <v/>
      </c>
      <c r="C205" s="13" t="n"/>
      <c r="D205" s="13" t="n"/>
      <c r="E205" s="17" t="n"/>
      <c r="F205" s="17" t="n"/>
      <c r="G205" s="18">
        <f>IF(AND($E205="",$F205=""),"",N($E205)-N($F205))</f>
        <v/>
      </c>
    </row>
    <row r="206">
      <c r="A206" s="15" t="n"/>
      <c r="B206" s="16">
        <f>IF($A206="","",TEXT($A206,"mmm"))</f>
        <v/>
      </c>
      <c r="C206" s="13" t="n"/>
      <c r="D206" s="13" t="n"/>
      <c r="E206" s="17" t="n"/>
      <c r="F206" s="17" t="n"/>
      <c r="G206" s="18">
        <f>IF(AND($E206="",$F206=""),"",N($E206)-N($F206))</f>
        <v/>
      </c>
    </row>
    <row r="207">
      <c r="A207" s="15" t="n"/>
      <c r="B207" s="16">
        <f>IF($A207="","",TEXT($A207,"mmm"))</f>
        <v/>
      </c>
      <c r="C207" s="13" t="n"/>
      <c r="D207" s="13" t="n"/>
      <c r="E207" s="17" t="n"/>
      <c r="F207" s="17" t="n"/>
      <c r="G207" s="18">
        <f>IF(AND($E207="",$F207=""),"",N($E207)-N($F207))</f>
        <v/>
      </c>
    </row>
    <row r="208">
      <c r="A208" s="15" t="n"/>
      <c r="B208" s="16">
        <f>IF($A208="","",TEXT($A208,"mmm"))</f>
        <v/>
      </c>
      <c r="C208" s="13" t="n"/>
      <c r="D208" s="13" t="n"/>
      <c r="E208" s="17" t="n"/>
      <c r="F208" s="17" t="n"/>
      <c r="G208" s="18">
        <f>IF(AND($E208="",$F208=""),"",N($E208)-N($F208))</f>
        <v/>
      </c>
    </row>
    <row r="209">
      <c r="A209" s="15" t="n"/>
      <c r="B209" s="16">
        <f>IF($A209="","",TEXT($A209,"mmm"))</f>
        <v/>
      </c>
      <c r="C209" s="13" t="n"/>
      <c r="D209" s="13" t="n"/>
      <c r="E209" s="17" t="n"/>
      <c r="F209" s="17" t="n"/>
      <c r="G209" s="18">
        <f>IF(AND($E209="",$F209=""),"",N($E209)-N($F209))</f>
        <v/>
      </c>
    </row>
    <row r="210">
      <c r="A210" s="15" t="n"/>
      <c r="B210" s="16">
        <f>IF($A210="","",TEXT($A210,"mmm"))</f>
        <v/>
      </c>
      <c r="C210" s="13" t="n"/>
      <c r="D210" s="13" t="n"/>
      <c r="E210" s="17" t="n"/>
      <c r="F210" s="17" t="n"/>
      <c r="G210" s="18">
        <f>IF(AND($E210="",$F210=""),"",N($E210)-N($F210))</f>
        <v/>
      </c>
    </row>
    <row r="211">
      <c r="A211" s="15" t="n"/>
      <c r="B211" s="16">
        <f>IF($A211="","",TEXT($A211,"mmm"))</f>
        <v/>
      </c>
      <c r="C211" s="13" t="n"/>
      <c r="D211" s="13" t="n"/>
      <c r="E211" s="17" t="n"/>
      <c r="F211" s="17" t="n"/>
      <c r="G211" s="18">
        <f>IF(AND($E211="",$F211=""),"",N($E211)-N($F211))</f>
        <v/>
      </c>
    </row>
    <row r="212">
      <c r="A212" s="15" t="n"/>
      <c r="B212" s="16">
        <f>IF($A212="","",TEXT($A212,"mmm"))</f>
        <v/>
      </c>
      <c r="C212" s="13" t="n"/>
      <c r="D212" s="13" t="n"/>
      <c r="E212" s="17" t="n"/>
      <c r="F212" s="17" t="n"/>
      <c r="G212" s="18">
        <f>IF(AND($E212="",$F212=""),"",N($E212)-N($F212))</f>
        <v/>
      </c>
    </row>
    <row r="213">
      <c r="A213" s="15" t="n"/>
      <c r="B213" s="16">
        <f>IF($A213="","",TEXT($A213,"mmm"))</f>
        <v/>
      </c>
      <c r="C213" s="13" t="n"/>
      <c r="D213" s="13" t="n"/>
      <c r="E213" s="17" t="n"/>
      <c r="F213" s="17" t="n"/>
      <c r="G213" s="18">
        <f>IF(AND($E213="",$F213=""),"",N($E213)-N($F213))</f>
        <v/>
      </c>
    </row>
    <row r="214">
      <c r="A214" s="15" t="n"/>
      <c r="B214" s="16">
        <f>IF($A214="","",TEXT($A214,"mmm"))</f>
        <v/>
      </c>
      <c r="C214" s="13" t="n"/>
      <c r="D214" s="13" t="n"/>
      <c r="E214" s="17" t="n"/>
      <c r="F214" s="17" t="n"/>
      <c r="G214" s="18">
        <f>IF(AND($E214="",$F214=""),"",N($E214)-N($F214))</f>
        <v/>
      </c>
    </row>
    <row r="215">
      <c r="A215" s="15" t="n"/>
      <c r="B215" s="16">
        <f>IF($A215="","",TEXT($A215,"mmm"))</f>
        <v/>
      </c>
      <c r="C215" s="13" t="n"/>
      <c r="D215" s="13" t="n"/>
      <c r="E215" s="17" t="n"/>
      <c r="F215" s="17" t="n"/>
      <c r="G215" s="18">
        <f>IF(AND($E215="",$F215=""),"",N($E215)-N($F215))</f>
        <v/>
      </c>
    </row>
    <row r="216">
      <c r="A216" s="15" t="n"/>
      <c r="B216" s="16">
        <f>IF($A216="","",TEXT($A216,"mmm"))</f>
        <v/>
      </c>
      <c r="C216" s="13" t="n"/>
      <c r="D216" s="13" t="n"/>
      <c r="E216" s="17" t="n"/>
      <c r="F216" s="17" t="n"/>
      <c r="G216" s="18">
        <f>IF(AND($E216="",$F216=""),"",N($E216)-N($F216))</f>
        <v/>
      </c>
    </row>
    <row r="217">
      <c r="A217" s="15" t="n"/>
      <c r="B217" s="16">
        <f>IF($A217="","",TEXT($A217,"mmm"))</f>
        <v/>
      </c>
      <c r="C217" s="13" t="n"/>
      <c r="D217" s="13" t="n"/>
      <c r="E217" s="17" t="n"/>
      <c r="F217" s="17" t="n"/>
      <c r="G217" s="18">
        <f>IF(AND($E217="",$F217=""),"",N($E217)-N($F217))</f>
        <v/>
      </c>
    </row>
    <row r="218">
      <c r="A218" s="15" t="n"/>
      <c r="B218" s="16">
        <f>IF($A218="","",TEXT($A218,"mmm"))</f>
        <v/>
      </c>
      <c r="C218" s="13" t="n"/>
      <c r="D218" s="13" t="n"/>
      <c r="E218" s="17" t="n"/>
      <c r="F218" s="17" t="n"/>
      <c r="G218" s="18">
        <f>IF(AND($E218="",$F218=""),"",N($E218)-N($F218))</f>
        <v/>
      </c>
    </row>
    <row r="219">
      <c r="A219" s="15" t="n"/>
      <c r="B219" s="16">
        <f>IF($A219="","",TEXT($A219,"mmm"))</f>
        <v/>
      </c>
      <c r="C219" s="13" t="n"/>
      <c r="D219" s="13" t="n"/>
      <c r="E219" s="17" t="n"/>
      <c r="F219" s="17" t="n"/>
      <c r="G219" s="18">
        <f>IF(AND($E219="",$F219=""),"",N($E219)-N($F219))</f>
        <v/>
      </c>
    </row>
    <row r="220">
      <c r="A220" s="15" t="n"/>
      <c r="B220" s="16">
        <f>IF($A220="","",TEXT($A220,"mmm"))</f>
        <v/>
      </c>
      <c r="C220" s="13" t="n"/>
      <c r="D220" s="13" t="n"/>
      <c r="E220" s="17" t="n"/>
      <c r="F220" s="17" t="n"/>
      <c r="G220" s="18">
        <f>IF(AND($E220="",$F220=""),"",N($E220)-N($F220))</f>
        <v/>
      </c>
    </row>
    <row r="221">
      <c r="A221" s="15" t="n"/>
      <c r="B221" s="16">
        <f>IF($A221="","",TEXT($A221,"mmm"))</f>
        <v/>
      </c>
      <c r="C221" s="13" t="n"/>
      <c r="D221" s="13" t="n"/>
      <c r="E221" s="17" t="n"/>
      <c r="F221" s="17" t="n"/>
      <c r="G221" s="18">
        <f>IF(AND($E221="",$F221=""),"",N($E221)-N($F221))</f>
        <v/>
      </c>
    </row>
    <row r="222">
      <c r="A222" s="15" t="n"/>
      <c r="B222" s="16">
        <f>IF($A222="","",TEXT($A222,"mmm"))</f>
        <v/>
      </c>
      <c r="C222" s="13" t="n"/>
      <c r="D222" s="13" t="n"/>
      <c r="E222" s="17" t="n"/>
      <c r="F222" s="17" t="n"/>
      <c r="G222" s="18">
        <f>IF(AND($E222="",$F222=""),"",N($E222)-N($F222))</f>
        <v/>
      </c>
    </row>
    <row r="223">
      <c r="A223" s="15" t="n"/>
      <c r="B223" s="16">
        <f>IF($A223="","",TEXT($A223,"mmm"))</f>
        <v/>
      </c>
      <c r="C223" s="13" t="n"/>
      <c r="D223" s="13" t="n"/>
      <c r="E223" s="17" t="n"/>
      <c r="F223" s="17" t="n"/>
      <c r="G223" s="18">
        <f>IF(AND($E223="",$F223=""),"",N($E223)-N($F223))</f>
        <v/>
      </c>
    </row>
    <row r="224">
      <c r="A224" s="15" t="n"/>
      <c r="B224" s="16">
        <f>IF($A224="","",TEXT($A224,"mmm"))</f>
        <v/>
      </c>
      <c r="C224" s="13" t="n"/>
      <c r="D224" s="13" t="n"/>
      <c r="E224" s="17" t="n"/>
      <c r="F224" s="17" t="n"/>
      <c r="G224" s="18">
        <f>IF(AND($E224="",$F224=""),"",N($E224)-N($F224))</f>
        <v/>
      </c>
    </row>
    <row r="225">
      <c r="A225" s="15" t="n"/>
      <c r="B225" s="16">
        <f>IF($A225="","",TEXT($A225,"mmm"))</f>
        <v/>
      </c>
      <c r="C225" s="13" t="n"/>
      <c r="D225" s="13" t="n"/>
      <c r="E225" s="17" t="n"/>
      <c r="F225" s="17" t="n"/>
      <c r="G225" s="18">
        <f>IF(AND($E225="",$F225=""),"",N($E225)-N($F225))</f>
        <v/>
      </c>
    </row>
    <row r="226">
      <c r="A226" s="15" t="n"/>
      <c r="B226" s="16">
        <f>IF($A226="","",TEXT($A226,"mmm"))</f>
        <v/>
      </c>
      <c r="C226" s="13" t="n"/>
      <c r="D226" s="13" t="n"/>
      <c r="E226" s="17" t="n"/>
      <c r="F226" s="17" t="n"/>
      <c r="G226" s="18">
        <f>IF(AND($E226="",$F226=""),"",N($E226)-N($F226))</f>
        <v/>
      </c>
    </row>
    <row r="227">
      <c r="A227" s="15" t="n"/>
      <c r="B227" s="16">
        <f>IF($A227="","",TEXT($A227,"mmm"))</f>
        <v/>
      </c>
      <c r="C227" s="13" t="n"/>
      <c r="D227" s="13" t="n"/>
      <c r="E227" s="17" t="n"/>
      <c r="F227" s="17" t="n"/>
      <c r="G227" s="18">
        <f>IF(AND($E227="",$F227=""),"",N($E227)-N($F227))</f>
        <v/>
      </c>
    </row>
    <row r="228">
      <c r="A228" s="15" t="n"/>
      <c r="B228" s="16">
        <f>IF($A228="","",TEXT($A228,"mmm"))</f>
        <v/>
      </c>
      <c r="C228" s="13" t="n"/>
      <c r="D228" s="13" t="n"/>
      <c r="E228" s="17" t="n"/>
      <c r="F228" s="17" t="n"/>
      <c r="G228" s="18">
        <f>IF(AND($E228="",$F228=""),"",N($E228)-N($F228))</f>
        <v/>
      </c>
    </row>
    <row r="229">
      <c r="A229" s="15" t="n"/>
      <c r="B229" s="16">
        <f>IF($A229="","",TEXT($A229,"mmm"))</f>
        <v/>
      </c>
      <c r="C229" s="13" t="n"/>
      <c r="D229" s="13" t="n"/>
      <c r="E229" s="17" t="n"/>
      <c r="F229" s="17" t="n"/>
      <c r="G229" s="18">
        <f>IF(AND($E229="",$F229=""),"",N($E229)-N($F229))</f>
        <v/>
      </c>
    </row>
    <row r="230">
      <c r="A230" s="15" t="n"/>
      <c r="B230" s="16">
        <f>IF($A230="","",TEXT($A230,"mmm"))</f>
        <v/>
      </c>
      <c r="C230" s="13" t="n"/>
      <c r="D230" s="13" t="n"/>
      <c r="E230" s="17" t="n"/>
      <c r="F230" s="17" t="n"/>
      <c r="G230" s="18">
        <f>IF(AND($E230="",$F230=""),"",N($E230)-N($F230))</f>
        <v/>
      </c>
    </row>
    <row r="231">
      <c r="A231" s="15" t="n"/>
      <c r="B231" s="16">
        <f>IF($A231="","",TEXT($A231,"mmm"))</f>
        <v/>
      </c>
      <c r="C231" s="13" t="n"/>
      <c r="D231" s="13" t="n"/>
      <c r="E231" s="17" t="n"/>
      <c r="F231" s="17" t="n"/>
      <c r="G231" s="18">
        <f>IF(AND($E231="",$F231=""),"",N($E231)-N($F231))</f>
        <v/>
      </c>
    </row>
    <row r="232">
      <c r="A232" s="15" t="n"/>
      <c r="B232" s="16">
        <f>IF($A232="","",TEXT($A232,"mmm"))</f>
        <v/>
      </c>
      <c r="C232" s="13" t="n"/>
      <c r="D232" s="13" t="n"/>
      <c r="E232" s="17" t="n"/>
      <c r="F232" s="17" t="n"/>
      <c r="G232" s="18">
        <f>IF(AND($E232="",$F232=""),"",N($E232)-N($F232))</f>
        <v/>
      </c>
    </row>
    <row r="233">
      <c r="A233" s="15" t="n"/>
      <c r="B233" s="16">
        <f>IF($A233="","",TEXT($A233,"mmm"))</f>
        <v/>
      </c>
      <c r="C233" s="13" t="n"/>
      <c r="D233" s="13" t="n"/>
      <c r="E233" s="17" t="n"/>
      <c r="F233" s="17" t="n"/>
      <c r="G233" s="18">
        <f>IF(AND($E233="",$F233=""),"",N($E233)-N($F233))</f>
        <v/>
      </c>
    </row>
    <row r="234">
      <c r="A234" s="15" t="n"/>
      <c r="B234" s="16">
        <f>IF($A234="","",TEXT($A234,"mmm"))</f>
        <v/>
      </c>
      <c r="C234" s="13" t="n"/>
      <c r="D234" s="13" t="n"/>
      <c r="E234" s="17" t="n"/>
      <c r="F234" s="17" t="n"/>
      <c r="G234" s="18">
        <f>IF(AND($E234="",$F234=""),"",N($E234)-N($F234))</f>
        <v/>
      </c>
    </row>
    <row r="235">
      <c r="A235" s="15" t="n"/>
      <c r="B235" s="16">
        <f>IF($A235="","",TEXT($A235,"mmm"))</f>
        <v/>
      </c>
      <c r="C235" s="13" t="n"/>
      <c r="D235" s="13" t="n"/>
      <c r="E235" s="17" t="n"/>
      <c r="F235" s="17" t="n"/>
      <c r="G235" s="18">
        <f>IF(AND($E235="",$F235=""),"",N($E235)-N($F235))</f>
        <v/>
      </c>
    </row>
    <row r="236">
      <c r="A236" s="15" t="n"/>
      <c r="B236" s="16">
        <f>IF($A236="","",TEXT($A236,"mmm"))</f>
        <v/>
      </c>
      <c r="C236" s="13" t="n"/>
      <c r="D236" s="13" t="n"/>
      <c r="E236" s="17" t="n"/>
      <c r="F236" s="17" t="n"/>
      <c r="G236" s="18">
        <f>IF(AND($E236="",$F236=""),"",N($E236)-N($F236))</f>
        <v/>
      </c>
    </row>
    <row r="237">
      <c r="A237" s="15" t="n"/>
      <c r="B237" s="16">
        <f>IF($A237="","",TEXT($A237,"mmm"))</f>
        <v/>
      </c>
      <c r="C237" s="13" t="n"/>
      <c r="D237" s="13" t="n"/>
      <c r="E237" s="17" t="n"/>
      <c r="F237" s="17" t="n"/>
      <c r="G237" s="18">
        <f>IF(AND($E237="",$F237=""),"",N($E237)-N($F237))</f>
        <v/>
      </c>
    </row>
    <row r="238">
      <c r="A238" s="15" t="n"/>
      <c r="B238" s="16">
        <f>IF($A238="","",TEXT($A238,"mmm"))</f>
        <v/>
      </c>
      <c r="C238" s="13" t="n"/>
      <c r="D238" s="13" t="n"/>
      <c r="E238" s="17" t="n"/>
      <c r="F238" s="17" t="n"/>
      <c r="G238" s="18">
        <f>IF(AND($E238="",$F238=""),"",N($E238)-N($F238))</f>
        <v/>
      </c>
    </row>
    <row r="239">
      <c r="A239" s="15" t="n"/>
      <c r="B239" s="16">
        <f>IF($A239="","",TEXT($A239,"mmm"))</f>
        <v/>
      </c>
      <c r="C239" s="13" t="n"/>
      <c r="D239" s="13" t="n"/>
      <c r="E239" s="17" t="n"/>
      <c r="F239" s="17" t="n"/>
      <c r="G239" s="18">
        <f>IF(AND($E239="",$F239=""),"",N($E239)-N($F239))</f>
        <v/>
      </c>
    </row>
    <row r="240">
      <c r="A240" s="15" t="n"/>
      <c r="B240" s="16">
        <f>IF($A240="","",TEXT($A240,"mmm"))</f>
        <v/>
      </c>
      <c r="C240" s="13" t="n"/>
      <c r="D240" s="13" t="n"/>
      <c r="E240" s="17" t="n"/>
      <c r="F240" s="17" t="n"/>
      <c r="G240" s="18">
        <f>IF(AND($E240="",$F240=""),"",N($E240)-N($F240))</f>
        <v/>
      </c>
    </row>
    <row r="241">
      <c r="A241" s="15" t="n"/>
      <c r="B241" s="16">
        <f>IF($A241="","",TEXT($A241,"mmm"))</f>
        <v/>
      </c>
      <c r="C241" s="13" t="n"/>
      <c r="D241" s="13" t="n"/>
      <c r="E241" s="17" t="n"/>
      <c r="F241" s="17" t="n"/>
      <c r="G241" s="18">
        <f>IF(AND($E241="",$F241=""),"",N($E241)-N($F241))</f>
        <v/>
      </c>
    </row>
    <row r="242">
      <c r="A242" s="15" t="n"/>
      <c r="B242" s="16">
        <f>IF($A242="","",TEXT($A242,"mmm"))</f>
        <v/>
      </c>
      <c r="C242" s="13" t="n"/>
      <c r="D242" s="13" t="n"/>
      <c r="E242" s="17" t="n"/>
      <c r="F242" s="17" t="n"/>
      <c r="G242" s="18">
        <f>IF(AND($E242="",$F242=""),"",N($E242)-N($F242))</f>
        <v/>
      </c>
    </row>
    <row r="243">
      <c r="A243" s="15" t="n"/>
      <c r="B243" s="16">
        <f>IF($A243="","",TEXT($A243,"mmm"))</f>
        <v/>
      </c>
      <c r="C243" s="13" t="n"/>
      <c r="D243" s="13" t="n"/>
      <c r="E243" s="17" t="n"/>
      <c r="F243" s="17" t="n"/>
      <c r="G243" s="18">
        <f>IF(AND($E243="",$F243=""),"",N($E243)-N($F243))</f>
        <v/>
      </c>
    </row>
    <row r="244">
      <c r="A244" s="15" t="n"/>
      <c r="B244" s="16">
        <f>IF($A244="","",TEXT($A244,"mmm"))</f>
        <v/>
      </c>
      <c r="C244" s="13" t="n"/>
      <c r="D244" s="13" t="n"/>
      <c r="E244" s="17" t="n"/>
      <c r="F244" s="17" t="n"/>
      <c r="G244" s="18">
        <f>IF(AND($E244="",$F244=""),"",N($E244)-N($F244))</f>
        <v/>
      </c>
    </row>
    <row r="245">
      <c r="A245" s="15" t="n"/>
      <c r="B245" s="16">
        <f>IF($A245="","",TEXT($A245,"mmm"))</f>
        <v/>
      </c>
      <c r="C245" s="13" t="n"/>
      <c r="D245" s="13" t="n"/>
      <c r="E245" s="17" t="n"/>
      <c r="F245" s="17" t="n"/>
      <c r="G245" s="18">
        <f>IF(AND($E245="",$F245=""),"",N($E245)-N($F245))</f>
        <v/>
      </c>
    </row>
    <row r="246">
      <c r="A246" s="15" t="n"/>
      <c r="B246" s="16">
        <f>IF($A246="","",TEXT($A246,"mmm"))</f>
        <v/>
      </c>
      <c r="C246" s="13" t="n"/>
      <c r="D246" s="13" t="n"/>
      <c r="E246" s="17" t="n"/>
      <c r="F246" s="17" t="n"/>
      <c r="G246" s="18">
        <f>IF(AND($E246="",$F246=""),"",N($E246)-N($F246))</f>
        <v/>
      </c>
    </row>
    <row r="247">
      <c r="A247" s="15" t="n"/>
      <c r="B247" s="16">
        <f>IF($A247="","",TEXT($A247,"mmm"))</f>
        <v/>
      </c>
      <c r="C247" s="13" t="n"/>
      <c r="D247" s="13" t="n"/>
      <c r="E247" s="17" t="n"/>
      <c r="F247" s="17" t="n"/>
      <c r="G247" s="18">
        <f>IF(AND($E247="",$F247=""),"",N($E247)-N($F247))</f>
        <v/>
      </c>
    </row>
    <row r="248">
      <c r="A248" s="15" t="n"/>
      <c r="B248" s="16">
        <f>IF($A248="","",TEXT($A248,"mmm"))</f>
        <v/>
      </c>
      <c r="C248" s="13" t="n"/>
      <c r="D248" s="13" t="n"/>
      <c r="E248" s="17" t="n"/>
      <c r="F248" s="17" t="n"/>
      <c r="G248" s="18">
        <f>IF(AND($E248="",$F248=""),"",N($E248)-N($F248))</f>
        <v/>
      </c>
    </row>
    <row r="249">
      <c r="A249" s="15" t="n"/>
      <c r="B249" s="16">
        <f>IF($A249="","",TEXT($A249,"mmm"))</f>
        <v/>
      </c>
      <c r="C249" s="13" t="n"/>
      <c r="D249" s="13" t="n"/>
      <c r="E249" s="17" t="n"/>
      <c r="F249" s="17" t="n"/>
      <c r="G249" s="18">
        <f>IF(AND($E249="",$F249=""),"",N($E249)-N($F249))</f>
        <v/>
      </c>
    </row>
    <row r="250">
      <c r="A250" s="15" t="n"/>
      <c r="B250" s="16">
        <f>IF($A250="","",TEXT($A250,"mmm"))</f>
        <v/>
      </c>
      <c r="C250" s="13" t="n"/>
      <c r="D250" s="13" t="n"/>
      <c r="E250" s="17" t="n"/>
      <c r="F250" s="17" t="n"/>
      <c r="G250" s="18">
        <f>IF(AND($E250="",$F250=""),"",N($E250)-N($F250))</f>
        <v/>
      </c>
    </row>
    <row r="251">
      <c r="A251" s="15" t="n"/>
      <c r="B251" s="16">
        <f>IF($A251="","",TEXT($A251,"mmm"))</f>
        <v/>
      </c>
      <c r="C251" s="13" t="n"/>
      <c r="D251" s="13" t="n"/>
      <c r="E251" s="17" t="n"/>
      <c r="F251" s="17" t="n"/>
      <c r="G251" s="18">
        <f>IF(AND($E251="",$F251=""),"",N($E251)-N($F251))</f>
        <v/>
      </c>
    </row>
    <row r="252">
      <c r="A252" s="15" t="n"/>
      <c r="B252" s="16">
        <f>IF($A252="","",TEXT($A252,"mmm"))</f>
        <v/>
      </c>
      <c r="C252" s="13" t="n"/>
      <c r="D252" s="13" t="n"/>
      <c r="E252" s="17" t="n"/>
      <c r="F252" s="17" t="n"/>
      <c r="G252" s="18">
        <f>IF(AND($E252="",$F252=""),"",N($E252)-N($F252))</f>
        <v/>
      </c>
    </row>
    <row r="253">
      <c r="A253" s="15" t="n"/>
      <c r="B253" s="16">
        <f>IF($A253="","",TEXT($A253,"mmm"))</f>
        <v/>
      </c>
      <c r="C253" s="13" t="n"/>
      <c r="D253" s="13" t="n"/>
      <c r="E253" s="17" t="n"/>
      <c r="F253" s="17" t="n"/>
      <c r="G253" s="18">
        <f>IF(AND($E253="",$F253=""),"",N($E253)-N($F253))</f>
        <v/>
      </c>
    </row>
    <row r="254">
      <c r="A254" s="15" t="n"/>
      <c r="B254" s="16">
        <f>IF($A254="","",TEXT($A254,"mmm"))</f>
        <v/>
      </c>
      <c r="C254" s="13" t="n"/>
      <c r="D254" s="13" t="n"/>
      <c r="E254" s="17" t="n"/>
      <c r="F254" s="17" t="n"/>
      <c r="G254" s="18">
        <f>IF(AND($E254="",$F254=""),"",N($E254)-N($F254))</f>
        <v/>
      </c>
    </row>
    <row r="255">
      <c r="A255" s="15" t="n"/>
      <c r="B255" s="16">
        <f>IF($A255="","",TEXT($A255,"mmm"))</f>
        <v/>
      </c>
      <c r="C255" s="13" t="n"/>
      <c r="D255" s="13" t="n"/>
      <c r="E255" s="17" t="n"/>
      <c r="F255" s="17" t="n"/>
      <c r="G255" s="18">
        <f>IF(AND($E255="",$F255=""),"",N($E255)-N($F255))</f>
        <v/>
      </c>
    </row>
    <row r="256">
      <c r="A256" s="15" t="n"/>
      <c r="B256" s="16">
        <f>IF($A256="","",TEXT($A256,"mmm"))</f>
        <v/>
      </c>
      <c r="C256" s="13" t="n"/>
      <c r="D256" s="13" t="n"/>
      <c r="E256" s="17" t="n"/>
      <c r="F256" s="17" t="n"/>
      <c r="G256" s="18">
        <f>IF(AND($E256="",$F256=""),"",N($E256)-N($F256))</f>
        <v/>
      </c>
    </row>
    <row r="257">
      <c r="A257" s="15" t="n"/>
      <c r="B257" s="16">
        <f>IF($A257="","",TEXT($A257,"mmm"))</f>
        <v/>
      </c>
      <c r="C257" s="13" t="n"/>
      <c r="D257" s="13" t="n"/>
      <c r="E257" s="17" t="n"/>
      <c r="F257" s="17" t="n"/>
      <c r="G257" s="18">
        <f>IF(AND($E257="",$F257=""),"",N($E257)-N($F257))</f>
        <v/>
      </c>
    </row>
    <row r="258">
      <c r="A258" s="15" t="n"/>
      <c r="B258" s="16">
        <f>IF($A258="","",TEXT($A258,"mmm"))</f>
        <v/>
      </c>
      <c r="C258" s="13" t="n"/>
      <c r="D258" s="13" t="n"/>
      <c r="E258" s="17" t="n"/>
      <c r="F258" s="17" t="n"/>
      <c r="G258" s="18">
        <f>IF(AND($E258="",$F258=""),"",N($E258)-N($F258))</f>
        <v/>
      </c>
    </row>
    <row r="259">
      <c r="A259" s="15" t="n"/>
      <c r="B259" s="16">
        <f>IF($A259="","",TEXT($A259,"mmm"))</f>
        <v/>
      </c>
      <c r="C259" s="13" t="n"/>
      <c r="D259" s="13" t="n"/>
      <c r="E259" s="17" t="n"/>
      <c r="F259" s="17" t="n"/>
      <c r="G259" s="18">
        <f>IF(AND($E259="",$F259=""),"",N($E259)-N($F259))</f>
        <v/>
      </c>
    </row>
    <row r="260">
      <c r="A260" s="15" t="n"/>
      <c r="B260" s="16">
        <f>IF($A260="","",TEXT($A260,"mmm"))</f>
        <v/>
      </c>
      <c r="C260" s="13" t="n"/>
      <c r="D260" s="13" t="n"/>
      <c r="E260" s="17" t="n"/>
      <c r="F260" s="17" t="n"/>
      <c r="G260" s="18">
        <f>IF(AND($E260="",$F260=""),"",N($E260)-N($F260))</f>
        <v/>
      </c>
    </row>
    <row r="261">
      <c r="A261" s="15" t="n"/>
      <c r="B261" s="16">
        <f>IF($A261="","",TEXT($A261,"mmm"))</f>
        <v/>
      </c>
      <c r="C261" s="13" t="n"/>
      <c r="D261" s="13" t="n"/>
      <c r="E261" s="17" t="n"/>
      <c r="F261" s="17" t="n"/>
      <c r="G261" s="18">
        <f>IF(AND($E261="",$F261=""),"",N($E261)-N($F261))</f>
        <v/>
      </c>
    </row>
    <row r="262">
      <c r="A262" s="15" t="n"/>
      <c r="B262" s="16">
        <f>IF($A262="","",TEXT($A262,"mmm"))</f>
        <v/>
      </c>
      <c r="C262" s="13" t="n"/>
      <c r="D262" s="13" t="n"/>
      <c r="E262" s="17" t="n"/>
      <c r="F262" s="17" t="n"/>
      <c r="G262" s="18">
        <f>IF(AND($E262="",$F262=""),"",N($E262)-N($F262))</f>
        <v/>
      </c>
    </row>
    <row r="263">
      <c r="A263" s="15" t="n"/>
      <c r="B263" s="16">
        <f>IF($A263="","",TEXT($A263,"mmm"))</f>
        <v/>
      </c>
      <c r="C263" s="13" t="n"/>
      <c r="D263" s="13" t="n"/>
      <c r="E263" s="17" t="n"/>
      <c r="F263" s="17" t="n"/>
      <c r="G263" s="18">
        <f>IF(AND($E263="",$F263=""),"",N($E263)-N($F263))</f>
        <v/>
      </c>
    </row>
    <row r="264">
      <c r="A264" s="15" t="n"/>
      <c r="B264" s="16">
        <f>IF($A264="","",TEXT($A264,"mmm"))</f>
        <v/>
      </c>
      <c r="C264" s="13" t="n"/>
      <c r="D264" s="13" t="n"/>
      <c r="E264" s="17" t="n"/>
      <c r="F264" s="17" t="n"/>
      <c r="G264" s="18">
        <f>IF(AND($E264="",$F264=""),"",N($E264)-N($F264))</f>
        <v/>
      </c>
    </row>
    <row r="265">
      <c r="A265" s="15" t="n"/>
      <c r="B265" s="16">
        <f>IF($A265="","",TEXT($A265,"mmm"))</f>
        <v/>
      </c>
      <c r="C265" s="13" t="n"/>
      <c r="D265" s="13" t="n"/>
      <c r="E265" s="17" t="n"/>
      <c r="F265" s="17" t="n"/>
      <c r="G265" s="18">
        <f>IF(AND($E265="",$F265=""),"",N($E265)-N($F265))</f>
        <v/>
      </c>
    </row>
    <row r="266">
      <c r="A266" s="15" t="n"/>
      <c r="B266" s="16">
        <f>IF($A266="","",TEXT($A266,"mmm"))</f>
        <v/>
      </c>
      <c r="C266" s="13" t="n"/>
      <c r="D266" s="13" t="n"/>
      <c r="E266" s="17" t="n"/>
      <c r="F266" s="17" t="n"/>
      <c r="G266" s="18">
        <f>IF(AND($E266="",$F266=""),"",N($E266)-N($F266))</f>
        <v/>
      </c>
    </row>
    <row r="267">
      <c r="A267" s="15" t="n"/>
      <c r="B267" s="16">
        <f>IF($A267="","",TEXT($A267,"mmm"))</f>
        <v/>
      </c>
      <c r="C267" s="13" t="n"/>
      <c r="D267" s="13" t="n"/>
      <c r="E267" s="17" t="n"/>
      <c r="F267" s="17" t="n"/>
      <c r="G267" s="18">
        <f>IF(AND($E267="",$F267=""),"",N($E267)-N($F267))</f>
        <v/>
      </c>
    </row>
    <row r="268">
      <c r="A268" s="15" t="n"/>
      <c r="B268" s="16">
        <f>IF($A268="","",TEXT($A268,"mmm"))</f>
        <v/>
      </c>
      <c r="C268" s="13" t="n"/>
      <c r="D268" s="13" t="n"/>
      <c r="E268" s="17" t="n"/>
      <c r="F268" s="17" t="n"/>
      <c r="G268" s="18">
        <f>IF(AND($E268="",$F268=""),"",N($E268)-N($F268))</f>
        <v/>
      </c>
    </row>
    <row r="269">
      <c r="A269" s="15" t="n"/>
      <c r="B269" s="16">
        <f>IF($A269="","",TEXT($A269,"mmm"))</f>
        <v/>
      </c>
      <c r="C269" s="13" t="n"/>
      <c r="D269" s="13" t="n"/>
      <c r="E269" s="17" t="n"/>
      <c r="F269" s="17" t="n"/>
      <c r="G269" s="18">
        <f>IF(AND($E269="",$F269=""),"",N($E269)-N($F269))</f>
        <v/>
      </c>
    </row>
    <row r="270">
      <c r="A270" s="15" t="n"/>
      <c r="B270" s="16">
        <f>IF($A270="","",TEXT($A270,"mmm"))</f>
        <v/>
      </c>
      <c r="C270" s="13" t="n"/>
      <c r="D270" s="13" t="n"/>
      <c r="E270" s="17" t="n"/>
      <c r="F270" s="17" t="n"/>
      <c r="G270" s="18">
        <f>IF(AND($E270="",$F270=""),"",N($E270)-N($F270))</f>
        <v/>
      </c>
    </row>
    <row r="271">
      <c r="A271" s="15" t="n"/>
      <c r="B271" s="16">
        <f>IF($A271="","",TEXT($A271,"mmm"))</f>
        <v/>
      </c>
      <c r="C271" s="13" t="n"/>
      <c r="D271" s="13" t="n"/>
      <c r="E271" s="17" t="n"/>
      <c r="F271" s="17" t="n"/>
      <c r="G271" s="18">
        <f>IF(AND($E271="",$F271=""),"",N($E271)-N($F271))</f>
        <v/>
      </c>
    </row>
    <row r="272">
      <c r="A272" s="15" t="n"/>
      <c r="B272" s="16">
        <f>IF($A272="","",TEXT($A272,"mmm"))</f>
        <v/>
      </c>
      <c r="C272" s="13" t="n"/>
      <c r="D272" s="13" t="n"/>
      <c r="E272" s="17" t="n"/>
      <c r="F272" s="17" t="n"/>
      <c r="G272" s="18">
        <f>IF(AND($E272="",$F272=""),"",N($E272)-N($F272))</f>
        <v/>
      </c>
    </row>
    <row r="273">
      <c r="A273" s="15" t="n"/>
      <c r="B273" s="16">
        <f>IF($A273="","",TEXT($A273,"mmm"))</f>
        <v/>
      </c>
      <c r="C273" s="13" t="n"/>
      <c r="D273" s="13" t="n"/>
      <c r="E273" s="17" t="n"/>
      <c r="F273" s="17" t="n"/>
      <c r="G273" s="18">
        <f>IF(AND($E273="",$F273=""),"",N($E273)-N($F273))</f>
        <v/>
      </c>
    </row>
    <row r="274">
      <c r="A274" s="15" t="n"/>
      <c r="B274" s="16">
        <f>IF($A274="","",TEXT($A274,"mmm"))</f>
        <v/>
      </c>
      <c r="C274" s="13" t="n"/>
      <c r="D274" s="13" t="n"/>
      <c r="E274" s="17" t="n"/>
      <c r="F274" s="17" t="n"/>
      <c r="G274" s="18">
        <f>IF(AND($E274="",$F274=""),"",N($E274)-N($F274))</f>
        <v/>
      </c>
    </row>
    <row r="275">
      <c r="A275" s="15" t="n"/>
      <c r="B275" s="16">
        <f>IF($A275="","",TEXT($A275,"mmm"))</f>
        <v/>
      </c>
      <c r="C275" s="13" t="n"/>
      <c r="D275" s="13" t="n"/>
      <c r="E275" s="17" t="n"/>
      <c r="F275" s="17" t="n"/>
      <c r="G275" s="18">
        <f>IF(AND($E275="",$F275=""),"",N($E275)-N($F275))</f>
        <v/>
      </c>
    </row>
    <row r="276">
      <c r="A276" s="15" t="n"/>
      <c r="B276" s="16">
        <f>IF($A276="","",TEXT($A276,"mmm"))</f>
        <v/>
      </c>
      <c r="C276" s="13" t="n"/>
      <c r="D276" s="13" t="n"/>
      <c r="E276" s="17" t="n"/>
      <c r="F276" s="17" t="n"/>
      <c r="G276" s="18">
        <f>IF(AND($E276="",$F276=""),"",N($E276)-N($F276))</f>
        <v/>
      </c>
    </row>
    <row r="277">
      <c r="A277" s="15" t="n"/>
      <c r="B277" s="16">
        <f>IF($A277="","",TEXT($A277,"mmm"))</f>
        <v/>
      </c>
      <c r="C277" s="13" t="n"/>
      <c r="D277" s="13" t="n"/>
      <c r="E277" s="17" t="n"/>
      <c r="F277" s="17" t="n"/>
      <c r="G277" s="18">
        <f>IF(AND($E277="",$F277=""),"",N($E277)-N($F277))</f>
        <v/>
      </c>
    </row>
    <row r="278">
      <c r="A278" s="15" t="n"/>
      <c r="B278" s="16">
        <f>IF($A278="","",TEXT($A278,"mmm"))</f>
        <v/>
      </c>
      <c r="C278" s="13" t="n"/>
      <c r="D278" s="13" t="n"/>
      <c r="E278" s="17" t="n"/>
      <c r="F278" s="17" t="n"/>
      <c r="G278" s="18">
        <f>IF(AND($E278="",$F278=""),"",N($E278)-N($F278))</f>
        <v/>
      </c>
    </row>
    <row r="279">
      <c r="A279" s="15" t="n"/>
      <c r="B279" s="16">
        <f>IF($A279="","",TEXT($A279,"mmm"))</f>
        <v/>
      </c>
      <c r="C279" s="13" t="n"/>
      <c r="D279" s="13" t="n"/>
      <c r="E279" s="17" t="n"/>
      <c r="F279" s="17" t="n"/>
      <c r="G279" s="18">
        <f>IF(AND($E279="",$F279=""),"",N($E279)-N($F279))</f>
        <v/>
      </c>
    </row>
    <row r="280">
      <c r="A280" s="15" t="n"/>
      <c r="B280" s="16">
        <f>IF($A280="","",TEXT($A280,"mmm"))</f>
        <v/>
      </c>
      <c r="C280" s="13" t="n"/>
      <c r="D280" s="13" t="n"/>
      <c r="E280" s="17" t="n"/>
      <c r="F280" s="17" t="n"/>
      <c r="G280" s="18">
        <f>IF(AND($E280="",$F280=""),"",N($E280)-N($F280))</f>
        <v/>
      </c>
    </row>
    <row r="281">
      <c r="A281" s="15" t="n"/>
      <c r="B281" s="16">
        <f>IF($A281="","",TEXT($A281,"mmm"))</f>
        <v/>
      </c>
      <c r="C281" s="13" t="n"/>
      <c r="D281" s="13" t="n"/>
      <c r="E281" s="17" t="n"/>
      <c r="F281" s="17" t="n"/>
      <c r="G281" s="18">
        <f>IF(AND($E281="",$F281=""),"",N($E281)-N($F281))</f>
        <v/>
      </c>
    </row>
    <row r="282">
      <c r="A282" s="15" t="n"/>
      <c r="B282" s="16">
        <f>IF($A282="","",TEXT($A282,"mmm"))</f>
        <v/>
      </c>
      <c r="C282" s="13" t="n"/>
      <c r="D282" s="13" t="n"/>
      <c r="E282" s="17" t="n"/>
      <c r="F282" s="17" t="n"/>
      <c r="G282" s="18">
        <f>IF(AND($E282="",$F282=""),"",N($E282)-N($F282))</f>
        <v/>
      </c>
    </row>
    <row r="283">
      <c r="A283" s="15" t="n"/>
      <c r="B283" s="16">
        <f>IF($A283="","",TEXT($A283,"mmm"))</f>
        <v/>
      </c>
      <c r="C283" s="13" t="n"/>
      <c r="D283" s="13" t="n"/>
      <c r="E283" s="17" t="n"/>
      <c r="F283" s="17" t="n"/>
      <c r="G283" s="18">
        <f>IF(AND($E283="",$F283=""),"",N($E283)-N($F283))</f>
        <v/>
      </c>
    </row>
    <row r="284">
      <c r="A284" s="15" t="n"/>
      <c r="B284" s="16">
        <f>IF($A284="","",TEXT($A284,"mmm"))</f>
        <v/>
      </c>
      <c r="C284" s="13" t="n"/>
      <c r="D284" s="13" t="n"/>
      <c r="E284" s="17" t="n"/>
      <c r="F284" s="17" t="n"/>
      <c r="G284" s="18">
        <f>IF(AND($E284="",$F284=""),"",N($E284)-N($F284))</f>
        <v/>
      </c>
    </row>
    <row r="285">
      <c r="A285" s="15" t="n"/>
      <c r="B285" s="16">
        <f>IF($A285="","",TEXT($A285,"mmm"))</f>
        <v/>
      </c>
      <c r="C285" s="13" t="n"/>
      <c r="D285" s="13" t="n"/>
      <c r="E285" s="17" t="n"/>
      <c r="F285" s="17" t="n"/>
      <c r="G285" s="18">
        <f>IF(AND($E285="",$F285=""),"",N($E285)-N($F285))</f>
        <v/>
      </c>
    </row>
    <row r="286">
      <c r="A286" s="15" t="n"/>
      <c r="B286" s="16">
        <f>IF($A286="","",TEXT($A286,"mmm"))</f>
        <v/>
      </c>
      <c r="C286" s="13" t="n"/>
      <c r="D286" s="13" t="n"/>
      <c r="E286" s="17" t="n"/>
      <c r="F286" s="17" t="n"/>
      <c r="G286" s="18">
        <f>IF(AND($E286="",$F286=""),"",N($E286)-N($F286))</f>
        <v/>
      </c>
    </row>
    <row r="287">
      <c r="A287" s="15" t="n"/>
      <c r="B287" s="16">
        <f>IF($A287="","",TEXT($A287,"mmm"))</f>
        <v/>
      </c>
      <c r="C287" s="13" t="n"/>
      <c r="D287" s="13" t="n"/>
      <c r="E287" s="17" t="n"/>
      <c r="F287" s="17" t="n"/>
      <c r="G287" s="18">
        <f>IF(AND($E287="",$F287=""),"",N($E287)-N($F287))</f>
        <v/>
      </c>
    </row>
    <row r="288">
      <c r="A288" s="15" t="n"/>
      <c r="B288" s="16">
        <f>IF($A288="","",TEXT($A288,"mmm"))</f>
        <v/>
      </c>
      <c r="C288" s="13" t="n"/>
      <c r="D288" s="13" t="n"/>
      <c r="E288" s="17" t="n"/>
      <c r="F288" s="17" t="n"/>
      <c r="G288" s="18">
        <f>IF(AND($E288="",$F288=""),"",N($E288)-N($F288))</f>
        <v/>
      </c>
    </row>
    <row r="289">
      <c r="A289" s="15" t="n"/>
      <c r="B289" s="16">
        <f>IF($A289="","",TEXT($A289,"mmm"))</f>
        <v/>
      </c>
      <c r="C289" s="13" t="n"/>
      <c r="D289" s="13" t="n"/>
      <c r="E289" s="17" t="n"/>
      <c r="F289" s="17" t="n"/>
      <c r="G289" s="18">
        <f>IF(AND($E289="",$F289=""),"",N($E289)-N($F289))</f>
        <v/>
      </c>
    </row>
    <row r="290">
      <c r="A290" s="15" t="n"/>
      <c r="B290" s="16">
        <f>IF($A290="","",TEXT($A290,"mmm"))</f>
        <v/>
      </c>
      <c r="C290" s="13" t="n"/>
      <c r="D290" s="13" t="n"/>
      <c r="E290" s="17" t="n"/>
      <c r="F290" s="17" t="n"/>
      <c r="G290" s="18">
        <f>IF(AND($E290="",$F290=""),"",N($E290)-N($F290))</f>
        <v/>
      </c>
    </row>
    <row r="291">
      <c r="A291" s="15" t="n"/>
      <c r="B291" s="16">
        <f>IF($A291="","",TEXT($A291,"mmm"))</f>
        <v/>
      </c>
      <c r="C291" s="13" t="n"/>
      <c r="D291" s="13" t="n"/>
      <c r="E291" s="17" t="n"/>
      <c r="F291" s="17" t="n"/>
      <c r="G291" s="18">
        <f>IF(AND($E291="",$F291=""),"",N($E291)-N($F291))</f>
        <v/>
      </c>
    </row>
    <row r="292">
      <c r="A292" s="15" t="n"/>
      <c r="B292" s="16">
        <f>IF($A292="","",TEXT($A292,"mmm"))</f>
        <v/>
      </c>
      <c r="C292" s="13" t="n"/>
      <c r="D292" s="13" t="n"/>
      <c r="E292" s="17" t="n"/>
      <c r="F292" s="17" t="n"/>
      <c r="G292" s="18">
        <f>IF(AND($E292="",$F292=""),"",N($E292)-N($F292))</f>
        <v/>
      </c>
    </row>
    <row r="293">
      <c r="A293" s="15" t="n"/>
      <c r="B293" s="16">
        <f>IF($A293="","",TEXT($A293,"mmm"))</f>
        <v/>
      </c>
      <c r="C293" s="13" t="n"/>
      <c r="D293" s="13" t="n"/>
      <c r="E293" s="17" t="n"/>
      <c r="F293" s="17" t="n"/>
      <c r="G293" s="18">
        <f>IF(AND($E293="",$F293=""),"",N($E293)-N($F293))</f>
        <v/>
      </c>
    </row>
    <row r="294">
      <c r="A294" s="15" t="n"/>
      <c r="B294" s="16">
        <f>IF($A294="","",TEXT($A294,"mmm"))</f>
        <v/>
      </c>
      <c r="C294" s="13" t="n"/>
      <c r="D294" s="13" t="n"/>
      <c r="E294" s="17" t="n"/>
      <c r="F294" s="17" t="n"/>
      <c r="G294" s="18">
        <f>IF(AND($E294="",$F294=""),"",N($E294)-N($F294))</f>
        <v/>
      </c>
    </row>
    <row r="295">
      <c r="A295" s="15" t="n"/>
      <c r="B295" s="16">
        <f>IF($A295="","",TEXT($A295,"mmm"))</f>
        <v/>
      </c>
      <c r="C295" s="13" t="n"/>
      <c r="D295" s="13" t="n"/>
      <c r="E295" s="17" t="n"/>
      <c r="F295" s="17" t="n"/>
      <c r="G295" s="18">
        <f>IF(AND($E295="",$F295=""),"",N($E295)-N($F295))</f>
        <v/>
      </c>
    </row>
    <row r="296">
      <c r="A296" s="15" t="n"/>
      <c r="B296" s="16">
        <f>IF($A296="","",TEXT($A296,"mmm"))</f>
        <v/>
      </c>
      <c r="C296" s="13" t="n"/>
      <c r="D296" s="13" t="n"/>
      <c r="E296" s="17" t="n"/>
      <c r="F296" s="17" t="n"/>
      <c r="G296" s="18">
        <f>IF(AND($E296="",$F296=""),"",N($E296)-N($F296))</f>
        <v/>
      </c>
    </row>
    <row r="297">
      <c r="A297" s="15" t="n"/>
      <c r="B297" s="16">
        <f>IF($A297="","",TEXT($A297,"mmm"))</f>
        <v/>
      </c>
      <c r="C297" s="13" t="n"/>
      <c r="D297" s="13" t="n"/>
      <c r="E297" s="17" t="n"/>
      <c r="F297" s="17" t="n"/>
      <c r="G297" s="18">
        <f>IF(AND($E297="",$F297=""),"",N($E297)-N($F297))</f>
        <v/>
      </c>
    </row>
    <row r="298">
      <c r="A298" s="15" t="n"/>
      <c r="B298" s="16">
        <f>IF($A298="","",TEXT($A298,"mmm"))</f>
        <v/>
      </c>
      <c r="C298" s="13" t="n"/>
      <c r="D298" s="13" t="n"/>
      <c r="E298" s="17" t="n"/>
      <c r="F298" s="17" t="n"/>
      <c r="G298" s="18">
        <f>IF(AND($E298="",$F298=""),"",N($E298)-N($F298))</f>
        <v/>
      </c>
    </row>
    <row r="299">
      <c r="A299" s="15" t="n"/>
      <c r="B299" s="16">
        <f>IF($A299="","",TEXT($A299,"mmm"))</f>
        <v/>
      </c>
      <c r="C299" s="13" t="n"/>
      <c r="D299" s="13" t="n"/>
      <c r="E299" s="17" t="n"/>
      <c r="F299" s="17" t="n"/>
      <c r="G299" s="18">
        <f>IF(AND($E299="",$F299=""),"",N($E299)-N($F299))</f>
        <v/>
      </c>
    </row>
    <row r="300">
      <c r="A300" s="15" t="n"/>
      <c r="B300" s="16">
        <f>IF($A300="","",TEXT($A300,"mmm"))</f>
        <v/>
      </c>
      <c r="C300" s="13" t="n"/>
      <c r="D300" s="13" t="n"/>
      <c r="E300" s="17" t="n"/>
      <c r="F300" s="17" t="n"/>
      <c r="G300" s="18">
        <f>IF(AND($E300="",$F300=""),"",N($E300)-N($F300))</f>
        <v/>
      </c>
    </row>
    <row r="301">
      <c r="A301" s="15" t="n"/>
      <c r="B301" s="16">
        <f>IF($A301="","",TEXT($A301,"mmm"))</f>
        <v/>
      </c>
      <c r="C301" s="13" t="n"/>
      <c r="D301" s="13" t="n"/>
      <c r="E301" s="17" t="n"/>
      <c r="F301" s="17" t="n"/>
      <c r="G301" s="18">
        <f>IF(AND($E301="",$F301=""),"",N($E301)-N($F301))</f>
        <v/>
      </c>
    </row>
    <row r="302">
      <c r="A302" s="15" t="n"/>
      <c r="B302" s="16">
        <f>IF($A302="","",TEXT($A302,"mmm"))</f>
        <v/>
      </c>
      <c r="C302" s="13" t="n"/>
      <c r="D302" s="13" t="n"/>
      <c r="E302" s="17" t="n"/>
      <c r="F302" s="17" t="n"/>
      <c r="G302" s="18">
        <f>IF(AND($E302="",$F302=""),"",N($E302)-N($F302))</f>
        <v/>
      </c>
    </row>
    <row r="303">
      <c r="A303" s="15" t="n"/>
      <c r="B303" s="16">
        <f>IF($A303="","",TEXT($A303,"mmm"))</f>
        <v/>
      </c>
      <c r="C303" s="13" t="n"/>
      <c r="D303" s="13" t="n"/>
      <c r="E303" s="17" t="n"/>
      <c r="F303" s="17" t="n"/>
      <c r="G303" s="18">
        <f>IF(AND($E303="",$F303=""),"",N($E303)-N($F303))</f>
        <v/>
      </c>
    </row>
    <row r="304">
      <c r="A304" s="15" t="n"/>
      <c r="B304" s="16">
        <f>IF($A304="","",TEXT($A304,"mmm"))</f>
        <v/>
      </c>
      <c r="C304" s="13" t="n"/>
      <c r="D304" s="13" t="n"/>
      <c r="E304" s="17" t="n"/>
      <c r="F304" s="17" t="n"/>
      <c r="G304" s="18">
        <f>IF(AND($E304="",$F304=""),"",N($E304)-N($F304))</f>
        <v/>
      </c>
    </row>
    <row r="305">
      <c r="A305" s="15" t="n"/>
      <c r="B305" s="16">
        <f>IF($A305="","",TEXT($A305,"mmm"))</f>
        <v/>
      </c>
      <c r="C305" s="13" t="n"/>
      <c r="D305" s="13" t="n"/>
      <c r="E305" s="17" t="n"/>
      <c r="F305" s="17" t="n"/>
      <c r="G305" s="18">
        <f>IF(AND($E305="",$F305=""),"",N($E305)-N($F305))</f>
        <v/>
      </c>
    </row>
    <row r="306">
      <c r="A306" s="15" t="n"/>
      <c r="B306" s="16">
        <f>IF($A306="","",TEXT($A306,"mmm"))</f>
        <v/>
      </c>
      <c r="C306" s="13" t="n"/>
      <c r="D306" s="13" t="n"/>
      <c r="E306" s="17" t="n"/>
      <c r="F306" s="17" t="n"/>
      <c r="G306" s="18">
        <f>IF(AND($E306="",$F306=""),"",N($E306)-N($F306))</f>
        <v/>
      </c>
    </row>
    <row r="307">
      <c r="A307" s="15" t="n"/>
      <c r="B307" s="16">
        <f>IF($A307="","",TEXT($A307,"mmm"))</f>
        <v/>
      </c>
      <c r="C307" s="13" t="n"/>
      <c r="D307" s="13" t="n"/>
      <c r="E307" s="17" t="n"/>
      <c r="F307" s="17" t="n"/>
      <c r="G307" s="18">
        <f>IF(AND($E307="",$F307=""),"",N($E307)-N($F307))</f>
        <v/>
      </c>
    </row>
    <row r="308">
      <c r="A308" s="15" t="n"/>
      <c r="B308" s="16">
        <f>IF($A308="","",TEXT($A308,"mmm"))</f>
        <v/>
      </c>
      <c r="C308" s="13" t="n"/>
      <c r="D308" s="13" t="n"/>
      <c r="E308" s="17" t="n"/>
      <c r="F308" s="17" t="n"/>
      <c r="G308" s="18">
        <f>IF(AND($E308="",$F308=""),"",N($E308)-N($F308))</f>
        <v/>
      </c>
    </row>
    <row r="309">
      <c r="A309" s="15" t="n"/>
      <c r="B309" s="16">
        <f>IF($A309="","",TEXT($A309,"mmm"))</f>
        <v/>
      </c>
      <c r="C309" s="13" t="n"/>
      <c r="D309" s="13" t="n"/>
      <c r="E309" s="17" t="n"/>
      <c r="F309" s="17" t="n"/>
      <c r="G309" s="18">
        <f>IF(AND($E309="",$F309=""),"",N($E309)-N($F309))</f>
        <v/>
      </c>
    </row>
    <row r="310">
      <c r="A310" s="15" t="n"/>
      <c r="B310" s="16">
        <f>IF($A310="","",TEXT($A310,"mmm"))</f>
        <v/>
      </c>
      <c r="C310" s="13" t="n"/>
      <c r="D310" s="13" t="n"/>
      <c r="E310" s="17" t="n"/>
      <c r="F310" s="17" t="n"/>
      <c r="G310" s="18">
        <f>IF(AND($E310="",$F310=""),"",N($E310)-N($F310))</f>
        <v/>
      </c>
    </row>
    <row r="311">
      <c r="A311" s="15" t="n"/>
      <c r="B311" s="16">
        <f>IF($A311="","",TEXT($A311,"mmm"))</f>
        <v/>
      </c>
      <c r="C311" s="13" t="n"/>
      <c r="D311" s="13" t="n"/>
      <c r="E311" s="17" t="n"/>
      <c r="F311" s="17" t="n"/>
      <c r="G311" s="18">
        <f>IF(AND($E311="",$F311=""),"",N($E311)-N($F311))</f>
        <v/>
      </c>
    </row>
    <row r="312">
      <c r="A312" s="15" t="n"/>
      <c r="B312" s="16">
        <f>IF($A312="","",TEXT($A312,"mmm"))</f>
        <v/>
      </c>
      <c r="C312" s="13" t="n"/>
      <c r="D312" s="13" t="n"/>
      <c r="E312" s="17" t="n"/>
      <c r="F312" s="17" t="n"/>
      <c r="G312" s="18">
        <f>IF(AND($E312="",$F312=""),"",N($E312)-N($F312))</f>
        <v/>
      </c>
    </row>
    <row r="313">
      <c r="A313" s="15" t="n"/>
      <c r="B313" s="16">
        <f>IF($A313="","",TEXT($A313,"mmm"))</f>
        <v/>
      </c>
      <c r="C313" s="13" t="n"/>
      <c r="D313" s="13" t="n"/>
      <c r="E313" s="17" t="n"/>
      <c r="F313" s="17" t="n"/>
      <c r="G313" s="18">
        <f>IF(AND($E313="",$F313=""),"",N($E313)-N($F313))</f>
        <v/>
      </c>
    </row>
    <row r="314">
      <c r="A314" s="15" t="n"/>
      <c r="B314" s="16">
        <f>IF($A314="","",TEXT($A314,"mmm"))</f>
        <v/>
      </c>
      <c r="C314" s="13" t="n"/>
      <c r="D314" s="13" t="n"/>
      <c r="E314" s="17" t="n"/>
      <c r="F314" s="17" t="n"/>
      <c r="G314" s="18">
        <f>IF(AND($E314="",$F314=""),"",N($E314)-N($F314))</f>
        <v/>
      </c>
    </row>
    <row r="315">
      <c r="A315" s="15" t="n"/>
      <c r="B315" s="16">
        <f>IF($A315="","",TEXT($A315,"mmm"))</f>
        <v/>
      </c>
      <c r="C315" s="13" t="n"/>
      <c r="D315" s="13" t="n"/>
      <c r="E315" s="17" t="n"/>
      <c r="F315" s="17" t="n"/>
      <c r="G315" s="18">
        <f>IF(AND($E315="",$F315=""),"",N($E315)-N($F315))</f>
        <v/>
      </c>
    </row>
    <row r="316">
      <c r="A316" s="15" t="n"/>
      <c r="B316" s="16">
        <f>IF($A316="","",TEXT($A316,"mmm"))</f>
        <v/>
      </c>
      <c r="C316" s="13" t="n"/>
      <c r="D316" s="13" t="n"/>
      <c r="E316" s="17" t="n"/>
      <c r="F316" s="17" t="n"/>
      <c r="G316" s="18">
        <f>IF(AND($E316="",$F316=""),"",N($E316)-N($F316))</f>
        <v/>
      </c>
    </row>
    <row r="317">
      <c r="A317" s="15" t="n"/>
      <c r="B317" s="16">
        <f>IF($A317="","",TEXT($A317,"mmm"))</f>
        <v/>
      </c>
      <c r="C317" s="13" t="n"/>
      <c r="D317" s="13" t="n"/>
      <c r="E317" s="17" t="n"/>
      <c r="F317" s="17" t="n"/>
      <c r="G317" s="18">
        <f>IF(AND($E317="",$F317=""),"",N($E317)-N($F317))</f>
        <v/>
      </c>
    </row>
    <row r="318">
      <c r="A318" s="15" t="n"/>
      <c r="B318" s="16">
        <f>IF($A318="","",TEXT($A318,"mmm"))</f>
        <v/>
      </c>
      <c r="C318" s="13" t="n"/>
      <c r="D318" s="13" t="n"/>
      <c r="E318" s="17" t="n"/>
      <c r="F318" s="17" t="n"/>
      <c r="G318" s="18">
        <f>IF(AND($E318="",$F318=""),"",N($E318)-N($F318))</f>
        <v/>
      </c>
    </row>
    <row r="319">
      <c r="A319" s="15" t="n"/>
      <c r="B319" s="16">
        <f>IF($A319="","",TEXT($A319,"mmm"))</f>
        <v/>
      </c>
      <c r="C319" s="13" t="n"/>
      <c r="D319" s="13" t="n"/>
      <c r="E319" s="17" t="n"/>
      <c r="F319" s="17" t="n"/>
      <c r="G319" s="18">
        <f>IF(AND($E319="",$F319=""),"",N($E319)-N($F319))</f>
        <v/>
      </c>
    </row>
    <row r="320">
      <c r="A320" s="15" t="n"/>
      <c r="B320" s="16">
        <f>IF($A320="","",TEXT($A320,"mmm"))</f>
        <v/>
      </c>
      <c r="C320" s="13" t="n"/>
      <c r="D320" s="13" t="n"/>
      <c r="E320" s="17" t="n"/>
      <c r="F320" s="17" t="n"/>
      <c r="G320" s="18">
        <f>IF(AND($E320="",$F320=""),"",N($E320)-N($F320))</f>
        <v/>
      </c>
    </row>
    <row r="321">
      <c r="A321" s="15" t="n"/>
      <c r="B321" s="16">
        <f>IF($A321="","",TEXT($A321,"mmm"))</f>
        <v/>
      </c>
      <c r="C321" s="13" t="n"/>
      <c r="D321" s="13" t="n"/>
      <c r="E321" s="17" t="n"/>
      <c r="F321" s="17" t="n"/>
      <c r="G321" s="18">
        <f>IF(AND($E321="",$F321=""),"",N($E321)-N($F321))</f>
        <v/>
      </c>
    </row>
    <row r="322">
      <c r="A322" s="15" t="n"/>
      <c r="B322" s="16">
        <f>IF($A322="","",TEXT($A322,"mmm"))</f>
        <v/>
      </c>
      <c r="C322" s="13" t="n"/>
      <c r="D322" s="13" t="n"/>
      <c r="E322" s="17" t="n"/>
      <c r="F322" s="17" t="n"/>
      <c r="G322" s="18">
        <f>IF(AND($E322="",$F322=""),"",N($E322)-N($F322))</f>
        <v/>
      </c>
    </row>
    <row r="323">
      <c r="A323" s="15" t="n"/>
      <c r="B323" s="16">
        <f>IF($A323="","",TEXT($A323,"mmm"))</f>
        <v/>
      </c>
      <c r="C323" s="13" t="n"/>
      <c r="D323" s="13" t="n"/>
      <c r="E323" s="17" t="n"/>
      <c r="F323" s="17" t="n"/>
      <c r="G323" s="18">
        <f>IF(AND($E323="",$F323=""),"",N($E323)-N($F323))</f>
        <v/>
      </c>
    </row>
    <row r="324">
      <c r="A324" s="15" t="n"/>
      <c r="B324" s="16">
        <f>IF($A324="","",TEXT($A324,"mmm"))</f>
        <v/>
      </c>
      <c r="C324" s="13" t="n"/>
      <c r="D324" s="13" t="n"/>
      <c r="E324" s="17" t="n"/>
      <c r="F324" s="17" t="n"/>
      <c r="G324" s="18">
        <f>IF(AND($E324="",$F324=""),"",N($E324)-N($F324))</f>
        <v/>
      </c>
    </row>
    <row r="325">
      <c r="A325" s="15" t="n"/>
      <c r="B325" s="16">
        <f>IF($A325="","",TEXT($A325,"mmm"))</f>
        <v/>
      </c>
      <c r="C325" s="13" t="n"/>
      <c r="D325" s="13" t="n"/>
      <c r="E325" s="17" t="n"/>
      <c r="F325" s="17" t="n"/>
      <c r="G325" s="18">
        <f>IF(AND($E325="",$F325=""),"",N($E325)-N($F325))</f>
        <v/>
      </c>
    </row>
    <row r="326">
      <c r="A326" s="15" t="n"/>
      <c r="B326" s="16">
        <f>IF($A326="","",TEXT($A326,"mmm"))</f>
        <v/>
      </c>
      <c r="C326" s="13" t="n"/>
      <c r="D326" s="13" t="n"/>
      <c r="E326" s="17" t="n"/>
      <c r="F326" s="17" t="n"/>
      <c r="G326" s="18">
        <f>IF(AND($E326="",$F326=""),"",N($E326)-N($F326))</f>
        <v/>
      </c>
    </row>
    <row r="327">
      <c r="A327" s="15" t="n"/>
      <c r="B327" s="16">
        <f>IF($A327="","",TEXT($A327,"mmm"))</f>
        <v/>
      </c>
      <c r="C327" s="13" t="n"/>
      <c r="D327" s="13" t="n"/>
      <c r="E327" s="17" t="n"/>
      <c r="F327" s="17" t="n"/>
      <c r="G327" s="18">
        <f>IF(AND($E327="",$F327=""),"",N($E327)-N($F327))</f>
        <v/>
      </c>
    </row>
    <row r="328">
      <c r="A328" s="15" t="n"/>
      <c r="B328" s="16">
        <f>IF($A328="","",TEXT($A328,"mmm"))</f>
        <v/>
      </c>
      <c r="C328" s="13" t="n"/>
      <c r="D328" s="13" t="n"/>
      <c r="E328" s="17" t="n"/>
      <c r="F328" s="17" t="n"/>
      <c r="G328" s="18">
        <f>IF(AND($E328="",$F328=""),"",N($E328)-N($F328))</f>
        <v/>
      </c>
    </row>
    <row r="329">
      <c r="A329" s="15" t="n"/>
      <c r="B329" s="16">
        <f>IF($A329="","",TEXT($A329,"mmm"))</f>
        <v/>
      </c>
      <c r="C329" s="13" t="n"/>
      <c r="D329" s="13" t="n"/>
      <c r="E329" s="17" t="n"/>
      <c r="F329" s="17" t="n"/>
      <c r="G329" s="18">
        <f>IF(AND($E329="",$F329=""),"",N($E329)-N($F329))</f>
        <v/>
      </c>
    </row>
    <row r="330">
      <c r="A330" s="15" t="n"/>
      <c r="B330" s="16">
        <f>IF($A330="","",TEXT($A330,"mmm"))</f>
        <v/>
      </c>
      <c r="C330" s="13" t="n"/>
      <c r="D330" s="13" t="n"/>
      <c r="E330" s="17" t="n"/>
      <c r="F330" s="17" t="n"/>
      <c r="G330" s="18">
        <f>IF(AND($E330="",$F330=""),"",N($E330)-N($F330))</f>
        <v/>
      </c>
    </row>
    <row r="331">
      <c r="A331" s="15" t="n"/>
      <c r="B331" s="16">
        <f>IF($A331="","",TEXT($A331,"mmm"))</f>
        <v/>
      </c>
      <c r="C331" s="13" t="n"/>
      <c r="D331" s="13" t="n"/>
      <c r="E331" s="17" t="n"/>
      <c r="F331" s="17" t="n"/>
      <c r="G331" s="18">
        <f>IF(AND($E331="",$F331=""),"",N($E331)-N($F331))</f>
        <v/>
      </c>
    </row>
    <row r="332">
      <c r="A332" s="15" t="n"/>
      <c r="B332" s="16">
        <f>IF($A332="","",TEXT($A332,"mmm"))</f>
        <v/>
      </c>
      <c r="C332" s="13" t="n"/>
      <c r="D332" s="13" t="n"/>
      <c r="E332" s="17" t="n"/>
      <c r="F332" s="17" t="n"/>
      <c r="G332" s="18">
        <f>IF(AND($E332="",$F332=""),"",N($E332)-N($F332))</f>
        <v/>
      </c>
    </row>
    <row r="333">
      <c r="A333" s="15" t="n"/>
      <c r="B333" s="16">
        <f>IF($A333="","",TEXT($A333,"mmm"))</f>
        <v/>
      </c>
      <c r="C333" s="13" t="n"/>
      <c r="D333" s="13" t="n"/>
      <c r="E333" s="17" t="n"/>
      <c r="F333" s="17" t="n"/>
      <c r="G333" s="18">
        <f>IF(AND($E333="",$F333=""),"",N($E333)-N($F333))</f>
        <v/>
      </c>
    </row>
    <row r="334">
      <c r="A334" s="15" t="n"/>
      <c r="B334" s="16">
        <f>IF($A334="","",TEXT($A334,"mmm"))</f>
        <v/>
      </c>
      <c r="C334" s="13" t="n"/>
      <c r="D334" s="13" t="n"/>
      <c r="E334" s="17" t="n"/>
      <c r="F334" s="17" t="n"/>
      <c r="G334" s="18">
        <f>IF(AND($E334="",$F334=""),"",N($E334)-N($F334))</f>
        <v/>
      </c>
    </row>
    <row r="335">
      <c r="A335" s="15" t="n"/>
      <c r="B335" s="16">
        <f>IF($A335="","",TEXT($A335,"mmm"))</f>
        <v/>
      </c>
      <c r="C335" s="13" t="n"/>
      <c r="D335" s="13" t="n"/>
      <c r="E335" s="17" t="n"/>
      <c r="F335" s="17" t="n"/>
      <c r="G335" s="18">
        <f>IF(AND($E335="",$F335=""),"",N($E335)-N($F335))</f>
        <v/>
      </c>
    </row>
    <row r="336">
      <c r="A336" s="15" t="n"/>
      <c r="B336" s="16">
        <f>IF($A336="","",TEXT($A336,"mmm"))</f>
        <v/>
      </c>
      <c r="C336" s="13" t="n"/>
      <c r="D336" s="13" t="n"/>
      <c r="E336" s="17" t="n"/>
      <c r="F336" s="17" t="n"/>
      <c r="G336" s="18">
        <f>IF(AND($E336="",$F336=""),"",N($E336)-N($F336))</f>
        <v/>
      </c>
    </row>
    <row r="337">
      <c r="A337" s="15" t="n"/>
      <c r="B337" s="16">
        <f>IF($A337="","",TEXT($A337,"mmm"))</f>
        <v/>
      </c>
      <c r="C337" s="13" t="n"/>
      <c r="D337" s="13" t="n"/>
      <c r="E337" s="17" t="n"/>
      <c r="F337" s="17" t="n"/>
      <c r="G337" s="18">
        <f>IF(AND($E337="",$F337=""),"",N($E337)-N($F337))</f>
        <v/>
      </c>
    </row>
    <row r="338">
      <c r="A338" s="15" t="n"/>
      <c r="B338" s="16">
        <f>IF($A338="","",TEXT($A338,"mmm"))</f>
        <v/>
      </c>
      <c r="C338" s="13" t="n"/>
      <c r="D338" s="13" t="n"/>
      <c r="E338" s="17" t="n"/>
      <c r="F338" s="17" t="n"/>
      <c r="G338" s="18">
        <f>IF(AND($E338="",$F338=""),"",N($E338)-N($F338))</f>
        <v/>
      </c>
    </row>
    <row r="339">
      <c r="A339" s="15" t="n"/>
      <c r="B339" s="16">
        <f>IF($A339="","",TEXT($A339,"mmm"))</f>
        <v/>
      </c>
      <c r="C339" s="13" t="n"/>
      <c r="D339" s="13" t="n"/>
      <c r="E339" s="17" t="n"/>
      <c r="F339" s="17" t="n"/>
      <c r="G339" s="18">
        <f>IF(AND($E339="",$F339=""),"",N($E339)-N($F339))</f>
        <v/>
      </c>
    </row>
    <row r="340">
      <c r="A340" s="15" t="n"/>
      <c r="B340" s="16">
        <f>IF($A340="","",TEXT($A340,"mmm"))</f>
        <v/>
      </c>
      <c r="C340" s="13" t="n"/>
      <c r="D340" s="13" t="n"/>
      <c r="E340" s="17" t="n"/>
      <c r="F340" s="17" t="n"/>
      <c r="G340" s="18">
        <f>IF(AND($E340="",$F340=""),"",N($E340)-N($F340))</f>
        <v/>
      </c>
    </row>
    <row r="341">
      <c r="A341" s="15" t="n"/>
      <c r="B341" s="16">
        <f>IF($A341="","",TEXT($A341,"mmm"))</f>
        <v/>
      </c>
      <c r="C341" s="13" t="n"/>
      <c r="D341" s="13" t="n"/>
      <c r="E341" s="17" t="n"/>
      <c r="F341" s="17" t="n"/>
      <c r="G341" s="18">
        <f>IF(AND($E341="",$F341=""),"",N($E341)-N($F341))</f>
        <v/>
      </c>
    </row>
    <row r="342">
      <c r="A342" s="15" t="n"/>
      <c r="B342" s="16">
        <f>IF($A342="","",TEXT($A342,"mmm"))</f>
        <v/>
      </c>
      <c r="C342" s="13" t="n"/>
      <c r="D342" s="13" t="n"/>
      <c r="E342" s="17" t="n"/>
      <c r="F342" s="17" t="n"/>
      <c r="G342" s="18">
        <f>IF(AND($E342="",$F342=""),"",N($E342)-N($F342))</f>
        <v/>
      </c>
    </row>
    <row r="343">
      <c r="A343" s="15" t="n"/>
      <c r="B343" s="16">
        <f>IF($A343="","",TEXT($A343,"mmm"))</f>
        <v/>
      </c>
      <c r="C343" s="13" t="n"/>
      <c r="D343" s="13" t="n"/>
      <c r="E343" s="17" t="n"/>
      <c r="F343" s="17" t="n"/>
      <c r="G343" s="18">
        <f>IF(AND($E343="",$F343=""),"",N($E343)-N($F343))</f>
        <v/>
      </c>
    </row>
    <row r="344">
      <c r="A344" s="15" t="n"/>
      <c r="B344" s="16">
        <f>IF($A344="","",TEXT($A344,"mmm"))</f>
        <v/>
      </c>
      <c r="C344" s="13" t="n"/>
      <c r="D344" s="13" t="n"/>
      <c r="E344" s="17" t="n"/>
      <c r="F344" s="17" t="n"/>
      <c r="G344" s="18">
        <f>IF(AND($E344="",$F344=""),"",N($E344)-N($F344))</f>
        <v/>
      </c>
    </row>
    <row r="345">
      <c r="A345" s="15" t="n"/>
      <c r="B345" s="16">
        <f>IF($A345="","",TEXT($A345,"mmm"))</f>
        <v/>
      </c>
      <c r="C345" s="13" t="n"/>
      <c r="D345" s="13" t="n"/>
      <c r="E345" s="17" t="n"/>
      <c r="F345" s="17" t="n"/>
      <c r="G345" s="18">
        <f>IF(AND($E345="",$F345=""),"",N($E345)-N($F345))</f>
        <v/>
      </c>
    </row>
    <row r="346">
      <c r="A346" s="15" t="n"/>
      <c r="B346" s="16">
        <f>IF($A346="","",TEXT($A346,"mmm"))</f>
        <v/>
      </c>
      <c r="C346" s="13" t="n"/>
      <c r="D346" s="13" t="n"/>
      <c r="E346" s="17" t="n"/>
      <c r="F346" s="17" t="n"/>
      <c r="G346" s="18">
        <f>IF(AND($E346="",$F346=""),"",N($E346)-N($F346))</f>
        <v/>
      </c>
    </row>
    <row r="347">
      <c r="A347" s="15" t="n"/>
      <c r="B347" s="16">
        <f>IF($A347="","",TEXT($A347,"mmm"))</f>
        <v/>
      </c>
      <c r="C347" s="13" t="n"/>
      <c r="D347" s="13" t="n"/>
      <c r="E347" s="17" t="n"/>
      <c r="F347" s="17" t="n"/>
      <c r="G347" s="18">
        <f>IF(AND($E347="",$F347=""),"",N($E347)-N($F347))</f>
        <v/>
      </c>
    </row>
    <row r="348">
      <c r="A348" s="15" t="n"/>
      <c r="B348" s="16">
        <f>IF($A348="","",TEXT($A348,"mmm"))</f>
        <v/>
      </c>
      <c r="C348" s="13" t="n"/>
      <c r="D348" s="13" t="n"/>
      <c r="E348" s="17" t="n"/>
      <c r="F348" s="17" t="n"/>
      <c r="G348" s="18">
        <f>IF(AND($E348="",$F348=""),"",N($E348)-N($F348))</f>
        <v/>
      </c>
    </row>
    <row r="349">
      <c r="A349" s="15" t="n"/>
      <c r="B349" s="16">
        <f>IF($A349="","",TEXT($A349,"mmm"))</f>
        <v/>
      </c>
      <c r="C349" s="13" t="n"/>
      <c r="D349" s="13" t="n"/>
      <c r="E349" s="17" t="n"/>
      <c r="F349" s="17" t="n"/>
      <c r="G349" s="18">
        <f>IF(AND($E349="",$F349=""),"",N($E349)-N($F349))</f>
        <v/>
      </c>
    </row>
    <row r="350">
      <c r="A350" s="15" t="n"/>
      <c r="B350" s="16">
        <f>IF($A350="","",TEXT($A350,"mmm"))</f>
        <v/>
      </c>
      <c r="C350" s="13" t="n"/>
      <c r="D350" s="13" t="n"/>
      <c r="E350" s="17" t="n"/>
      <c r="F350" s="17" t="n"/>
      <c r="G350" s="18">
        <f>IF(AND($E350="",$F350=""),"",N($E350)-N($F350))</f>
        <v/>
      </c>
    </row>
    <row r="351">
      <c r="A351" s="15" t="n"/>
      <c r="B351" s="16">
        <f>IF($A351="","",TEXT($A351,"mmm"))</f>
        <v/>
      </c>
      <c r="C351" s="13" t="n"/>
      <c r="D351" s="13" t="n"/>
      <c r="E351" s="17" t="n"/>
      <c r="F351" s="17" t="n"/>
      <c r="G351" s="18">
        <f>IF(AND($E351="",$F351=""),"",N($E351)-N($F351))</f>
        <v/>
      </c>
    </row>
    <row r="352">
      <c r="A352" s="15" t="n"/>
      <c r="B352" s="16">
        <f>IF($A352="","",TEXT($A352,"mmm"))</f>
        <v/>
      </c>
      <c r="C352" s="13" t="n"/>
      <c r="D352" s="13" t="n"/>
      <c r="E352" s="17" t="n"/>
      <c r="F352" s="17" t="n"/>
      <c r="G352" s="18">
        <f>IF(AND($E352="",$F352=""),"",N($E352)-N($F352))</f>
        <v/>
      </c>
    </row>
    <row r="353">
      <c r="A353" s="15" t="n"/>
      <c r="B353" s="16">
        <f>IF($A353="","",TEXT($A353,"mmm"))</f>
        <v/>
      </c>
      <c r="C353" s="13" t="n"/>
      <c r="D353" s="13" t="n"/>
      <c r="E353" s="17" t="n"/>
      <c r="F353" s="17" t="n"/>
      <c r="G353" s="18">
        <f>IF(AND($E353="",$F353=""),"",N($E353)-N($F353))</f>
        <v/>
      </c>
    </row>
    <row r="354">
      <c r="A354" s="15" t="n"/>
      <c r="B354" s="16">
        <f>IF($A354="","",TEXT($A354,"mmm"))</f>
        <v/>
      </c>
      <c r="C354" s="13" t="n"/>
      <c r="D354" s="13" t="n"/>
      <c r="E354" s="17" t="n"/>
      <c r="F354" s="17" t="n"/>
      <c r="G354" s="18">
        <f>IF(AND($E354="",$F354=""),"",N($E354)-N($F354))</f>
        <v/>
      </c>
    </row>
    <row r="355">
      <c r="A355" s="15" t="n"/>
      <c r="B355" s="16">
        <f>IF($A355="","",TEXT($A355,"mmm"))</f>
        <v/>
      </c>
      <c r="C355" s="13" t="n"/>
      <c r="D355" s="13" t="n"/>
      <c r="E355" s="17" t="n"/>
      <c r="F355" s="17" t="n"/>
      <c r="G355" s="18">
        <f>IF(AND($E355="",$F355=""),"",N($E355)-N($F355))</f>
        <v/>
      </c>
    </row>
    <row r="356">
      <c r="A356" s="15" t="n"/>
      <c r="B356" s="16">
        <f>IF($A356="","",TEXT($A356,"mmm"))</f>
        <v/>
      </c>
      <c r="C356" s="13" t="n"/>
      <c r="D356" s="13" t="n"/>
      <c r="E356" s="17" t="n"/>
      <c r="F356" s="17" t="n"/>
      <c r="G356" s="18">
        <f>IF(AND($E356="",$F356=""),"",N($E356)-N($F356))</f>
        <v/>
      </c>
    </row>
    <row r="357">
      <c r="A357" s="15" t="n"/>
      <c r="B357" s="16">
        <f>IF($A357="","",TEXT($A357,"mmm"))</f>
        <v/>
      </c>
      <c r="C357" s="13" t="n"/>
      <c r="D357" s="13" t="n"/>
      <c r="E357" s="17" t="n"/>
      <c r="F357" s="17" t="n"/>
      <c r="G357" s="18">
        <f>IF(AND($E357="",$F357=""),"",N($E357)-N($F357))</f>
        <v/>
      </c>
    </row>
    <row r="358">
      <c r="A358" s="15" t="n"/>
      <c r="B358" s="16">
        <f>IF($A358="","",TEXT($A358,"mmm"))</f>
        <v/>
      </c>
      <c r="C358" s="13" t="n"/>
      <c r="D358" s="13" t="n"/>
      <c r="E358" s="17" t="n"/>
      <c r="F358" s="17" t="n"/>
      <c r="G358" s="18">
        <f>IF(AND($E358="",$F358=""),"",N($E358)-N($F358))</f>
        <v/>
      </c>
    </row>
    <row r="359">
      <c r="A359" s="15" t="n"/>
      <c r="B359" s="16">
        <f>IF($A359="","",TEXT($A359,"mmm"))</f>
        <v/>
      </c>
      <c r="C359" s="13" t="n"/>
      <c r="D359" s="13" t="n"/>
      <c r="E359" s="17" t="n"/>
      <c r="F359" s="17" t="n"/>
      <c r="G359" s="18">
        <f>IF(AND($E359="",$F359=""),"",N($E359)-N($F359))</f>
        <v/>
      </c>
    </row>
    <row r="360">
      <c r="A360" s="15" t="n"/>
      <c r="B360" s="16">
        <f>IF($A360="","",TEXT($A360,"mmm"))</f>
        <v/>
      </c>
      <c r="C360" s="13" t="n"/>
      <c r="D360" s="13" t="n"/>
      <c r="E360" s="17" t="n"/>
      <c r="F360" s="17" t="n"/>
      <c r="G360" s="18">
        <f>IF(AND($E360="",$F360=""),"",N($E360)-N($F360))</f>
        <v/>
      </c>
    </row>
    <row r="361">
      <c r="A361" s="15" t="n"/>
      <c r="B361" s="16">
        <f>IF($A361="","",TEXT($A361,"mmm"))</f>
        <v/>
      </c>
      <c r="C361" s="13" t="n"/>
      <c r="D361" s="13" t="n"/>
      <c r="E361" s="17" t="n"/>
      <c r="F361" s="17" t="n"/>
      <c r="G361" s="18">
        <f>IF(AND($E361="",$F361=""),"",N($E361)-N($F361))</f>
        <v/>
      </c>
    </row>
    <row r="362">
      <c r="A362" s="15" t="n"/>
      <c r="B362" s="16">
        <f>IF($A362="","",TEXT($A362,"mmm"))</f>
        <v/>
      </c>
      <c r="C362" s="13" t="n"/>
      <c r="D362" s="13" t="n"/>
      <c r="E362" s="17" t="n"/>
      <c r="F362" s="17" t="n"/>
      <c r="G362" s="18">
        <f>IF(AND($E362="",$F362=""),"",N($E362)-N($F362))</f>
        <v/>
      </c>
    </row>
    <row r="363">
      <c r="A363" s="15" t="n"/>
      <c r="B363" s="16">
        <f>IF($A363="","",TEXT($A363,"mmm"))</f>
        <v/>
      </c>
      <c r="C363" s="13" t="n"/>
      <c r="D363" s="13" t="n"/>
      <c r="E363" s="17" t="n"/>
      <c r="F363" s="17" t="n"/>
      <c r="G363" s="18">
        <f>IF(AND($E363="",$F363=""),"",N($E363)-N($F363))</f>
        <v/>
      </c>
    </row>
    <row r="364">
      <c r="A364" s="15" t="n"/>
      <c r="B364" s="16">
        <f>IF($A364="","",TEXT($A364,"mmm"))</f>
        <v/>
      </c>
      <c r="C364" s="13" t="n"/>
      <c r="D364" s="13" t="n"/>
      <c r="E364" s="17" t="n"/>
      <c r="F364" s="17" t="n"/>
      <c r="G364" s="18">
        <f>IF(AND($E364="",$F364=""),"",N($E364)-N($F364))</f>
        <v/>
      </c>
    </row>
    <row r="365">
      <c r="A365" s="15" t="n"/>
      <c r="B365" s="16">
        <f>IF($A365="","",TEXT($A365,"mmm"))</f>
        <v/>
      </c>
      <c r="C365" s="13" t="n"/>
      <c r="D365" s="13" t="n"/>
      <c r="E365" s="17" t="n"/>
      <c r="F365" s="17" t="n"/>
      <c r="G365" s="18">
        <f>IF(AND($E365="",$F365=""),"",N($E365)-N($F365))</f>
        <v/>
      </c>
    </row>
    <row r="366">
      <c r="A366" s="15" t="n"/>
      <c r="B366" s="16">
        <f>IF($A366="","",TEXT($A366,"mmm"))</f>
        <v/>
      </c>
      <c r="C366" s="13" t="n"/>
      <c r="D366" s="13" t="n"/>
      <c r="E366" s="17" t="n"/>
      <c r="F366" s="17" t="n"/>
      <c r="G366" s="18">
        <f>IF(AND($E366="",$F366=""),"",N($E366)-N($F366))</f>
        <v/>
      </c>
    </row>
    <row r="367">
      <c r="A367" s="15" t="n"/>
      <c r="B367" s="16">
        <f>IF($A367="","",TEXT($A367,"mmm"))</f>
        <v/>
      </c>
      <c r="C367" s="13" t="n"/>
      <c r="D367" s="13" t="n"/>
      <c r="E367" s="17" t="n"/>
      <c r="F367" s="17" t="n"/>
      <c r="G367" s="18">
        <f>IF(AND($E367="",$F367=""),"",N($E367)-N($F367))</f>
        <v/>
      </c>
    </row>
    <row r="368">
      <c r="A368" s="15" t="n"/>
      <c r="B368" s="16">
        <f>IF($A368="","",TEXT($A368,"mmm"))</f>
        <v/>
      </c>
      <c r="C368" s="13" t="n"/>
      <c r="D368" s="13" t="n"/>
      <c r="E368" s="17" t="n"/>
      <c r="F368" s="17" t="n"/>
      <c r="G368" s="18">
        <f>IF(AND($E368="",$F368=""),"",N($E368)-N($F368))</f>
        <v/>
      </c>
    </row>
    <row r="369">
      <c r="A369" s="15" t="n"/>
      <c r="B369" s="16">
        <f>IF($A369="","",TEXT($A369,"mmm"))</f>
        <v/>
      </c>
      <c r="C369" s="13" t="n"/>
      <c r="D369" s="13" t="n"/>
      <c r="E369" s="17" t="n"/>
      <c r="F369" s="17" t="n"/>
      <c r="G369" s="18">
        <f>IF(AND($E369="",$F369=""),"",N($E369)-N($F369))</f>
        <v/>
      </c>
    </row>
    <row r="370">
      <c r="A370" s="15" t="n"/>
      <c r="B370" s="16">
        <f>IF($A370="","",TEXT($A370,"mmm"))</f>
        <v/>
      </c>
      <c r="C370" s="13" t="n"/>
      <c r="D370" s="13" t="n"/>
      <c r="E370" s="17" t="n"/>
      <c r="F370" s="17" t="n"/>
      <c r="G370" s="18">
        <f>IF(AND($E370="",$F370=""),"",N($E370)-N($F370))</f>
        <v/>
      </c>
    </row>
    <row r="371">
      <c r="A371" s="15" t="n"/>
      <c r="B371" s="16">
        <f>IF($A371="","",TEXT($A371,"mmm"))</f>
        <v/>
      </c>
      <c r="C371" s="13" t="n"/>
      <c r="D371" s="13" t="n"/>
      <c r="E371" s="17" t="n"/>
      <c r="F371" s="17" t="n"/>
      <c r="G371" s="18">
        <f>IF(AND($E371="",$F371=""),"",N($E371)-N($F371))</f>
        <v/>
      </c>
    </row>
    <row r="372">
      <c r="A372" s="15" t="n"/>
      <c r="B372" s="16">
        <f>IF($A372="","",TEXT($A372,"mmm"))</f>
        <v/>
      </c>
      <c r="C372" s="13" t="n"/>
      <c r="D372" s="13" t="n"/>
      <c r="E372" s="17" t="n"/>
      <c r="F372" s="17" t="n"/>
      <c r="G372" s="18">
        <f>IF(AND($E372="",$F372=""),"",N($E372)-N($F372))</f>
        <v/>
      </c>
    </row>
    <row r="373">
      <c r="A373" s="15" t="n"/>
      <c r="B373" s="16">
        <f>IF($A373="","",TEXT($A373,"mmm"))</f>
        <v/>
      </c>
      <c r="C373" s="13" t="n"/>
      <c r="D373" s="13" t="n"/>
      <c r="E373" s="17" t="n"/>
      <c r="F373" s="17" t="n"/>
      <c r="G373" s="18">
        <f>IF(AND($E373="",$F373=""),"",N($E373)-N($F373))</f>
        <v/>
      </c>
    </row>
    <row r="374">
      <c r="A374" s="15" t="n"/>
      <c r="B374" s="16">
        <f>IF($A374="","",TEXT($A374,"mmm"))</f>
        <v/>
      </c>
      <c r="C374" s="13" t="n"/>
      <c r="D374" s="13" t="n"/>
      <c r="E374" s="17" t="n"/>
      <c r="F374" s="17" t="n"/>
      <c r="G374" s="18">
        <f>IF(AND($E374="",$F374=""),"",N($E374)-N($F374))</f>
        <v/>
      </c>
    </row>
    <row r="375">
      <c r="A375" s="15" t="n"/>
      <c r="B375" s="16">
        <f>IF($A375="","",TEXT($A375,"mmm"))</f>
        <v/>
      </c>
      <c r="C375" s="13" t="n"/>
      <c r="D375" s="13" t="n"/>
      <c r="E375" s="17" t="n"/>
      <c r="F375" s="17" t="n"/>
      <c r="G375" s="18">
        <f>IF(AND($E375="",$F375=""),"",N($E375)-N($F375))</f>
        <v/>
      </c>
    </row>
    <row r="376">
      <c r="A376" s="15" t="n"/>
      <c r="B376" s="16">
        <f>IF($A376="","",TEXT($A376,"mmm"))</f>
        <v/>
      </c>
      <c r="C376" s="13" t="n"/>
      <c r="D376" s="13" t="n"/>
      <c r="E376" s="17" t="n"/>
      <c r="F376" s="17" t="n"/>
      <c r="G376" s="18">
        <f>IF(AND($E376="",$F376=""),"",N($E376)-N($F376))</f>
        <v/>
      </c>
    </row>
    <row r="377">
      <c r="A377" s="15" t="n"/>
      <c r="B377" s="16">
        <f>IF($A377="","",TEXT($A377,"mmm"))</f>
        <v/>
      </c>
      <c r="C377" s="13" t="n"/>
      <c r="D377" s="13" t="n"/>
      <c r="E377" s="17" t="n"/>
      <c r="F377" s="17" t="n"/>
      <c r="G377" s="18">
        <f>IF(AND($E377="",$F377=""),"",N($E377)-N($F377))</f>
        <v/>
      </c>
    </row>
    <row r="378">
      <c r="A378" s="15" t="n"/>
      <c r="B378" s="16">
        <f>IF($A378="","",TEXT($A378,"mmm"))</f>
        <v/>
      </c>
      <c r="C378" s="13" t="n"/>
      <c r="D378" s="13" t="n"/>
      <c r="E378" s="17" t="n"/>
      <c r="F378" s="17" t="n"/>
      <c r="G378" s="18">
        <f>IF(AND($E378="",$F378=""),"",N($E378)-N($F378))</f>
        <v/>
      </c>
    </row>
    <row r="379">
      <c r="A379" s="15" t="n"/>
      <c r="B379" s="16">
        <f>IF($A379="","",TEXT($A379,"mmm"))</f>
        <v/>
      </c>
      <c r="C379" s="13" t="n"/>
      <c r="D379" s="13" t="n"/>
      <c r="E379" s="17" t="n"/>
      <c r="F379" s="17" t="n"/>
      <c r="G379" s="18">
        <f>IF(AND($E379="",$F379=""),"",N($E379)-N($F379))</f>
        <v/>
      </c>
    </row>
    <row r="380">
      <c r="A380" s="15" t="n"/>
      <c r="B380" s="16">
        <f>IF($A380="","",TEXT($A380,"mmm"))</f>
        <v/>
      </c>
      <c r="C380" s="13" t="n"/>
      <c r="D380" s="13" t="n"/>
      <c r="E380" s="17" t="n"/>
      <c r="F380" s="17" t="n"/>
      <c r="G380" s="18">
        <f>IF(AND($E380="",$F380=""),"",N($E380)-N($F380))</f>
        <v/>
      </c>
    </row>
    <row r="381">
      <c r="A381" s="15" t="n"/>
      <c r="B381" s="16">
        <f>IF($A381="","",TEXT($A381,"mmm"))</f>
        <v/>
      </c>
      <c r="C381" s="13" t="n"/>
      <c r="D381" s="13" t="n"/>
      <c r="E381" s="17" t="n"/>
      <c r="F381" s="17" t="n"/>
      <c r="G381" s="18">
        <f>IF(AND($E381="",$F381=""),"",N($E381)-N($F381))</f>
        <v/>
      </c>
    </row>
    <row r="382">
      <c r="A382" s="15" t="n"/>
      <c r="B382" s="16">
        <f>IF($A382="","",TEXT($A382,"mmm"))</f>
        <v/>
      </c>
      <c r="C382" s="13" t="n"/>
      <c r="D382" s="13" t="n"/>
      <c r="E382" s="17" t="n"/>
      <c r="F382" s="17" t="n"/>
      <c r="G382" s="18">
        <f>IF(AND($E382="",$F382=""),"",N($E382)-N($F382))</f>
        <v/>
      </c>
    </row>
    <row r="383">
      <c r="A383" s="15" t="n"/>
      <c r="B383" s="16">
        <f>IF($A383="","",TEXT($A383,"mmm"))</f>
        <v/>
      </c>
      <c r="C383" s="13" t="n"/>
      <c r="D383" s="13" t="n"/>
      <c r="E383" s="17" t="n"/>
      <c r="F383" s="17" t="n"/>
      <c r="G383" s="18">
        <f>IF(AND($E383="",$F383=""),"",N($E383)-N($F383))</f>
        <v/>
      </c>
    </row>
    <row r="384">
      <c r="A384" s="15" t="n"/>
      <c r="B384" s="16">
        <f>IF($A384="","",TEXT($A384,"mmm"))</f>
        <v/>
      </c>
      <c r="C384" s="13" t="n"/>
      <c r="D384" s="13" t="n"/>
      <c r="E384" s="17" t="n"/>
      <c r="F384" s="17" t="n"/>
      <c r="G384" s="18">
        <f>IF(AND($E384="",$F384=""),"",N($E384)-N($F384))</f>
        <v/>
      </c>
    </row>
    <row r="385">
      <c r="A385" s="15" t="n"/>
      <c r="B385" s="16">
        <f>IF($A385="","",TEXT($A385,"mmm"))</f>
        <v/>
      </c>
      <c r="C385" s="13" t="n"/>
      <c r="D385" s="13" t="n"/>
      <c r="E385" s="17" t="n"/>
      <c r="F385" s="17" t="n"/>
      <c r="G385" s="18">
        <f>IF(AND($E385="",$F385=""),"",N($E385)-N($F385))</f>
        <v/>
      </c>
    </row>
    <row r="386">
      <c r="A386" s="15" t="n"/>
      <c r="B386" s="16">
        <f>IF($A386="","",TEXT($A386,"mmm"))</f>
        <v/>
      </c>
      <c r="C386" s="13" t="n"/>
      <c r="D386" s="13" t="n"/>
      <c r="E386" s="17" t="n"/>
      <c r="F386" s="17" t="n"/>
      <c r="G386" s="18">
        <f>IF(AND($E386="",$F386=""),"",N($E386)-N($F386))</f>
        <v/>
      </c>
    </row>
    <row r="387">
      <c r="A387" s="15" t="n"/>
      <c r="B387" s="16">
        <f>IF($A387="","",TEXT($A387,"mmm"))</f>
        <v/>
      </c>
      <c r="C387" s="13" t="n"/>
      <c r="D387" s="13" t="n"/>
      <c r="E387" s="17" t="n"/>
      <c r="F387" s="17" t="n"/>
      <c r="G387" s="18">
        <f>IF(AND($E387="",$F387=""),"",N($E387)-N($F387))</f>
        <v/>
      </c>
    </row>
    <row r="388">
      <c r="A388" s="15" t="n"/>
      <c r="B388" s="16">
        <f>IF($A388="","",TEXT($A388,"mmm"))</f>
        <v/>
      </c>
      <c r="C388" s="13" t="n"/>
      <c r="D388" s="13" t="n"/>
      <c r="E388" s="17" t="n"/>
      <c r="F388" s="17" t="n"/>
      <c r="G388" s="18">
        <f>IF(AND($E388="",$F388=""),"",N($E388)-N($F388))</f>
        <v/>
      </c>
    </row>
    <row r="389">
      <c r="A389" s="15" t="n"/>
      <c r="B389" s="16">
        <f>IF($A389="","",TEXT($A389,"mmm"))</f>
        <v/>
      </c>
      <c r="C389" s="13" t="n"/>
      <c r="D389" s="13" t="n"/>
      <c r="E389" s="17" t="n"/>
      <c r="F389" s="17" t="n"/>
      <c r="G389" s="18">
        <f>IF(AND($E389="",$F389=""),"",N($E389)-N($F389))</f>
        <v/>
      </c>
    </row>
    <row r="390">
      <c r="A390" s="15" t="n"/>
      <c r="B390" s="16">
        <f>IF($A390="","",TEXT($A390,"mmm"))</f>
        <v/>
      </c>
      <c r="C390" s="13" t="n"/>
      <c r="D390" s="13" t="n"/>
      <c r="E390" s="17" t="n"/>
      <c r="F390" s="17" t="n"/>
      <c r="G390" s="18">
        <f>IF(AND($E390="",$F390=""),"",N($E390)-N($F390))</f>
        <v/>
      </c>
    </row>
    <row r="391">
      <c r="A391" s="15" t="n"/>
      <c r="B391" s="16">
        <f>IF($A391="","",TEXT($A391,"mmm"))</f>
        <v/>
      </c>
      <c r="C391" s="13" t="n"/>
      <c r="D391" s="13" t="n"/>
      <c r="E391" s="17" t="n"/>
      <c r="F391" s="17" t="n"/>
      <c r="G391" s="18">
        <f>IF(AND($E391="",$F391=""),"",N($E391)-N($F391))</f>
        <v/>
      </c>
    </row>
    <row r="392">
      <c r="A392" s="15" t="n"/>
      <c r="B392" s="16">
        <f>IF($A392="","",TEXT($A392,"mmm"))</f>
        <v/>
      </c>
      <c r="C392" s="13" t="n"/>
      <c r="D392" s="13" t="n"/>
      <c r="E392" s="17" t="n"/>
      <c r="F392" s="17" t="n"/>
      <c r="G392" s="18">
        <f>IF(AND($E392="",$F392=""),"",N($E392)-N($F392))</f>
        <v/>
      </c>
    </row>
    <row r="393">
      <c r="A393" s="15" t="n"/>
      <c r="B393" s="16">
        <f>IF($A393="","",TEXT($A393,"mmm"))</f>
        <v/>
      </c>
      <c r="C393" s="13" t="n"/>
      <c r="D393" s="13" t="n"/>
      <c r="E393" s="17" t="n"/>
      <c r="F393" s="17" t="n"/>
      <c r="G393" s="18">
        <f>IF(AND($E393="",$F393=""),"",N($E393)-N($F393))</f>
        <v/>
      </c>
    </row>
    <row r="394">
      <c r="A394" s="15" t="n"/>
      <c r="B394" s="16">
        <f>IF($A394="","",TEXT($A394,"mmm"))</f>
        <v/>
      </c>
      <c r="C394" s="13" t="n"/>
      <c r="D394" s="13" t="n"/>
      <c r="E394" s="17" t="n"/>
      <c r="F394" s="17" t="n"/>
      <c r="G394" s="18">
        <f>IF(AND($E394="",$F394=""),"",N($E394)-N($F394))</f>
        <v/>
      </c>
    </row>
    <row r="395">
      <c r="A395" s="15" t="n"/>
      <c r="B395" s="16">
        <f>IF($A395="","",TEXT($A395,"mmm"))</f>
        <v/>
      </c>
      <c r="C395" s="13" t="n"/>
      <c r="D395" s="13" t="n"/>
      <c r="E395" s="17" t="n"/>
      <c r="F395" s="17" t="n"/>
      <c r="G395" s="18">
        <f>IF(AND($E395="",$F395=""),"",N($E395)-N($F395))</f>
        <v/>
      </c>
    </row>
    <row r="396">
      <c r="A396" s="15" t="n"/>
      <c r="B396" s="16">
        <f>IF($A396="","",TEXT($A396,"mmm"))</f>
        <v/>
      </c>
      <c r="C396" s="13" t="n"/>
      <c r="D396" s="13" t="n"/>
      <c r="E396" s="17" t="n"/>
      <c r="F396" s="17" t="n"/>
      <c r="G396" s="18">
        <f>IF(AND($E396="",$F396=""),"",N($E396)-N($F396))</f>
        <v/>
      </c>
    </row>
    <row r="397">
      <c r="A397" s="15" t="n"/>
      <c r="B397" s="16">
        <f>IF($A397="","",TEXT($A397,"mmm"))</f>
        <v/>
      </c>
      <c r="C397" s="13" t="n"/>
      <c r="D397" s="13" t="n"/>
      <c r="E397" s="17" t="n"/>
      <c r="F397" s="17" t="n"/>
      <c r="G397" s="18">
        <f>IF(AND($E397="",$F397=""),"",N($E397)-N($F397))</f>
        <v/>
      </c>
    </row>
    <row r="398">
      <c r="A398" s="15" t="n"/>
      <c r="B398" s="16">
        <f>IF($A398="","",TEXT($A398,"mmm"))</f>
        <v/>
      </c>
      <c r="C398" s="13" t="n"/>
      <c r="D398" s="13" t="n"/>
      <c r="E398" s="17" t="n"/>
      <c r="F398" s="17" t="n"/>
      <c r="G398" s="18">
        <f>IF(AND($E398="",$F398=""),"",N($E398)-N($F398))</f>
        <v/>
      </c>
    </row>
    <row r="399">
      <c r="A399" s="15" t="n"/>
      <c r="B399" s="16">
        <f>IF($A399="","",TEXT($A399,"mmm"))</f>
        <v/>
      </c>
      <c r="C399" s="13" t="n"/>
      <c r="D399" s="13" t="n"/>
      <c r="E399" s="17" t="n"/>
      <c r="F399" s="17" t="n"/>
      <c r="G399" s="18">
        <f>IF(AND($E399="",$F399=""),"",N($E399)-N($F399))</f>
        <v/>
      </c>
    </row>
    <row r="400">
      <c r="A400" s="15" t="n"/>
      <c r="B400" s="16">
        <f>IF($A400="","",TEXT($A400,"mmm"))</f>
        <v/>
      </c>
      <c r="C400" s="13" t="n"/>
      <c r="D400" s="13" t="n"/>
      <c r="E400" s="17" t="n"/>
      <c r="F400" s="17" t="n"/>
      <c r="G400" s="18">
        <f>IF(AND($E400="",$F400=""),"",N($E400)-N($F400))</f>
        <v/>
      </c>
    </row>
    <row r="401">
      <c r="A401" s="15" t="n"/>
      <c r="B401" s="16">
        <f>IF($A401="","",TEXT($A401,"mmm"))</f>
        <v/>
      </c>
      <c r="C401" s="13" t="n"/>
      <c r="D401" s="13" t="n"/>
      <c r="E401" s="17" t="n"/>
      <c r="F401" s="17" t="n"/>
      <c r="G401" s="18">
        <f>IF(AND($E401="",$F401=""),"",N($E401)-N($F401))</f>
        <v/>
      </c>
    </row>
    <row r="402">
      <c r="A402" s="15" t="n"/>
      <c r="B402" s="16">
        <f>IF($A402="","",TEXT($A402,"mmm"))</f>
        <v/>
      </c>
      <c r="C402" s="13" t="n"/>
      <c r="D402" s="13" t="n"/>
      <c r="E402" s="17" t="n"/>
      <c r="F402" s="17" t="n"/>
      <c r="G402" s="18">
        <f>IF(AND($E402="",$F402=""),"",N($E402)-N($F402))</f>
        <v/>
      </c>
    </row>
    <row r="403">
      <c r="A403" s="15" t="n"/>
      <c r="B403" s="16">
        <f>IF($A403="","",TEXT($A403,"mmm"))</f>
        <v/>
      </c>
      <c r="C403" s="13" t="n"/>
      <c r="D403" s="13" t="n"/>
      <c r="E403" s="17" t="n"/>
      <c r="F403" s="17" t="n"/>
      <c r="G403" s="18">
        <f>IF(AND($E403="",$F403=""),"",N($E403)-N($F403))</f>
        <v/>
      </c>
    </row>
    <row r="404">
      <c r="A404" s="15" t="n"/>
      <c r="B404" s="16">
        <f>IF($A404="","",TEXT($A404,"mmm"))</f>
        <v/>
      </c>
      <c r="C404" s="13" t="n"/>
      <c r="D404" s="13" t="n"/>
      <c r="E404" s="17" t="n"/>
      <c r="F404" s="17" t="n"/>
      <c r="G404" s="18">
        <f>IF(AND($E404="",$F404=""),"",N($E404)-N($F404))</f>
        <v/>
      </c>
    </row>
    <row r="405">
      <c r="A405" s="15" t="n"/>
      <c r="B405" s="16">
        <f>IF($A405="","",TEXT($A405,"mmm"))</f>
        <v/>
      </c>
      <c r="C405" s="13" t="n"/>
      <c r="D405" s="13" t="n"/>
      <c r="E405" s="17" t="n"/>
      <c r="F405" s="17" t="n"/>
      <c r="G405" s="18">
        <f>IF(AND($E405="",$F405=""),"",N($E405)-N($F405))</f>
        <v/>
      </c>
    </row>
    <row r="406">
      <c r="A406" s="15" t="n"/>
      <c r="B406" s="16">
        <f>IF($A406="","",TEXT($A406,"mmm"))</f>
        <v/>
      </c>
      <c r="C406" s="13" t="n"/>
      <c r="D406" s="13" t="n"/>
      <c r="E406" s="17" t="n"/>
      <c r="F406" s="17" t="n"/>
      <c r="G406" s="18">
        <f>IF(AND($E406="",$F406=""),"",N($E406)-N($F406))</f>
        <v/>
      </c>
    </row>
    <row r="407">
      <c r="A407" s="15" t="n"/>
      <c r="B407" s="16">
        <f>IF($A407="","",TEXT($A407,"mmm"))</f>
        <v/>
      </c>
      <c r="C407" s="13" t="n"/>
      <c r="D407" s="13" t="n"/>
      <c r="E407" s="17" t="n"/>
      <c r="F407" s="17" t="n"/>
      <c r="G407" s="18">
        <f>IF(AND($E407="",$F407=""),"",N($E407)-N($F407))</f>
        <v/>
      </c>
    </row>
    <row r="408">
      <c r="A408" s="15" t="n"/>
      <c r="B408" s="16">
        <f>IF($A408="","",TEXT($A408,"mmm"))</f>
        <v/>
      </c>
      <c r="C408" s="13" t="n"/>
      <c r="D408" s="13" t="n"/>
      <c r="E408" s="17" t="n"/>
      <c r="F408" s="17" t="n"/>
      <c r="G408" s="18">
        <f>IF(AND($E408="",$F408=""),"",N($E408)-N($F408))</f>
        <v/>
      </c>
    </row>
    <row r="409">
      <c r="A409" s="15" t="n"/>
      <c r="B409" s="16">
        <f>IF($A409="","",TEXT($A409,"mmm"))</f>
        <v/>
      </c>
      <c r="C409" s="13" t="n"/>
      <c r="D409" s="13" t="n"/>
      <c r="E409" s="17" t="n"/>
      <c r="F409" s="17" t="n"/>
      <c r="G409" s="18">
        <f>IF(AND($E409="",$F409=""),"",N($E409)-N($F409))</f>
        <v/>
      </c>
    </row>
    <row r="410">
      <c r="A410" s="15" t="n"/>
      <c r="B410" s="16">
        <f>IF($A410="","",TEXT($A410,"mmm"))</f>
        <v/>
      </c>
      <c r="C410" s="13" t="n"/>
      <c r="D410" s="13" t="n"/>
      <c r="E410" s="17" t="n"/>
      <c r="F410" s="17" t="n"/>
      <c r="G410" s="18">
        <f>IF(AND($E410="",$F410=""),"",N($E410)-N($F410))</f>
        <v/>
      </c>
    </row>
    <row r="411">
      <c r="A411" s="15" t="n"/>
      <c r="B411" s="16">
        <f>IF($A411="","",TEXT($A411,"mmm"))</f>
        <v/>
      </c>
      <c r="C411" s="13" t="n"/>
      <c r="D411" s="13" t="n"/>
      <c r="E411" s="17" t="n"/>
      <c r="F411" s="17" t="n"/>
      <c r="G411" s="18">
        <f>IF(AND($E411="",$F411=""),"",N($E411)-N($F411))</f>
        <v/>
      </c>
    </row>
    <row r="412">
      <c r="A412" s="15" t="n"/>
      <c r="B412" s="16">
        <f>IF($A412="","",TEXT($A412,"mmm"))</f>
        <v/>
      </c>
      <c r="C412" s="13" t="n"/>
      <c r="D412" s="13" t="n"/>
      <c r="E412" s="17" t="n"/>
      <c r="F412" s="17" t="n"/>
      <c r="G412" s="18">
        <f>IF(AND($E412="",$F412=""),"",N($E412)-N($F412))</f>
        <v/>
      </c>
    </row>
    <row r="413">
      <c r="A413" s="15" t="n"/>
      <c r="B413" s="16">
        <f>IF($A413="","",TEXT($A413,"mmm"))</f>
        <v/>
      </c>
      <c r="C413" s="13" t="n"/>
      <c r="D413" s="13" t="n"/>
      <c r="E413" s="17" t="n"/>
      <c r="F413" s="17" t="n"/>
      <c r="G413" s="18">
        <f>IF(AND($E413="",$F413=""),"",N($E413)-N($F413))</f>
        <v/>
      </c>
    </row>
    <row r="414">
      <c r="A414" s="15" t="n"/>
      <c r="B414" s="16">
        <f>IF($A414="","",TEXT($A414,"mmm"))</f>
        <v/>
      </c>
      <c r="C414" s="13" t="n"/>
      <c r="D414" s="13" t="n"/>
      <c r="E414" s="17" t="n"/>
      <c r="F414" s="17" t="n"/>
      <c r="G414" s="18">
        <f>IF(AND($E414="",$F414=""),"",N($E414)-N($F414))</f>
        <v/>
      </c>
    </row>
    <row r="415">
      <c r="A415" s="15" t="n"/>
      <c r="B415" s="16">
        <f>IF($A415="","",TEXT($A415,"mmm"))</f>
        <v/>
      </c>
      <c r="C415" s="13" t="n"/>
      <c r="D415" s="13" t="n"/>
      <c r="E415" s="17" t="n"/>
      <c r="F415" s="17" t="n"/>
      <c r="G415" s="18">
        <f>IF(AND($E415="",$F415=""),"",N($E415)-N($F415))</f>
        <v/>
      </c>
    </row>
    <row r="416">
      <c r="A416" s="15" t="n"/>
      <c r="B416" s="16">
        <f>IF($A416="","",TEXT($A416,"mmm"))</f>
        <v/>
      </c>
      <c r="C416" s="13" t="n"/>
      <c r="D416" s="13" t="n"/>
      <c r="E416" s="17" t="n"/>
      <c r="F416" s="17" t="n"/>
      <c r="G416" s="18">
        <f>IF(AND($E416="",$F416=""),"",N($E416)-N($F416))</f>
        <v/>
      </c>
    </row>
    <row r="417">
      <c r="A417" s="15" t="n"/>
      <c r="B417" s="16">
        <f>IF($A417="","",TEXT($A417,"mmm"))</f>
        <v/>
      </c>
      <c r="C417" s="13" t="n"/>
      <c r="D417" s="13" t="n"/>
      <c r="E417" s="17" t="n"/>
      <c r="F417" s="17" t="n"/>
      <c r="G417" s="18">
        <f>IF(AND($E417="",$F417=""),"",N($E417)-N($F417))</f>
        <v/>
      </c>
    </row>
    <row r="418">
      <c r="A418" s="15" t="n"/>
      <c r="B418" s="16">
        <f>IF($A418="","",TEXT($A418,"mmm"))</f>
        <v/>
      </c>
      <c r="C418" s="13" t="n"/>
      <c r="D418" s="13" t="n"/>
      <c r="E418" s="17" t="n"/>
      <c r="F418" s="17" t="n"/>
      <c r="G418" s="18">
        <f>IF(AND($E418="",$F418=""),"",N($E418)-N($F418))</f>
        <v/>
      </c>
    </row>
    <row r="419">
      <c r="A419" s="15" t="n"/>
      <c r="B419" s="16">
        <f>IF($A419="","",TEXT($A419,"mmm"))</f>
        <v/>
      </c>
      <c r="C419" s="13" t="n"/>
      <c r="D419" s="13" t="n"/>
      <c r="E419" s="17" t="n"/>
      <c r="F419" s="17" t="n"/>
      <c r="G419" s="18">
        <f>IF(AND($E419="",$F419=""),"",N($E419)-N($F419))</f>
        <v/>
      </c>
    </row>
    <row r="420">
      <c r="A420" s="15" t="n"/>
      <c r="B420" s="16">
        <f>IF($A420="","",TEXT($A420,"mmm"))</f>
        <v/>
      </c>
      <c r="C420" s="13" t="n"/>
      <c r="D420" s="13" t="n"/>
      <c r="E420" s="17" t="n"/>
      <c r="F420" s="17" t="n"/>
      <c r="G420" s="18">
        <f>IF(AND($E420="",$F420=""),"",N($E420)-N($F420))</f>
        <v/>
      </c>
    </row>
    <row r="421">
      <c r="A421" s="15" t="n"/>
      <c r="B421" s="16">
        <f>IF($A421="","",TEXT($A421,"mmm"))</f>
        <v/>
      </c>
      <c r="C421" s="13" t="n"/>
      <c r="D421" s="13" t="n"/>
      <c r="E421" s="17" t="n"/>
      <c r="F421" s="17" t="n"/>
      <c r="G421" s="18">
        <f>IF(AND($E421="",$F421=""),"",N($E421)-N($F421))</f>
        <v/>
      </c>
    </row>
    <row r="422">
      <c r="A422" s="15" t="n"/>
      <c r="B422" s="16">
        <f>IF($A422="","",TEXT($A422,"mmm"))</f>
        <v/>
      </c>
      <c r="C422" s="13" t="n"/>
      <c r="D422" s="13" t="n"/>
      <c r="E422" s="17" t="n"/>
      <c r="F422" s="17" t="n"/>
      <c r="G422" s="18">
        <f>IF(AND($E422="",$F422=""),"",N($E422)-N($F422))</f>
        <v/>
      </c>
    </row>
    <row r="423">
      <c r="A423" s="15" t="n"/>
      <c r="B423" s="16">
        <f>IF($A423="","",TEXT($A423,"mmm"))</f>
        <v/>
      </c>
      <c r="C423" s="13" t="n"/>
      <c r="D423" s="13" t="n"/>
      <c r="E423" s="17" t="n"/>
      <c r="F423" s="17" t="n"/>
      <c r="G423" s="18">
        <f>IF(AND($E423="",$F423=""),"",N($E423)-N($F423))</f>
        <v/>
      </c>
    </row>
    <row r="424">
      <c r="A424" s="15" t="n"/>
      <c r="B424" s="16">
        <f>IF($A424="","",TEXT($A424,"mmm"))</f>
        <v/>
      </c>
      <c r="C424" s="13" t="n"/>
      <c r="D424" s="13" t="n"/>
      <c r="E424" s="17" t="n"/>
      <c r="F424" s="17" t="n"/>
      <c r="G424" s="18">
        <f>IF(AND($E424="",$F424=""),"",N($E424)-N($F424))</f>
        <v/>
      </c>
    </row>
    <row r="425">
      <c r="A425" s="15" t="n"/>
      <c r="B425" s="16">
        <f>IF($A425="","",TEXT($A425,"mmm"))</f>
        <v/>
      </c>
      <c r="C425" s="13" t="n"/>
      <c r="D425" s="13" t="n"/>
      <c r="E425" s="17" t="n"/>
      <c r="F425" s="17" t="n"/>
      <c r="G425" s="18">
        <f>IF(AND($E425="",$F425=""),"",N($E425)-N($F425))</f>
        <v/>
      </c>
    </row>
    <row r="426">
      <c r="A426" s="15" t="n"/>
      <c r="B426" s="16">
        <f>IF($A426="","",TEXT($A426,"mmm"))</f>
        <v/>
      </c>
      <c r="C426" s="13" t="n"/>
      <c r="D426" s="13" t="n"/>
      <c r="E426" s="17" t="n"/>
      <c r="F426" s="17" t="n"/>
      <c r="G426" s="18">
        <f>IF(AND($E426="",$F426=""),"",N($E426)-N($F426))</f>
        <v/>
      </c>
    </row>
    <row r="427">
      <c r="A427" s="15" t="n"/>
      <c r="B427" s="16">
        <f>IF($A427="","",TEXT($A427,"mmm"))</f>
        <v/>
      </c>
      <c r="C427" s="13" t="n"/>
      <c r="D427" s="13" t="n"/>
      <c r="E427" s="17" t="n"/>
      <c r="F427" s="17" t="n"/>
      <c r="G427" s="18">
        <f>IF(AND($E427="",$F427=""),"",N($E427)-N($F427))</f>
        <v/>
      </c>
    </row>
    <row r="428">
      <c r="A428" s="15" t="n"/>
      <c r="B428" s="16">
        <f>IF($A428="","",TEXT($A428,"mmm"))</f>
        <v/>
      </c>
      <c r="C428" s="13" t="n"/>
      <c r="D428" s="13" t="n"/>
      <c r="E428" s="17" t="n"/>
      <c r="F428" s="17" t="n"/>
      <c r="G428" s="18">
        <f>IF(AND($E428="",$F428=""),"",N($E428)-N($F428))</f>
        <v/>
      </c>
    </row>
    <row r="429">
      <c r="A429" s="15" t="n"/>
      <c r="B429" s="16">
        <f>IF($A429="","",TEXT($A429,"mmm"))</f>
        <v/>
      </c>
      <c r="C429" s="13" t="n"/>
      <c r="D429" s="13" t="n"/>
      <c r="E429" s="17" t="n"/>
      <c r="F429" s="17" t="n"/>
      <c r="G429" s="18">
        <f>IF(AND($E429="",$F429=""),"",N($E429)-N($F429))</f>
        <v/>
      </c>
    </row>
    <row r="430">
      <c r="A430" s="15" t="n"/>
      <c r="B430" s="16">
        <f>IF($A430="","",TEXT($A430,"mmm"))</f>
        <v/>
      </c>
      <c r="C430" s="13" t="n"/>
      <c r="D430" s="13" t="n"/>
      <c r="E430" s="17" t="n"/>
      <c r="F430" s="17" t="n"/>
      <c r="G430" s="18">
        <f>IF(AND($E430="",$F430=""),"",N($E430)-N($F430))</f>
        <v/>
      </c>
    </row>
    <row r="431">
      <c r="A431" s="15" t="n"/>
      <c r="B431" s="16">
        <f>IF($A431="","",TEXT($A431,"mmm"))</f>
        <v/>
      </c>
      <c r="C431" s="13" t="n"/>
      <c r="D431" s="13" t="n"/>
      <c r="E431" s="17" t="n"/>
      <c r="F431" s="17" t="n"/>
      <c r="G431" s="18">
        <f>IF(AND($E431="",$F431=""),"",N($E431)-N($F431))</f>
        <v/>
      </c>
    </row>
    <row r="432">
      <c r="A432" s="15" t="n"/>
      <c r="B432" s="16">
        <f>IF($A432="","",TEXT($A432,"mmm"))</f>
        <v/>
      </c>
      <c r="C432" s="13" t="n"/>
      <c r="D432" s="13" t="n"/>
      <c r="E432" s="17" t="n"/>
      <c r="F432" s="17" t="n"/>
      <c r="G432" s="18">
        <f>IF(AND($E432="",$F432=""),"",N($E432)-N($F432))</f>
        <v/>
      </c>
    </row>
    <row r="433">
      <c r="A433" s="15" t="n"/>
      <c r="B433" s="16">
        <f>IF($A433="","",TEXT($A433,"mmm"))</f>
        <v/>
      </c>
      <c r="C433" s="13" t="n"/>
      <c r="D433" s="13" t="n"/>
      <c r="E433" s="17" t="n"/>
      <c r="F433" s="17" t="n"/>
      <c r="G433" s="18">
        <f>IF(AND($E433="",$F433=""),"",N($E433)-N($F433))</f>
        <v/>
      </c>
    </row>
    <row r="434">
      <c r="A434" s="15" t="n"/>
      <c r="B434" s="16">
        <f>IF($A434="","",TEXT($A434,"mmm"))</f>
        <v/>
      </c>
      <c r="C434" s="13" t="n"/>
      <c r="D434" s="13" t="n"/>
      <c r="E434" s="17" t="n"/>
      <c r="F434" s="17" t="n"/>
      <c r="G434" s="18">
        <f>IF(AND($E434="",$F434=""),"",N($E434)-N($F434))</f>
        <v/>
      </c>
    </row>
    <row r="435">
      <c r="A435" s="15" t="n"/>
      <c r="B435" s="16">
        <f>IF($A435="","",TEXT($A435,"mmm"))</f>
        <v/>
      </c>
      <c r="C435" s="13" t="n"/>
      <c r="D435" s="13" t="n"/>
      <c r="E435" s="17" t="n"/>
      <c r="F435" s="17" t="n"/>
      <c r="G435" s="18">
        <f>IF(AND($E435="",$F435=""),"",N($E435)-N($F435))</f>
        <v/>
      </c>
    </row>
    <row r="436">
      <c r="A436" s="15" t="n"/>
      <c r="B436" s="16">
        <f>IF($A436="","",TEXT($A436,"mmm"))</f>
        <v/>
      </c>
      <c r="C436" s="13" t="n"/>
      <c r="D436" s="13" t="n"/>
      <c r="E436" s="17" t="n"/>
      <c r="F436" s="17" t="n"/>
      <c r="G436" s="18">
        <f>IF(AND($E436="",$F436=""),"",N($E436)-N($F436))</f>
        <v/>
      </c>
    </row>
    <row r="437">
      <c r="A437" s="15" t="n"/>
      <c r="B437" s="16">
        <f>IF($A437="","",TEXT($A437,"mmm"))</f>
        <v/>
      </c>
      <c r="C437" s="13" t="n"/>
      <c r="D437" s="13" t="n"/>
      <c r="E437" s="17" t="n"/>
      <c r="F437" s="17" t="n"/>
      <c r="G437" s="18">
        <f>IF(AND($E437="",$F437=""),"",N($E437)-N($F437))</f>
        <v/>
      </c>
    </row>
    <row r="438">
      <c r="A438" s="15" t="n"/>
      <c r="B438" s="16">
        <f>IF($A438="","",TEXT($A438,"mmm"))</f>
        <v/>
      </c>
      <c r="C438" s="13" t="n"/>
      <c r="D438" s="13" t="n"/>
      <c r="E438" s="17" t="n"/>
      <c r="F438" s="17" t="n"/>
      <c r="G438" s="18">
        <f>IF(AND($E438="",$F438=""),"",N($E438)-N($F438))</f>
        <v/>
      </c>
    </row>
    <row r="439">
      <c r="A439" s="15" t="n"/>
      <c r="B439" s="16">
        <f>IF($A439="","",TEXT($A439,"mmm"))</f>
        <v/>
      </c>
      <c r="C439" s="13" t="n"/>
      <c r="D439" s="13" t="n"/>
      <c r="E439" s="17" t="n"/>
      <c r="F439" s="17" t="n"/>
      <c r="G439" s="18">
        <f>IF(AND($E439="",$F439=""),"",N($E439)-N($F439))</f>
        <v/>
      </c>
    </row>
    <row r="440">
      <c r="A440" s="15" t="n"/>
      <c r="B440" s="16">
        <f>IF($A440="","",TEXT($A440,"mmm"))</f>
        <v/>
      </c>
      <c r="C440" s="13" t="n"/>
      <c r="D440" s="13" t="n"/>
      <c r="E440" s="17" t="n"/>
      <c r="F440" s="17" t="n"/>
      <c r="G440" s="18">
        <f>IF(AND($E440="",$F440=""),"",N($E440)-N($F440))</f>
        <v/>
      </c>
    </row>
    <row r="441">
      <c r="A441" s="15" t="n"/>
      <c r="B441" s="16">
        <f>IF($A441="","",TEXT($A441,"mmm"))</f>
        <v/>
      </c>
      <c r="C441" s="13" t="n"/>
      <c r="D441" s="13" t="n"/>
      <c r="E441" s="17" t="n"/>
      <c r="F441" s="17" t="n"/>
      <c r="G441" s="18">
        <f>IF(AND($E441="",$F441=""),"",N($E441)-N($F441))</f>
        <v/>
      </c>
    </row>
    <row r="442">
      <c r="A442" s="15" t="n"/>
      <c r="B442" s="16">
        <f>IF($A442="","",TEXT($A442,"mmm"))</f>
        <v/>
      </c>
      <c r="C442" s="13" t="n"/>
      <c r="D442" s="13" t="n"/>
      <c r="E442" s="17" t="n"/>
      <c r="F442" s="17" t="n"/>
      <c r="G442" s="18">
        <f>IF(AND($E442="",$F442=""),"",N($E442)-N($F442))</f>
        <v/>
      </c>
    </row>
    <row r="443">
      <c r="A443" s="15" t="n"/>
      <c r="B443" s="16">
        <f>IF($A443="","",TEXT($A443,"mmm"))</f>
        <v/>
      </c>
      <c r="C443" s="13" t="n"/>
      <c r="D443" s="13" t="n"/>
      <c r="E443" s="17" t="n"/>
      <c r="F443" s="17" t="n"/>
      <c r="G443" s="18">
        <f>IF(AND($E443="",$F443=""),"",N($E443)-N($F443))</f>
        <v/>
      </c>
    </row>
    <row r="444">
      <c r="A444" s="15" t="n"/>
      <c r="B444" s="16">
        <f>IF($A444="","",TEXT($A444,"mmm"))</f>
        <v/>
      </c>
      <c r="C444" s="13" t="n"/>
      <c r="D444" s="13" t="n"/>
      <c r="E444" s="17" t="n"/>
      <c r="F444" s="17" t="n"/>
      <c r="G444" s="18">
        <f>IF(AND($E444="",$F444=""),"",N($E444)-N($F444))</f>
        <v/>
      </c>
    </row>
    <row r="445">
      <c r="A445" s="15" t="n"/>
      <c r="B445" s="16">
        <f>IF($A445="","",TEXT($A445,"mmm"))</f>
        <v/>
      </c>
      <c r="C445" s="13" t="n"/>
      <c r="D445" s="13" t="n"/>
      <c r="E445" s="17" t="n"/>
      <c r="F445" s="17" t="n"/>
      <c r="G445" s="18">
        <f>IF(AND($E445="",$F445=""),"",N($E445)-N($F445))</f>
        <v/>
      </c>
    </row>
    <row r="446">
      <c r="A446" s="15" t="n"/>
      <c r="B446" s="16">
        <f>IF($A446="","",TEXT($A446,"mmm"))</f>
        <v/>
      </c>
      <c r="C446" s="13" t="n"/>
      <c r="D446" s="13" t="n"/>
      <c r="E446" s="17" t="n"/>
      <c r="F446" s="17" t="n"/>
      <c r="G446" s="18">
        <f>IF(AND($E446="",$F446=""),"",N($E446)-N($F446))</f>
        <v/>
      </c>
    </row>
    <row r="447">
      <c r="A447" s="15" t="n"/>
      <c r="B447" s="16">
        <f>IF($A447="","",TEXT($A447,"mmm"))</f>
        <v/>
      </c>
      <c r="C447" s="13" t="n"/>
      <c r="D447" s="13" t="n"/>
      <c r="E447" s="17" t="n"/>
      <c r="F447" s="17" t="n"/>
      <c r="G447" s="18">
        <f>IF(AND($E447="",$F447=""),"",N($E447)-N($F447))</f>
        <v/>
      </c>
    </row>
    <row r="448">
      <c r="A448" s="15" t="n"/>
      <c r="B448" s="16">
        <f>IF($A448="","",TEXT($A448,"mmm"))</f>
        <v/>
      </c>
      <c r="C448" s="13" t="n"/>
      <c r="D448" s="13" t="n"/>
      <c r="E448" s="17" t="n"/>
      <c r="F448" s="17" t="n"/>
      <c r="G448" s="18">
        <f>IF(AND($E448="",$F448=""),"",N($E448)-N($F448))</f>
        <v/>
      </c>
    </row>
    <row r="449">
      <c r="A449" s="15" t="n"/>
      <c r="B449" s="16">
        <f>IF($A449="","",TEXT($A449,"mmm"))</f>
        <v/>
      </c>
      <c r="C449" s="13" t="n"/>
      <c r="D449" s="13" t="n"/>
      <c r="E449" s="17" t="n"/>
      <c r="F449" s="17" t="n"/>
      <c r="G449" s="18">
        <f>IF(AND($E449="",$F449=""),"",N($E449)-N($F449))</f>
        <v/>
      </c>
    </row>
    <row r="450">
      <c r="A450" s="15" t="n"/>
      <c r="B450" s="16">
        <f>IF($A450="","",TEXT($A450,"mmm"))</f>
        <v/>
      </c>
      <c r="C450" s="13" t="n"/>
      <c r="D450" s="13" t="n"/>
      <c r="E450" s="17" t="n"/>
      <c r="F450" s="17" t="n"/>
      <c r="G450" s="18">
        <f>IF(AND($E450="",$F450=""),"",N($E450)-N($F450))</f>
        <v/>
      </c>
    </row>
    <row r="451">
      <c r="A451" s="15" t="n"/>
      <c r="B451" s="16">
        <f>IF($A451="","",TEXT($A451,"mmm"))</f>
        <v/>
      </c>
      <c r="C451" s="13" t="n"/>
      <c r="D451" s="13" t="n"/>
      <c r="E451" s="17" t="n"/>
      <c r="F451" s="17" t="n"/>
      <c r="G451" s="18">
        <f>IF(AND($E451="",$F451=""),"",N($E451)-N($F451))</f>
        <v/>
      </c>
    </row>
    <row r="452">
      <c r="A452" s="15" t="n"/>
      <c r="B452" s="16">
        <f>IF($A452="","",TEXT($A452,"mmm"))</f>
        <v/>
      </c>
      <c r="C452" s="13" t="n"/>
      <c r="D452" s="13" t="n"/>
      <c r="E452" s="17" t="n"/>
      <c r="F452" s="17" t="n"/>
      <c r="G452" s="18">
        <f>IF(AND($E452="",$F452=""),"",N($E452)-N($F452))</f>
        <v/>
      </c>
    </row>
    <row r="453">
      <c r="A453" s="15" t="n"/>
      <c r="B453" s="16">
        <f>IF($A453="","",TEXT($A453,"mmm"))</f>
        <v/>
      </c>
      <c r="C453" s="13" t="n"/>
      <c r="D453" s="13" t="n"/>
      <c r="E453" s="17" t="n"/>
      <c r="F453" s="17" t="n"/>
      <c r="G453" s="18">
        <f>IF(AND($E453="",$F453=""),"",N($E453)-N($F453))</f>
        <v/>
      </c>
    </row>
    <row r="454">
      <c r="A454" s="15" t="n"/>
      <c r="B454" s="16">
        <f>IF($A454="","",TEXT($A454,"mmm"))</f>
        <v/>
      </c>
      <c r="C454" s="13" t="n"/>
      <c r="D454" s="13" t="n"/>
      <c r="E454" s="17" t="n"/>
      <c r="F454" s="17" t="n"/>
      <c r="G454" s="18">
        <f>IF(AND($E454="",$F454=""),"",N($E454)-N($F454))</f>
        <v/>
      </c>
    </row>
    <row r="455">
      <c r="A455" s="15" t="n"/>
      <c r="B455" s="16">
        <f>IF($A455="","",TEXT($A455,"mmm"))</f>
        <v/>
      </c>
      <c r="C455" s="13" t="n"/>
      <c r="D455" s="13" t="n"/>
      <c r="E455" s="17" t="n"/>
      <c r="F455" s="17" t="n"/>
      <c r="G455" s="18">
        <f>IF(AND($E455="",$F455=""),"",N($E455)-N($F455))</f>
        <v/>
      </c>
    </row>
    <row r="456">
      <c r="A456" s="15" t="n"/>
      <c r="B456" s="16">
        <f>IF($A456="","",TEXT($A456,"mmm"))</f>
        <v/>
      </c>
      <c r="C456" s="13" t="n"/>
      <c r="D456" s="13" t="n"/>
      <c r="E456" s="17" t="n"/>
      <c r="F456" s="17" t="n"/>
      <c r="G456" s="18">
        <f>IF(AND($E456="",$F456=""),"",N($E456)-N($F456))</f>
        <v/>
      </c>
    </row>
    <row r="457">
      <c r="A457" s="15" t="n"/>
      <c r="B457" s="16">
        <f>IF($A457="","",TEXT($A457,"mmm"))</f>
        <v/>
      </c>
      <c r="C457" s="13" t="n"/>
      <c r="D457" s="13" t="n"/>
      <c r="E457" s="17" t="n"/>
      <c r="F457" s="17" t="n"/>
      <c r="G457" s="18">
        <f>IF(AND($E457="",$F457=""),"",N($E457)-N($F457))</f>
        <v/>
      </c>
    </row>
    <row r="458">
      <c r="A458" s="15" t="n"/>
      <c r="B458" s="16">
        <f>IF($A458="","",TEXT($A458,"mmm"))</f>
        <v/>
      </c>
      <c r="C458" s="13" t="n"/>
      <c r="D458" s="13" t="n"/>
      <c r="E458" s="17" t="n"/>
      <c r="F458" s="17" t="n"/>
      <c r="G458" s="18">
        <f>IF(AND($E458="",$F458=""),"",N($E458)-N($F458))</f>
        <v/>
      </c>
    </row>
    <row r="459">
      <c r="A459" s="15" t="n"/>
      <c r="B459" s="16">
        <f>IF($A459="","",TEXT($A459,"mmm"))</f>
        <v/>
      </c>
      <c r="C459" s="13" t="n"/>
      <c r="D459" s="13" t="n"/>
      <c r="E459" s="17" t="n"/>
      <c r="F459" s="17" t="n"/>
      <c r="G459" s="18">
        <f>IF(AND($E459="",$F459=""),"",N($E459)-N($F459))</f>
        <v/>
      </c>
    </row>
    <row r="460">
      <c r="A460" s="15" t="n"/>
      <c r="B460" s="16">
        <f>IF($A460="","",TEXT($A460,"mmm"))</f>
        <v/>
      </c>
      <c r="C460" s="13" t="n"/>
      <c r="D460" s="13" t="n"/>
      <c r="E460" s="17" t="n"/>
      <c r="F460" s="17" t="n"/>
      <c r="G460" s="18">
        <f>IF(AND($E460="",$F460=""),"",N($E460)-N($F460))</f>
        <v/>
      </c>
    </row>
    <row r="461">
      <c r="A461" s="15" t="n"/>
      <c r="B461" s="16">
        <f>IF($A461="","",TEXT($A461,"mmm"))</f>
        <v/>
      </c>
      <c r="C461" s="13" t="n"/>
      <c r="D461" s="13" t="n"/>
      <c r="E461" s="17" t="n"/>
      <c r="F461" s="17" t="n"/>
      <c r="G461" s="18">
        <f>IF(AND($E461="",$F461=""),"",N($E461)-N($F461))</f>
        <v/>
      </c>
    </row>
    <row r="462">
      <c r="A462" s="15" t="n"/>
      <c r="B462" s="16">
        <f>IF($A462="","",TEXT($A462,"mmm"))</f>
        <v/>
      </c>
      <c r="C462" s="13" t="n"/>
      <c r="D462" s="13" t="n"/>
      <c r="E462" s="17" t="n"/>
      <c r="F462" s="17" t="n"/>
      <c r="G462" s="18">
        <f>IF(AND($E462="",$F462=""),"",N($E462)-N($F462))</f>
        <v/>
      </c>
    </row>
    <row r="463">
      <c r="A463" s="15" t="n"/>
      <c r="B463" s="16">
        <f>IF($A463="","",TEXT($A463,"mmm"))</f>
        <v/>
      </c>
      <c r="C463" s="13" t="n"/>
      <c r="D463" s="13" t="n"/>
      <c r="E463" s="17" t="n"/>
      <c r="F463" s="17" t="n"/>
      <c r="G463" s="18">
        <f>IF(AND($E463="",$F463=""),"",N($E463)-N($F463))</f>
        <v/>
      </c>
    </row>
    <row r="464">
      <c r="A464" s="15" t="n"/>
      <c r="B464" s="16">
        <f>IF($A464="","",TEXT($A464,"mmm"))</f>
        <v/>
      </c>
      <c r="C464" s="13" t="n"/>
      <c r="D464" s="13" t="n"/>
      <c r="E464" s="17" t="n"/>
      <c r="F464" s="17" t="n"/>
      <c r="G464" s="18">
        <f>IF(AND($E464="",$F464=""),"",N($E464)-N($F464))</f>
        <v/>
      </c>
    </row>
    <row r="465">
      <c r="A465" s="15" t="n"/>
      <c r="B465" s="16">
        <f>IF($A465="","",TEXT($A465,"mmm"))</f>
        <v/>
      </c>
      <c r="C465" s="13" t="n"/>
      <c r="D465" s="13" t="n"/>
      <c r="E465" s="17" t="n"/>
      <c r="F465" s="17" t="n"/>
      <c r="G465" s="18">
        <f>IF(AND($E465="",$F465=""),"",N($E465)-N($F465))</f>
        <v/>
      </c>
    </row>
    <row r="466">
      <c r="A466" s="15" t="n"/>
      <c r="B466" s="16">
        <f>IF($A466="","",TEXT($A466,"mmm"))</f>
        <v/>
      </c>
      <c r="C466" s="13" t="n"/>
      <c r="D466" s="13" t="n"/>
      <c r="E466" s="17" t="n"/>
      <c r="F466" s="17" t="n"/>
      <c r="G466" s="18">
        <f>IF(AND($E466="",$F466=""),"",N($E466)-N($F466))</f>
        <v/>
      </c>
    </row>
    <row r="467">
      <c r="A467" s="15" t="n"/>
      <c r="B467" s="16">
        <f>IF($A467="","",TEXT($A467,"mmm"))</f>
        <v/>
      </c>
      <c r="C467" s="13" t="n"/>
      <c r="D467" s="13" t="n"/>
      <c r="E467" s="17" t="n"/>
      <c r="F467" s="17" t="n"/>
      <c r="G467" s="18">
        <f>IF(AND($E467="",$F467=""),"",N($E467)-N($F467))</f>
        <v/>
      </c>
    </row>
    <row r="468">
      <c r="A468" s="15" t="n"/>
      <c r="B468" s="16">
        <f>IF($A468="","",TEXT($A468,"mmm"))</f>
        <v/>
      </c>
      <c r="C468" s="13" t="n"/>
      <c r="D468" s="13" t="n"/>
      <c r="E468" s="17" t="n"/>
      <c r="F468" s="17" t="n"/>
      <c r="G468" s="18">
        <f>IF(AND($E468="",$F468=""),"",N($E468)-N($F468))</f>
        <v/>
      </c>
    </row>
    <row r="469">
      <c r="A469" s="15" t="n"/>
      <c r="B469" s="16">
        <f>IF($A469="","",TEXT($A469,"mmm"))</f>
        <v/>
      </c>
      <c r="C469" s="13" t="n"/>
      <c r="D469" s="13" t="n"/>
      <c r="E469" s="17" t="n"/>
      <c r="F469" s="17" t="n"/>
      <c r="G469" s="18">
        <f>IF(AND($E469="",$F469=""),"",N($E469)-N($F469))</f>
        <v/>
      </c>
    </row>
    <row r="470">
      <c r="A470" s="15" t="n"/>
      <c r="B470" s="16">
        <f>IF($A470="","",TEXT($A470,"mmm"))</f>
        <v/>
      </c>
      <c r="C470" s="13" t="n"/>
      <c r="D470" s="13" t="n"/>
      <c r="E470" s="17" t="n"/>
      <c r="F470" s="17" t="n"/>
      <c r="G470" s="18">
        <f>IF(AND($E470="",$F470=""),"",N($E470)-N($F470))</f>
        <v/>
      </c>
    </row>
    <row r="471">
      <c r="A471" s="15" t="n"/>
      <c r="B471" s="16">
        <f>IF($A471="","",TEXT($A471,"mmm"))</f>
        <v/>
      </c>
      <c r="C471" s="13" t="n"/>
      <c r="D471" s="13" t="n"/>
      <c r="E471" s="17" t="n"/>
      <c r="F471" s="17" t="n"/>
      <c r="G471" s="18">
        <f>IF(AND($E471="",$F471=""),"",N($E471)-N($F471))</f>
        <v/>
      </c>
    </row>
    <row r="472">
      <c r="A472" s="15" t="n"/>
      <c r="B472" s="16">
        <f>IF($A472="","",TEXT($A472,"mmm"))</f>
        <v/>
      </c>
      <c r="C472" s="13" t="n"/>
      <c r="D472" s="13" t="n"/>
      <c r="E472" s="17" t="n"/>
      <c r="F472" s="17" t="n"/>
      <c r="G472" s="18">
        <f>IF(AND($E472="",$F472=""),"",N($E472)-N($F472))</f>
        <v/>
      </c>
    </row>
    <row r="473">
      <c r="A473" s="15" t="n"/>
      <c r="B473" s="16">
        <f>IF($A473="","",TEXT($A473,"mmm"))</f>
        <v/>
      </c>
      <c r="C473" s="13" t="n"/>
      <c r="D473" s="13" t="n"/>
      <c r="E473" s="17" t="n"/>
      <c r="F473" s="17" t="n"/>
      <c r="G473" s="18">
        <f>IF(AND($E473="",$F473=""),"",N($E473)-N($F473))</f>
        <v/>
      </c>
    </row>
    <row r="474">
      <c r="A474" s="15" t="n"/>
      <c r="B474" s="16">
        <f>IF($A474="","",TEXT($A474,"mmm"))</f>
        <v/>
      </c>
      <c r="C474" s="13" t="n"/>
      <c r="D474" s="13" t="n"/>
      <c r="E474" s="17" t="n"/>
      <c r="F474" s="17" t="n"/>
      <c r="G474" s="18">
        <f>IF(AND($E474="",$F474=""),"",N($E474)-N($F474))</f>
        <v/>
      </c>
    </row>
    <row r="475">
      <c r="A475" s="15" t="n"/>
      <c r="B475" s="16">
        <f>IF($A475="","",TEXT($A475,"mmm"))</f>
        <v/>
      </c>
      <c r="C475" s="13" t="n"/>
      <c r="D475" s="13" t="n"/>
      <c r="E475" s="17" t="n"/>
      <c r="F475" s="17" t="n"/>
      <c r="G475" s="18">
        <f>IF(AND($E475="",$F475=""),"",N($E475)-N($F475))</f>
        <v/>
      </c>
    </row>
    <row r="476">
      <c r="A476" s="15" t="n"/>
      <c r="B476" s="16">
        <f>IF($A476="","",TEXT($A476,"mmm"))</f>
        <v/>
      </c>
      <c r="C476" s="13" t="n"/>
      <c r="D476" s="13" t="n"/>
      <c r="E476" s="17" t="n"/>
      <c r="F476" s="17" t="n"/>
      <c r="G476" s="18">
        <f>IF(AND($E476="",$F476=""),"",N($E476)-N($F476))</f>
        <v/>
      </c>
    </row>
    <row r="477">
      <c r="A477" s="15" t="n"/>
      <c r="B477" s="16">
        <f>IF($A477="","",TEXT($A477,"mmm"))</f>
        <v/>
      </c>
      <c r="C477" s="13" t="n"/>
      <c r="D477" s="13" t="n"/>
      <c r="E477" s="17" t="n"/>
      <c r="F477" s="17" t="n"/>
      <c r="G477" s="18">
        <f>IF(AND($E477="",$F477=""),"",N($E477)-N($F477))</f>
        <v/>
      </c>
    </row>
    <row r="478">
      <c r="A478" s="15" t="n"/>
      <c r="B478" s="16">
        <f>IF($A478="","",TEXT($A478,"mmm"))</f>
        <v/>
      </c>
      <c r="C478" s="13" t="n"/>
      <c r="D478" s="13" t="n"/>
      <c r="E478" s="17" t="n"/>
      <c r="F478" s="17" t="n"/>
      <c r="G478" s="18">
        <f>IF(AND($E478="",$F478=""),"",N($E478)-N($F478))</f>
        <v/>
      </c>
    </row>
    <row r="479">
      <c r="A479" s="15" t="n"/>
      <c r="B479" s="16">
        <f>IF($A479="","",TEXT($A479,"mmm"))</f>
        <v/>
      </c>
      <c r="C479" s="13" t="n"/>
      <c r="D479" s="13" t="n"/>
      <c r="E479" s="17" t="n"/>
      <c r="F479" s="17" t="n"/>
      <c r="G479" s="18">
        <f>IF(AND($E479="",$F479=""),"",N($E479)-N($F479))</f>
        <v/>
      </c>
    </row>
    <row r="480">
      <c r="A480" s="15" t="n"/>
      <c r="B480" s="16">
        <f>IF($A480="","",TEXT($A480,"mmm"))</f>
        <v/>
      </c>
      <c r="C480" s="13" t="n"/>
      <c r="D480" s="13" t="n"/>
      <c r="E480" s="17" t="n"/>
      <c r="F480" s="17" t="n"/>
      <c r="G480" s="18">
        <f>IF(AND($E480="",$F480=""),"",N($E480)-N($F480))</f>
        <v/>
      </c>
    </row>
    <row r="481">
      <c r="A481" s="15" t="n"/>
      <c r="B481" s="16">
        <f>IF($A481="","",TEXT($A481,"mmm"))</f>
        <v/>
      </c>
      <c r="C481" s="13" t="n"/>
      <c r="D481" s="13" t="n"/>
      <c r="E481" s="17" t="n"/>
      <c r="F481" s="17" t="n"/>
      <c r="G481" s="18">
        <f>IF(AND($E481="",$F481=""),"",N($E481)-N($F481))</f>
        <v/>
      </c>
    </row>
    <row r="482">
      <c r="A482" s="15" t="n"/>
      <c r="B482" s="16">
        <f>IF($A482="","",TEXT($A482,"mmm"))</f>
        <v/>
      </c>
      <c r="C482" s="13" t="n"/>
      <c r="D482" s="13" t="n"/>
      <c r="E482" s="17" t="n"/>
      <c r="F482" s="17" t="n"/>
      <c r="G482" s="18">
        <f>IF(AND($E482="",$F482=""),"",N($E482)-N($F482))</f>
        <v/>
      </c>
    </row>
    <row r="483">
      <c r="A483" s="15" t="n"/>
      <c r="B483" s="16">
        <f>IF($A483="","",TEXT($A483,"mmm"))</f>
        <v/>
      </c>
      <c r="C483" s="13" t="n"/>
      <c r="D483" s="13" t="n"/>
      <c r="E483" s="17" t="n"/>
      <c r="F483" s="17" t="n"/>
      <c r="G483" s="18">
        <f>IF(AND($E483="",$F483=""),"",N($E483)-N($F483))</f>
        <v/>
      </c>
    </row>
    <row r="484">
      <c r="A484" s="15" t="n"/>
      <c r="B484" s="16">
        <f>IF($A484="","",TEXT($A484,"mmm"))</f>
        <v/>
      </c>
      <c r="C484" s="13" t="n"/>
      <c r="D484" s="13" t="n"/>
      <c r="E484" s="17" t="n"/>
      <c r="F484" s="17" t="n"/>
      <c r="G484" s="18">
        <f>IF(AND($E484="",$F484=""),"",N($E484)-N($F484))</f>
        <v/>
      </c>
    </row>
    <row r="485">
      <c r="A485" s="15" t="n"/>
      <c r="B485" s="16">
        <f>IF($A485="","",TEXT($A485,"mmm"))</f>
        <v/>
      </c>
      <c r="C485" s="13" t="n"/>
      <c r="D485" s="13" t="n"/>
      <c r="E485" s="17" t="n"/>
      <c r="F485" s="17" t="n"/>
      <c r="G485" s="18">
        <f>IF(AND($E485="",$F485=""),"",N($E485)-N($F485))</f>
        <v/>
      </c>
    </row>
    <row r="486">
      <c r="A486" s="15" t="n"/>
      <c r="B486" s="16">
        <f>IF($A486="","",TEXT($A486,"mmm"))</f>
        <v/>
      </c>
      <c r="C486" s="13" t="n"/>
      <c r="D486" s="13" t="n"/>
      <c r="E486" s="17" t="n"/>
      <c r="F486" s="17" t="n"/>
      <c r="G486" s="18">
        <f>IF(AND($E486="",$F486=""),"",N($E486)-N($F486))</f>
        <v/>
      </c>
    </row>
    <row r="487">
      <c r="A487" s="15" t="n"/>
      <c r="B487" s="16">
        <f>IF($A487="","",TEXT($A487,"mmm"))</f>
        <v/>
      </c>
      <c r="C487" s="13" t="n"/>
      <c r="D487" s="13" t="n"/>
      <c r="E487" s="17" t="n"/>
      <c r="F487" s="17" t="n"/>
      <c r="G487" s="18">
        <f>IF(AND($E487="",$F487=""),"",N($E487)-N($F487))</f>
        <v/>
      </c>
    </row>
    <row r="488">
      <c r="A488" s="15" t="n"/>
      <c r="B488" s="16">
        <f>IF($A488="","",TEXT($A488,"mmm"))</f>
        <v/>
      </c>
      <c r="C488" s="13" t="n"/>
      <c r="D488" s="13" t="n"/>
      <c r="E488" s="17" t="n"/>
      <c r="F488" s="17" t="n"/>
      <c r="G488" s="18">
        <f>IF(AND($E488="",$F488=""),"",N($E488)-N($F488))</f>
        <v/>
      </c>
    </row>
    <row r="489">
      <c r="A489" s="15" t="n"/>
      <c r="B489" s="16">
        <f>IF($A489="","",TEXT($A489,"mmm"))</f>
        <v/>
      </c>
      <c r="C489" s="13" t="n"/>
      <c r="D489" s="13" t="n"/>
      <c r="E489" s="17" t="n"/>
      <c r="F489" s="17" t="n"/>
      <c r="G489" s="18">
        <f>IF(AND($E489="",$F489=""),"",N($E489)-N($F489))</f>
        <v/>
      </c>
    </row>
    <row r="490">
      <c r="A490" s="15" t="n"/>
      <c r="B490" s="16">
        <f>IF($A490="","",TEXT($A490,"mmm"))</f>
        <v/>
      </c>
      <c r="C490" s="13" t="n"/>
      <c r="D490" s="13" t="n"/>
      <c r="E490" s="17" t="n"/>
      <c r="F490" s="17" t="n"/>
      <c r="G490" s="18">
        <f>IF(AND($E490="",$F490=""),"",N($E490)-N($F490))</f>
        <v/>
      </c>
    </row>
    <row r="491">
      <c r="A491" s="15" t="n"/>
      <c r="B491" s="16">
        <f>IF($A491="","",TEXT($A491,"mmm"))</f>
        <v/>
      </c>
      <c r="C491" s="13" t="n"/>
      <c r="D491" s="13" t="n"/>
      <c r="E491" s="17" t="n"/>
      <c r="F491" s="17" t="n"/>
      <c r="G491" s="18">
        <f>IF(AND($E491="",$F491=""),"",N($E491)-N($F491))</f>
        <v/>
      </c>
    </row>
    <row r="492">
      <c r="A492" s="15" t="n"/>
      <c r="B492" s="16">
        <f>IF($A492="","",TEXT($A492,"mmm"))</f>
        <v/>
      </c>
      <c r="C492" s="13" t="n"/>
      <c r="D492" s="13" t="n"/>
      <c r="E492" s="17" t="n"/>
      <c r="F492" s="17" t="n"/>
      <c r="G492" s="18">
        <f>IF(AND($E492="",$F492=""),"",N($E492)-N($F492))</f>
        <v/>
      </c>
    </row>
    <row r="493">
      <c r="A493" s="15" t="n"/>
      <c r="B493" s="16">
        <f>IF($A493="","",TEXT($A493,"mmm"))</f>
        <v/>
      </c>
      <c r="C493" s="13" t="n"/>
      <c r="D493" s="13" t="n"/>
      <c r="E493" s="17" t="n"/>
      <c r="F493" s="17" t="n"/>
      <c r="G493" s="18">
        <f>IF(AND($E493="",$F493=""),"",N($E493)-N($F493))</f>
        <v/>
      </c>
    </row>
    <row r="494">
      <c r="A494" s="15" t="n"/>
      <c r="B494" s="16">
        <f>IF($A494="","",TEXT($A494,"mmm"))</f>
        <v/>
      </c>
      <c r="C494" s="13" t="n"/>
      <c r="D494" s="13" t="n"/>
      <c r="E494" s="17" t="n"/>
      <c r="F494" s="17" t="n"/>
      <c r="G494" s="18">
        <f>IF(AND($E494="",$F494=""),"",N($E494)-N($F494))</f>
        <v/>
      </c>
    </row>
    <row r="495">
      <c r="A495" s="15" t="n"/>
      <c r="B495" s="16">
        <f>IF($A495="","",TEXT($A495,"mmm"))</f>
        <v/>
      </c>
      <c r="C495" s="13" t="n"/>
      <c r="D495" s="13" t="n"/>
      <c r="E495" s="17" t="n"/>
      <c r="F495" s="17" t="n"/>
      <c r="G495" s="18">
        <f>IF(AND($E495="",$F495=""),"",N($E495)-N($F495))</f>
        <v/>
      </c>
    </row>
    <row r="496">
      <c r="A496" s="15" t="n"/>
      <c r="B496" s="16">
        <f>IF($A496="","",TEXT($A496,"mmm"))</f>
        <v/>
      </c>
      <c r="C496" s="13" t="n"/>
      <c r="D496" s="13" t="n"/>
      <c r="E496" s="17" t="n"/>
      <c r="F496" s="17" t="n"/>
      <c r="G496" s="18">
        <f>IF(AND($E496="",$F496=""),"",N($E496)-N($F496))</f>
        <v/>
      </c>
    </row>
    <row r="497">
      <c r="A497" s="15" t="n"/>
      <c r="B497" s="16">
        <f>IF($A497="","",TEXT($A497,"mmm"))</f>
        <v/>
      </c>
      <c r="C497" s="13" t="n"/>
      <c r="D497" s="13" t="n"/>
      <c r="E497" s="17" t="n"/>
      <c r="F497" s="17" t="n"/>
      <c r="G497" s="18">
        <f>IF(AND($E497="",$F497=""),"",N($E497)-N($F497))</f>
        <v/>
      </c>
    </row>
    <row r="498">
      <c r="A498" s="15" t="n"/>
      <c r="B498" s="16">
        <f>IF($A498="","",TEXT($A498,"mmm"))</f>
        <v/>
      </c>
      <c r="C498" s="13" t="n"/>
      <c r="D498" s="13" t="n"/>
      <c r="E498" s="17" t="n"/>
      <c r="F498" s="17" t="n"/>
      <c r="G498" s="18">
        <f>IF(AND($E498="",$F498=""),"",N($E498)-N($F498))</f>
        <v/>
      </c>
    </row>
    <row r="499">
      <c r="A499" s="15" t="n"/>
      <c r="B499" s="16">
        <f>IF($A499="","",TEXT($A499,"mmm"))</f>
        <v/>
      </c>
      <c r="C499" s="13" t="n"/>
      <c r="D499" s="13" t="n"/>
      <c r="E499" s="17" t="n"/>
      <c r="F499" s="17" t="n"/>
      <c r="G499" s="18">
        <f>IF(AND($E499="",$F499=""),"",N($E499)-N($F499))</f>
        <v/>
      </c>
    </row>
    <row r="500">
      <c r="A500" s="15" t="n"/>
      <c r="B500" s="16">
        <f>IF($A500="","",TEXT($A500,"mmm"))</f>
        <v/>
      </c>
      <c r="C500" s="13" t="n"/>
      <c r="D500" s="13" t="n"/>
      <c r="E500" s="17" t="n"/>
      <c r="F500" s="17" t="n"/>
      <c r="G500" s="18">
        <f>IF(AND($E500="",$F500=""),"",N($E500)-N($F500))</f>
        <v/>
      </c>
    </row>
    <row r="501">
      <c r="A501" s="15" t="n"/>
      <c r="B501" s="16">
        <f>IF($A501="","",TEXT($A501,"mmm"))</f>
        <v/>
      </c>
      <c r="C501" s="13" t="n"/>
      <c r="D501" s="13" t="n"/>
      <c r="E501" s="17" t="n"/>
      <c r="F501" s="17" t="n"/>
      <c r="G501" s="18">
        <f>IF(AND($E501="",$F501=""),"",N($E501)-N($F501))</f>
        <v/>
      </c>
    </row>
    <row r="502">
      <c r="A502" s="15" t="n"/>
      <c r="B502" s="16">
        <f>IF($A502="","",TEXT($A502,"mmm"))</f>
        <v/>
      </c>
      <c r="C502" s="13" t="n"/>
      <c r="D502" s="13" t="n"/>
      <c r="E502" s="17" t="n"/>
      <c r="F502" s="17" t="n"/>
      <c r="G502" s="18">
        <f>IF(AND($E502="",$F502=""),"",N($E502)-N($F502))</f>
        <v/>
      </c>
    </row>
    <row r="503">
      <c r="A503" s="15" t="n"/>
      <c r="B503" s="16">
        <f>IF($A503="","",TEXT($A503,"mmm"))</f>
        <v/>
      </c>
      <c r="C503" s="13" t="n"/>
      <c r="D503" s="13" t="n"/>
      <c r="E503" s="17" t="n"/>
      <c r="F503" s="17" t="n"/>
      <c r="G503" s="18">
        <f>IF(AND($E503="",$F503=""),"",N($E503)-N($F503))</f>
        <v/>
      </c>
    </row>
    <row r="504">
      <c r="A504" s="15" t="n"/>
      <c r="B504" s="16">
        <f>IF($A504="","",TEXT($A504,"mmm"))</f>
        <v/>
      </c>
      <c r="C504" s="13" t="n"/>
      <c r="D504" s="13" t="n"/>
      <c r="E504" s="17" t="n"/>
      <c r="F504" s="17" t="n"/>
      <c r="G504" s="18">
        <f>IF(AND($E504="",$F504=""),"",N($E504)-N($F504))</f>
        <v/>
      </c>
    </row>
    <row r="505">
      <c r="A505" s="15" t="n"/>
      <c r="B505" s="16">
        <f>IF($A505="","",TEXT($A505,"mmm"))</f>
        <v/>
      </c>
      <c r="C505" s="13" t="n"/>
      <c r="D505" s="13" t="n"/>
      <c r="E505" s="17" t="n"/>
      <c r="F505" s="17" t="n"/>
      <c r="G505" s="18">
        <f>IF(AND($E505="",$F505=""),"",N($E505)-N($F505))</f>
        <v/>
      </c>
    </row>
    <row r="506">
      <c r="A506" s="15" t="n"/>
      <c r="B506" s="16">
        <f>IF($A506="","",TEXT($A506,"mmm"))</f>
        <v/>
      </c>
      <c r="C506" s="13" t="n"/>
      <c r="D506" s="13" t="n"/>
      <c r="E506" s="17" t="n"/>
      <c r="F506" s="17" t="n"/>
      <c r="G506" s="18">
        <f>IF(AND($E506="",$F506=""),"",N($E506)-N($F506))</f>
        <v/>
      </c>
    </row>
    <row r="507">
      <c r="A507" s="15" t="n"/>
      <c r="B507" s="16">
        <f>IF($A507="","",TEXT($A507,"mmm"))</f>
        <v/>
      </c>
      <c r="C507" s="13" t="n"/>
      <c r="D507" s="13" t="n"/>
      <c r="E507" s="17" t="n"/>
      <c r="F507" s="17" t="n"/>
      <c r="G507" s="18">
        <f>IF(AND($E507="",$F507=""),"",N($E507)-N($F507))</f>
        <v/>
      </c>
    </row>
    <row r="508">
      <c r="A508" s="15" t="n"/>
      <c r="B508" s="16">
        <f>IF($A508="","",TEXT($A508,"mmm"))</f>
        <v/>
      </c>
      <c r="C508" s="13" t="n"/>
      <c r="D508" s="13" t="n"/>
      <c r="E508" s="17" t="n"/>
      <c r="F508" s="17" t="n"/>
      <c r="G508" s="18">
        <f>IF(AND($E508="",$F508=""),"",N($E508)-N($F508))</f>
        <v/>
      </c>
    </row>
    <row r="509">
      <c r="A509" s="15" t="n"/>
      <c r="B509" s="16">
        <f>IF($A509="","",TEXT($A509,"mmm"))</f>
        <v/>
      </c>
      <c r="C509" s="13" t="n"/>
      <c r="D509" s="13" t="n"/>
      <c r="E509" s="17" t="n"/>
      <c r="F509" s="17" t="n"/>
      <c r="G509" s="18">
        <f>IF(AND($E509="",$F509=""),"",N($E509)-N($F509))</f>
        <v/>
      </c>
    </row>
    <row r="510">
      <c r="A510" s="15" t="n"/>
      <c r="B510" s="16">
        <f>IF($A510="","",TEXT($A510,"mmm"))</f>
        <v/>
      </c>
      <c r="C510" s="13" t="n"/>
      <c r="D510" s="13" t="n"/>
      <c r="E510" s="17" t="n"/>
      <c r="F510" s="17" t="n"/>
      <c r="G510" s="18">
        <f>IF(AND($E510="",$F510=""),"",N($E510)-N($F510))</f>
        <v/>
      </c>
    </row>
    <row r="511">
      <c r="A511" s="15" t="n"/>
      <c r="B511" s="16">
        <f>IF($A511="","",TEXT($A511,"mmm"))</f>
        <v/>
      </c>
      <c r="C511" s="13" t="n"/>
      <c r="D511" s="13" t="n"/>
      <c r="E511" s="17" t="n"/>
      <c r="F511" s="17" t="n"/>
      <c r="G511" s="18">
        <f>IF(AND($E511="",$F511=""),"",N($E511)-N($F511))</f>
        <v/>
      </c>
    </row>
    <row r="512">
      <c r="A512" s="15" t="n"/>
      <c r="B512" s="16">
        <f>IF($A512="","",TEXT($A512,"mmm"))</f>
        <v/>
      </c>
      <c r="C512" s="13" t="n"/>
      <c r="D512" s="13" t="n"/>
      <c r="E512" s="17" t="n"/>
      <c r="F512" s="17" t="n"/>
      <c r="G512" s="18">
        <f>IF(AND($E512="",$F512=""),"",N($E512)-N($F512))</f>
        <v/>
      </c>
    </row>
    <row r="513">
      <c r="A513" s="15" t="n"/>
      <c r="B513" s="16">
        <f>IF($A513="","",TEXT($A513,"mmm"))</f>
        <v/>
      </c>
      <c r="C513" s="13" t="n"/>
      <c r="D513" s="13" t="n"/>
      <c r="E513" s="17" t="n"/>
      <c r="F513" s="17" t="n"/>
      <c r="G513" s="18">
        <f>IF(AND($E513="",$F513=""),"",N($E513)-N($F513))</f>
        <v/>
      </c>
    </row>
    <row r="514">
      <c r="A514" s="15" t="n"/>
      <c r="B514" s="16">
        <f>IF($A514="","",TEXT($A514,"mmm"))</f>
        <v/>
      </c>
      <c r="C514" s="13" t="n"/>
      <c r="D514" s="13" t="n"/>
      <c r="E514" s="17" t="n"/>
      <c r="F514" s="17" t="n"/>
      <c r="G514" s="18">
        <f>IF(AND($E514="",$F514=""),"",N($E514)-N($F514))</f>
        <v/>
      </c>
    </row>
    <row r="515">
      <c r="A515" s="15" t="n"/>
      <c r="B515" s="16">
        <f>IF($A515="","",TEXT($A515,"mmm"))</f>
        <v/>
      </c>
      <c r="C515" s="13" t="n"/>
      <c r="D515" s="13" t="n"/>
      <c r="E515" s="17" t="n"/>
      <c r="F515" s="17" t="n"/>
      <c r="G515" s="18">
        <f>IF(AND($E515="",$F515=""),"",N($E515)-N($F515))</f>
        <v/>
      </c>
    </row>
    <row r="516">
      <c r="A516" s="15" t="n"/>
      <c r="B516" s="16">
        <f>IF($A516="","",TEXT($A516,"mmm"))</f>
        <v/>
      </c>
      <c r="C516" s="13" t="n"/>
      <c r="D516" s="13" t="n"/>
      <c r="E516" s="17" t="n"/>
      <c r="F516" s="17" t="n"/>
      <c r="G516" s="18">
        <f>IF(AND($E516="",$F516=""),"",N($E516)-N($F516))</f>
        <v/>
      </c>
    </row>
    <row r="517">
      <c r="A517" s="15" t="n"/>
      <c r="B517" s="16">
        <f>IF($A517="","",TEXT($A517,"mmm"))</f>
        <v/>
      </c>
      <c r="C517" s="13" t="n"/>
      <c r="D517" s="13" t="n"/>
      <c r="E517" s="17" t="n"/>
      <c r="F517" s="17" t="n"/>
      <c r="G517" s="18">
        <f>IF(AND($E517="",$F517=""),"",N($E517)-N($F517))</f>
        <v/>
      </c>
    </row>
    <row r="518">
      <c r="A518" s="15" t="n"/>
      <c r="B518" s="16">
        <f>IF($A518="","",TEXT($A518,"mmm"))</f>
        <v/>
      </c>
      <c r="C518" s="13" t="n"/>
      <c r="D518" s="13" t="n"/>
      <c r="E518" s="17" t="n"/>
      <c r="F518" s="17" t="n"/>
      <c r="G518" s="18">
        <f>IF(AND($E518="",$F518=""),"",N($E518)-N($F518))</f>
        <v/>
      </c>
    </row>
    <row r="519">
      <c r="A519" s="15" t="n"/>
      <c r="B519" s="16">
        <f>IF($A519="","",TEXT($A519,"mmm"))</f>
        <v/>
      </c>
      <c r="C519" s="13" t="n"/>
      <c r="D519" s="13" t="n"/>
      <c r="E519" s="17" t="n"/>
      <c r="F519" s="17" t="n"/>
      <c r="G519" s="18">
        <f>IF(AND($E519="",$F519=""),"",N($E519)-N($F519))</f>
        <v/>
      </c>
    </row>
    <row r="520">
      <c r="A520" s="15" t="n"/>
      <c r="B520" s="16">
        <f>IF($A520="","",TEXT($A520,"mmm"))</f>
        <v/>
      </c>
      <c r="C520" s="13" t="n"/>
      <c r="D520" s="13" t="n"/>
      <c r="E520" s="17" t="n"/>
      <c r="F520" s="17" t="n"/>
      <c r="G520" s="18">
        <f>IF(AND($E520="",$F520=""),"",N($E520)-N($F520))</f>
        <v/>
      </c>
    </row>
    <row r="521">
      <c r="A521" s="15" t="n"/>
      <c r="B521" s="16">
        <f>IF($A521="","",TEXT($A521,"mmm"))</f>
        <v/>
      </c>
      <c r="C521" s="13" t="n"/>
      <c r="D521" s="13" t="n"/>
      <c r="E521" s="17" t="n"/>
      <c r="F521" s="17" t="n"/>
      <c r="G521" s="18">
        <f>IF(AND($E521="",$F521=""),"",N($E521)-N($F521))</f>
        <v/>
      </c>
    </row>
    <row r="522">
      <c r="A522" s="15" t="n"/>
      <c r="B522" s="16">
        <f>IF($A522="","",TEXT($A522,"mmm"))</f>
        <v/>
      </c>
      <c r="C522" s="13" t="n"/>
      <c r="D522" s="13" t="n"/>
      <c r="E522" s="17" t="n"/>
      <c r="F522" s="17" t="n"/>
      <c r="G522" s="18">
        <f>IF(AND($E522="",$F522=""),"",N($E522)-N($F522))</f>
        <v/>
      </c>
    </row>
    <row r="523">
      <c r="A523" s="15" t="n"/>
      <c r="B523" s="16">
        <f>IF($A523="","",TEXT($A523,"mmm"))</f>
        <v/>
      </c>
      <c r="C523" s="13" t="n"/>
      <c r="D523" s="13" t="n"/>
      <c r="E523" s="17" t="n"/>
      <c r="F523" s="17" t="n"/>
      <c r="G523" s="18">
        <f>IF(AND($E523="",$F523=""),"",N($E523)-N($F523))</f>
        <v/>
      </c>
    </row>
    <row r="524">
      <c r="A524" s="15" t="n"/>
      <c r="B524" s="16">
        <f>IF($A524="","",TEXT($A524,"mmm"))</f>
        <v/>
      </c>
      <c r="C524" s="13" t="n"/>
      <c r="D524" s="13" t="n"/>
      <c r="E524" s="17" t="n"/>
      <c r="F524" s="17" t="n"/>
      <c r="G524" s="18">
        <f>IF(AND($E524="",$F524=""),"",N($E524)-N($F524))</f>
        <v/>
      </c>
    </row>
    <row r="525">
      <c r="A525" s="15" t="n"/>
      <c r="B525" s="16">
        <f>IF($A525="","",TEXT($A525,"mmm"))</f>
        <v/>
      </c>
      <c r="C525" s="13" t="n"/>
      <c r="D525" s="13" t="n"/>
      <c r="E525" s="17" t="n"/>
      <c r="F525" s="17" t="n"/>
      <c r="G525" s="18">
        <f>IF(AND($E525="",$F525=""),"",N($E525)-N($F525))</f>
        <v/>
      </c>
    </row>
    <row r="526">
      <c r="A526" s="15" t="n"/>
      <c r="B526" s="16">
        <f>IF($A526="","",TEXT($A526,"mmm"))</f>
        <v/>
      </c>
      <c r="C526" s="13" t="n"/>
      <c r="D526" s="13" t="n"/>
      <c r="E526" s="17" t="n"/>
      <c r="F526" s="17" t="n"/>
      <c r="G526" s="18">
        <f>IF(AND($E526="",$F526=""),"",N($E526)-N($F526))</f>
        <v/>
      </c>
    </row>
    <row r="527">
      <c r="A527" s="15" t="n"/>
      <c r="B527" s="16">
        <f>IF($A527="","",TEXT($A527,"mmm"))</f>
        <v/>
      </c>
      <c r="C527" s="13" t="n"/>
      <c r="D527" s="13" t="n"/>
      <c r="E527" s="17" t="n"/>
      <c r="F527" s="17" t="n"/>
      <c r="G527" s="18">
        <f>IF(AND($E527="",$F527=""),"",N($E527)-N($F527))</f>
        <v/>
      </c>
    </row>
    <row r="528">
      <c r="A528" s="15" t="n"/>
      <c r="B528" s="16">
        <f>IF($A528="","",TEXT($A528,"mmm"))</f>
        <v/>
      </c>
      <c r="C528" s="13" t="n"/>
      <c r="D528" s="13" t="n"/>
      <c r="E528" s="17" t="n"/>
      <c r="F528" s="17" t="n"/>
      <c r="G528" s="18">
        <f>IF(AND($E528="",$F528=""),"",N($E528)-N($F528))</f>
        <v/>
      </c>
    </row>
    <row r="529">
      <c r="A529" s="15" t="n"/>
      <c r="B529" s="16">
        <f>IF($A529="","",TEXT($A529,"mmm"))</f>
        <v/>
      </c>
      <c r="C529" s="13" t="n"/>
      <c r="D529" s="13" t="n"/>
      <c r="E529" s="17" t="n"/>
      <c r="F529" s="17" t="n"/>
      <c r="G529" s="18">
        <f>IF(AND($E529="",$F529=""),"",N($E529)-N($F529))</f>
        <v/>
      </c>
    </row>
    <row r="530">
      <c r="A530" s="15" t="n"/>
      <c r="B530" s="16">
        <f>IF($A530="","",TEXT($A530,"mmm"))</f>
        <v/>
      </c>
      <c r="C530" s="13" t="n"/>
      <c r="D530" s="13" t="n"/>
      <c r="E530" s="17" t="n"/>
      <c r="F530" s="17" t="n"/>
      <c r="G530" s="18">
        <f>IF(AND($E530="",$F530=""),"",N($E530)-N($F530))</f>
        <v/>
      </c>
    </row>
    <row r="531">
      <c r="A531" s="15" t="n"/>
      <c r="B531" s="16">
        <f>IF($A531="","",TEXT($A531,"mmm"))</f>
        <v/>
      </c>
      <c r="C531" s="13" t="n"/>
      <c r="D531" s="13" t="n"/>
      <c r="E531" s="17" t="n"/>
      <c r="F531" s="17" t="n"/>
      <c r="G531" s="18">
        <f>IF(AND($E531="",$F531=""),"",N($E531)-N($F531))</f>
        <v/>
      </c>
    </row>
    <row r="532">
      <c r="A532" s="15" t="n"/>
      <c r="B532" s="16">
        <f>IF($A532="","",TEXT($A532,"mmm"))</f>
        <v/>
      </c>
      <c r="C532" s="13" t="n"/>
      <c r="D532" s="13" t="n"/>
      <c r="E532" s="17" t="n"/>
      <c r="F532" s="17" t="n"/>
      <c r="G532" s="18">
        <f>IF(AND($E532="",$F532=""),"",N($E532)-N($F532))</f>
        <v/>
      </c>
    </row>
    <row r="533">
      <c r="A533" s="15" t="n"/>
      <c r="B533" s="16">
        <f>IF($A533="","",TEXT($A533,"mmm"))</f>
        <v/>
      </c>
      <c r="C533" s="13" t="n"/>
      <c r="D533" s="13" t="n"/>
      <c r="E533" s="17" t="n"/>
      <c r="F533" s="17" t="n"/>
      <c r="G533" s="18">
        <f>IF(AND($E533="",$F533=""),"",N($E533)-N($F533))</f>
        <v/>
      </c>
    </row>
    <row r="534">
      <c r="A534" s="15" t="n"/>
      <c r="B534" s="16">
        <f>IF($A534="","",TEXT($A534,"mmm"))</f>
        <v/>
      </c>
      <c r="C534" s="13" t="n"/>
      <c r="D534" s="13" t="n"/>
      <c r="E534" s="17" t="n"/>
      <c r="F534" s="17" t="n"/>
      <c r="G534" s="18">
        <f>IF(AND($E534="",$F534=""),"",N($E534)-N($F534))</f>
        <v/>
      </c>
    </row>
    <row r="535">
      <c r="A535" s="15" t="n"/>
      <c r="B535" s="16">
        <f>IF($A535="","",TEXT($A535,"mmm"))</f>
        <v/>
      </c>
      <c r="C535" s="13" t="n"/>
      <c r="D535" s="13" t="n"/>
      <c r="E535" s="17" t="n"/>
      <c r="F535" s="17" t="n"/>
      <c r="G535" s="18">
        <f>IF(AND($E535="",$F535=""),"",N($E535)-N($F535))</f>
        <v/>
      </c>
    </row>
    <row r="536">
      <c r="A536" s="15" t="n"/>
      <c r="B536" s="16">
        <f>IF($A536="","",TEXT($A536,"mmm"))</f>
        <v/>
      </c>
      <c r="C536" s="13" t="n"/>
      <c r="D536" s="13" t="n"/>
      <c r="E536" s="17" t="n"/>
      <c r="F536" s="17" t="n"/>
      <c r="G536" s="18">
        <f>IF(AND($E536="",$F536=""),"",N($E536)-N($F536))</f>
        <v/>
      </c>
    </row>
    <row r="537">
      <c r="A537" s="15" t="n"/>
      <c r="B537" s="16">
        <f>IF($A537="","",TEXT($A537,"mmm"))</f>
        <v/>
      </c>
      <c r="C537" s="13" t="n"/>
      <c r="D537" s="13" t="n"/>
      <c r="E537" s="17" t="n"/>
      <c r="F537" s="17" t="n"/>
      <c r="G537" s="18">
        <f>IF(AND($E537="",$F537=""),"",N($E537)-N($F537))</f>
        <v/>
      </c>
    </row>
    <row r="538">
      <c r="A538" s="15" t="n"/>
      <c r="B538" s="16">
        <f>IF($A538="","",TEXT($A538,"mmm"))</f>
        <v/>
      </c>
      <c r="C538" s="13" t="n"/>
      <c r="D538" s="13" t="n"/>
      <c r="E538" s="17" t="n"/>
      <c r="F538" s="17" t="n"/>
      <c r="G538" s="18">
        <f>IF(AND($E538="",$F538=""),"",N($E538)-N($F538))</f>
        <v/>
      </c>
    </row>
    <row r="539">
      <c r="A539" s="15" t="n"/>
      <c r="B539" s="16">
        <f>IF($A539="","",TEXT($A539,"mmm"))</f>
        <v/>
      </c>
      <c r="C539" s="13" t="n"/>
      <c r="D539" s="13" t="n"/>
      <c r="E539" s="17" t="n"/>
      <c r="F539" s="17" t="n"/>
      <c r="G539" s="18">
        <f>IF(AND($E539="",$F539=""),"",N($E539)-N($F539))</f>
        <v/>
      </c>
    </row>
    <row r="540">
      <c r="A540" s="15" t="n"/>
      <c r="B540" s="16">
        <f>IF($A540="","",TEXT($A540,"mmm"))</f>
        <v/>
      </c>
      <c r="C540" s="13" t="n"/>
      <c r="D540" s="13" t="n"/>
      <c r="E540" s="17" t="n"/>
      <c r="F540" s="17" t="n"/>
      <c r="G540" s="18">
        <f>IF(AND($E540="",$F540=""),"",N($E540)-N($F540))</f>
        <v/>
      </c>
    </row>
    <row r="541">
      <c r="A541" s="15" t="n"/>
      <c r="B541" s="16">
        <f>IF($A541="","",TEXT($A541,"mmm"))</f>
        <v/>
      </c>
      <c r="C541" s="13" t="n"/>
      <c r="D541" s="13" t="n"/>
      <c r="E541" s="17" t="n"/>
      <c r="F541" s="17" t="n"/>
      <c r="G541" s="18">
        <f>IF(AND($E541="",$F541=""),"",N($E541)-N($F541))</f>
        <v/>
      </c>
    </row>
    <row r="542">
      <c r="A542" s="15" t="n"/>
      <c r="B542" s="16">
        <f>IF($A542="","",TEXT($A542,"mmm"))</f>
        <v/>
      </c>
      <c r="C542" s="13" t="n"/>
      <c r="D542" s="13" t="n"/>
      <c r="E542" s="17" t="n"/>
      <c r="F542" s="17" t="n"/>
      <c r="G542" s="18">
        <f>IF(AND($E542="",$F542=""),"",N($E542)-N($F542))</f>
        <v/>
      </c>
    </row>
    <row r="543">
      <c r="A543" s="15" t="n"/>
      <c r="B543" s="16">
        <f>IF($A543="","",TEXT($A543,"mmm"))</f>
        <v/>
      </c>
      <c r="C543" s="13" t="n"/>
      <c r="D543" s="13" t="n"/>
      <c r="E543" s="17" t="n"/>
      <c r="F543" s="17" t="n"/>
      <c r="G543" s="18">
        <f>IF(AND($E543="",$F543=""),"",N($E543)-N($F543))</f>
        <v/>
      </c>
    </row>
    <row r="544">
      <c r="A544" s="15" t="n"/>
      <c r="B544" s="16">
        <f>IF($A544="","",TEXT($A544,"mmm"))</f>
        <v/>
      </c>
      <c r="C544" s="13" t="n"/>
      <c r="D544" s="13" t="n"/>
      <c r="E544" s="17" t="n"/>
      <c r="F544" s="17" t="n"/>
      <c r="G544" s="18">
        <f>IF(AND($E544="",$F544=""),"",N($E544)-N($F544))</f>
        <v/>
      </c>
    </row>
    <row r="545">
      <c r="A545" s="15" t="n"/>
      <c r="B545" s="16">
        <f>IF($A545="","",TEXT($A545,"mmm"))</f>
        <v/>
      </c>
      <c r="C545" s="13" t="n"/>
      <c r="D545" s="13" t="n"/>
      <c r="E545" s="17" t="n"/>
      <c r="F545" s="17" t="n"/>
      <c r="G545" s="18">
        <f>IF(AND($E545="",$F545=""),"",N($E545)-N($F545))</f>
        <v/>
      </c>
    </row>
    <row r="546">
      <c r="A546" s="15" t="n"/>
      <c r="B546" s="16">
        <f>IF($A546="","",TEXT($A546,"mmm"))</f>
        <v/>
      </c>
      <c r="C546" s="13" t="n"/>
      <c r="D546" s="13" t="n"/>
      <c r="E546" s="17" t="n"/>
      <c r="F546" s="17" t="n"/>
      <c r="G546" s="18">
        <f>IF(AND($E546="",$F546=""),"",N($E546)-N($F546))</f>
        <v/>
      </c>
    </row>
    <row r="547">
      <c r="A547" s="15" t="n"/>
      <c r="B547" s="16">
        <f>IF($A547="","",TEXT($A547,"mmm"))</f>
        <v/>
      </c>
      <c r="C547" s="13" t="n"/>
      <c r="D547" s="13" t="n"/>
      <c r="E547" s="17" t="n"/>
      <c r="F547" s="17" t="n"/>
      <c r="G547" s="18">
        <f>IF(AND($E547="",$F547=""),"",N($E547)-N($F547))</f>
        <v/>
      </c>
    </row>
    <row r="548">
      <c r="A548" s="15" t="n"/>
      <c r="B548" s="16">
        <f>IF($A548="","",TEXT($A548,"mmm"))</f>
        <v/>
      </c>
      <c r="C548" s="13" t="n"/>
      <c r="D548" s="13" t="n"/>
      <c r="E548" s="17" t="n"/>
      <c r="F548" s="17" t="n"/>
      <c r="G548" s="18">
        <f>IF(AND($E548="",$F548=""),"",N($E548)-N($F548))</f>
        <v/>
      </c>
    </row>
    <row r="549">
      <c r="A549" s="15" t="n"/>
      <c r="B549" s="16">
        <f>IF($A549="","",TEXT($A549,"mmm"))</f>
        <v/>
      </c>
      <c r="C549" s="13" t="n"/>
      <c r="D549" s="13" t="n"/>
      <c r="E549" s="17" t="n"/>
      <c r="F549" s="17" t="n"/>
      <c r="G549" s="18">
        <f>IF(AND($E549="",$F549=""),"",N($E549)-N($F549))</f>
        <v/>
      </c>
    </row>
    <row r="550">
      <c r="A550" s="15" t="n"/>
      <c r="B550" s="16">
        <f>IF($A550="","",TEXT($A550,"mmm"))</f>
        <v/>
      </c>
      <c r="C550" s="13" t="n"/>
      <c r="D550" s="13" t="n"/>
      <c r="E550" s="17" t="n"/>
      <c r="F550" s="17" t="n"/>
      <c r="G550" s="18">
        <f>IF(AND($E550="",$F550=""),"",N($E550)-N($F550))</f>
        <v/>
      </c>
    </row>
    <row r="551">
      <c r="A551" s="15" t="n"/>
      <c r="B551" s="16">
        <f>IF($A551="","",TEXT($A551,"mmm"))</f>
        <v/>
      </c>
      <c r="C551" s="13" t="n"/>
      <c r="D551" s="13" t="n"/>
      <c r="E551" s="17" t="n"/>
      <c r="F551" s="17" t="n"/>
      <c r="G551" s="18">
        <f>IF(AND($E551="",$F551=""),"",N($E551)-N($F551))</f>
        <v/>
      </c>
    </row>
    <row r="552">
      <c r="A552" s="15" t="n"/>
      <c r="B552" s="16">
        <f>IF($A552="","",TEXT($A552,"mmm"))</f>
        <v/>
      </c>
      <c r="C552" s="13" t="n"/>
      <c r="D552" s="13" t="n"/>
      <c r="E552" s="17" t="n"/>
      <c r="F552" s="17" t="n"/>
      <c r="G552" s="18">
        <f>IF(AND($E552="",$F552=""),"",N($E552)-N($F552))</f>
        <v/>
      </c>
    </row>
    <row r="553">
      <c r="A553" s="15" t="n"/>
      <c r="B553" s="16">
        <f>IF($A553="","",TEXT($A553,"mmm"))</f>
        <v/>
      </c>
      <c r="C553" s="13" t="n"/>
      <c r="D553" s="13" t="n"/>
      <c r="E553" s="17" t="n"/>
      <c r="F553" s="17" t="n"/>
      <c r="G553" s="18">
        <f>IF(AND($E553="",$F553=""),"",N($E553)-N($F553))</f>
        <v/>
      </c>
    </row>
    <row r="554">
      <c r="A554" s="15" t="n"/>
      <c r="B554" s="16">
        <f>IF($A554="","",TEXT($A554,"mmm"))</f>
        <v/>
      </c>
      <c r="C554" s="13" t="n"/>
      <c r="D554" s="13" t="n"/>
      <c r="E554" s="17" t="n"/>
      <c r="F554" s="17" t="n"/>
      <c r="G554" s="18">
        <f>IF(AND($E554="",$F554=""),"",N($E554)-N($F554))</f>
        <v/>
      </c>
    </row>
    <row r="555">
      <c r="A555" s="15" t="n"/>
      <c r="B555" s="16">
        <f>IF($A555="","",TEXT($A555,"mmm"))</f>
        <v/>
      </c>
      <c r="C555" s="13" t="n"/>
      <c r="D555" s="13" t="n"/>
      <c r="E555" s="17" t="n"/>
      <c r="F555" s="17" t="n"/>
      <c r="G555" s="18">
        <f>IF(AND($E555="",$F555=""),"",N($E555)-N($F555))</f>
        <v/>
      </c>
    </row>
    <row r="556">
      <c r="A556" s="15" t="n"/>
      <c r="B556" s="16">
        <f>IF($A556="","",TEXT($A556,"mmm"))</f>
        <v/>
      </c>
      <c r="C556" s="13" t="n"/>
      <c r="D556" s="13" t="n"/>
      <c r="E556" s="17" t="n"/>
      <c r="F556" s="17" t="n"/>
      <c r="G556" s="18">
        <f>IF(AND($E556="",$F556=""),"",N($E556)-N($F556))</f>
        <v/>
      </c>
    </row>
    <row r="557">
      <c r="A557" s="15" t="n"/>
      <c r="B557" s="16">
        <f>IF($A557="","",TEXT($A557,"mmm"))</f>
        <v/>
      </c>
      <c r="C557" s="13" t="n"/>
      <c r="D557" s="13" t="n"/>
      <c r="E557" s="17" t="n"/>
      <c r="F557" s="17" t="n"/>
      <c r="G557" s="18">
        <f>IF(AND($E557="",$F557=""),"",N($E557)-N($F557))</f>
        <v/>
      </c>
    </row>
    <row r="558">
      <c r="A558" s="15" t="n"/>
      <c r="B558" s="16">
        <f>IF($A558="","",TEXT($A558,"mmm"))</f>
        <v/>
      </c>
      <c r="C558" s="13" t="n"/>
      <c r="D558" s="13" t="n"/>
      <c r="E558" s="17" t="n"/>
      <c r="F558" s="17" t="n"/>
      <c r="G558" s="18">
        <f>IF(AND($E558="",$F558=""),"",N($E558)-N($F558))</f>
        <v/>
      </c>
    </row>
    <row r="559">
      <c r="A559" s="15" t="n"/>
      <c r="B559" s="16">
        <f>IF($A559="","",TEXT($A559,"mmm"))</f>
        <v/>
      </c>
      <c r="C559" s="13" t="n"/>
      <c r="D559" s="13" t="n"/>
      <c r="E559" s="17" t="n"/>
      <c r="F559" s="17" t="n"/>
      <c r="G559" s="18">
        <f>IF(AND($E559="",$F559=""),"",N($E559)-N($F559))</f>
        <v/>
      </c>
    </row>
    <row r="560">
      <c r="A560" s="15" t="n"/>
      <c r="B560" s="16">
        <f>IF($A560="","",TEXT($A560,"mmm"))</f>
        <v/>
      </c>
      <c r="C560" s="13" t="n"/>
      <c r="D560" s="13" t="n"/>
      <c r="E560" s="17" t="n"/>
      <c r="F560" s="17" t="n"/>
      <c r="G560" s="18">
        <f>IF(AND($E560="",$F560=""),"",N($E560)-N($F560))</f>
        <v/>
      </c>
    </row>
    <row r="561">
      <c r="A561" s="15" t="n"/>
      <c r="B561" s="16">
        <f>IF($A561="","",TEXT($A561,"mmm"))</f>
        <v/>
      </c>
      <c r="C561" s="13" t="n"/>
      <c r="D561" s="13" t="n"/>
      <c r="E561" s="17" t="n"/>
      <c r="F561" s="17" t="n"/>
      <c r="G561" s="18">
        <f>IF(AND($E561="",$F561=""),"",N($E561)-N($F561))</f>
        <v/>
      </c>
    </row>
    <row r="562">
      <c r="A562" s="15" t="n"/>
      <c r="B562" s="16">
        <f>IF($A562="","",TEXT($A562,"mmm"))</f>
        <v/>
      </c>
      <c r="C562" s="13" t="n"/>
      <c r="D562" s="13" t="n"/>
      <c r="E562" s="17" t="n"/>
      <c r="F562" s="17" t="n"/>
      <c r="G562" s="18">
        <f>IF(AND($E562="",$F562=""),"",N($E562)-N($F562))</f>
        <v/>
      </c>
    </row>
    <row r="563">
      <c r="A563" s="15" t="n"/>
      <c r="B563" s="16">
        <f>IF($A563="","",TEXT($A563,"mmm"))</f>
        <v/>
      </c>
      <c r="C563" s="13" t="n"/>
      <c r="D563" s="13" t="n"/>
      <c r="E563" s="17" t="n"/>
      <c r="F563" s="17" t="n"/>
      <c r="G563" s="18">
        <f>IF(AND($E563="",$F563=""),"",N($E563)-N($F563))</f>
        <v/>
      </c>
    </row>
    <row r="564">
      <c r="A564" s="15" t="n"/>
      <c r="B564" s="16">
        <f>IF($A564="","",TEXT($A564,"mmm"))</f>
        <v/>
      </c>
      <c r="C564" s="13" t="n"/>
      <c r="D564" s="13" t="n"/>
      <c r="E564" s="17" t="n"/>
      <c r="F564" s="17" t="n"/>
      <c r="G564" s="18">
        <f>IF(AND($E564="",$F564=""),"",N($E564)-N($F564))</f>
        <v/>
      </c>
    </row>
    <row r="565">
      <c r="A565" s="15" t="n"/>
      <c r="B565" s="16">
        <f>IF($A565="","",TEXT($A565,"mmm"))</f>
        <v/>
      </c>
      <c r="C565" s="13" t="n"/>
      <c r="D565" s="13" t="n"/>
      <c r="E565" s="17" t="n"/>
      <c r="F565" s="17" t="n"/>
      <c r="G565" s="18">
        <f>IF(AND($E565="",$F565=""),"",N($E565)-N($F565))</f>
        <v/>
      </c>
    </row>
    <row r="566">
      <c r="A566" s="15" t="n"/>
      <c r="B566" s="16">
        <f>IF($A566="","",TEXT($A566,"mmm"))</f>
        <v/>
      </c>
      <c r="C566" s="13" t="n"/>
      <c r="D566" s="13" t="n"/>
      <c r="E566" s="17" t="n"/>
      <c r="F566" s="17" t="n"/>
      <c r="G566" s="18">
        <f>IF(AND($E566="",$F566=""),"",N($E566)-N($F566))</f>
        <v/>
      </c>
    </row>
    <row r="567">
      <c r="A567" s="15" t="n"/>
      <c r="B567" s="16">
        <f>IF($A567="","",TEXT($A567,"mmm"))</f>
        <v/>
      </c>
      <c r="C567" s="13" t="n"/>
      <c r="D567" s="13" t="n"/>
      <c r="E567" s="17" t="n"/>
      <c r="F567" s="17" t="n"/>
      <c r="G567" s="18">
        <f>IF(AND($E567="",$F567=""),"",N($E567)-N($F567))</f>
        <v/>
      </c>
    </row>
    <row r="568">
      <c r="A568" s="15" t="n"/>
      <c r="B568" s="16">
        <f>IF($A568="","",TEXT($A568,"mmm"))</f>
        <v/>
      </c>
      <c r="C568" s="13" t="n"/>
      <c r="D568" s="13" t="n"/>
      <c r="E568" s="17" t="n"/>
      <c r="F568" s="17" t="n"/>
      <c r="G568" s="18">
        <f>IF(AND($E568="",$F568=""),"",N($E568)-N($F568))</f>
        <v/>
      </c>
    </row>
    <row r="569">
      <c r="A569" s="15" t="n"/>
      <c r="B569" s="16">
        <f>IF($A569="","",TEXT($A569,"mmm"))</f>
        <v/>
      </c>
      <c r="C569" s="13" t="n"/>
      <c r="D569" s="13" t="n"/>
      <c r="E569" s="17" t="n"/>
      <c r="F569" s="17" t="n"/>
      <c r="G569" s="18">
        <f>IF(AND($E569="",$F569=""),"",N($E569)-N($F569))</f>
        <v/>
      </c>
    </row>
    <row r="570">
      <c r="A570" s="15" t="n"/>
      <c r="B570" s="16">
        <f>IF($A570="","",TEXT($A570,"mmm"))</f>
        <v/>
      </c>
      <c r="C570" s="13" t="n"/>
      <c r="D570" s="13" t="n"/>
      <c r="E570" s="17" t="n"/>
      <c r="F570" s="17" t="n"/>
      <c r="G570" s="18">
        <f>IF(AND($E570="",$F570=""),"",N($E570)-N($F570))</f>
        <v/>
      </c>
    </row>
    <row r="571">
      <c r="A571" s="15" t="n"/>
      <c r="B571" s="16">
        <f>IF($A571="","",TEXT($A571,"mmm"))</f>
        <v/>
      </c>
      <c r="C571" s="13" t="n"/>
      <c r="D571" s="13" t="n"/>
      <c r="E571" s="17" t="n"/>
      <c r="F571" s="17" t="n"/>
      <c r="G571" s="18">
        <f>IF(AND($E571="",$F571=""),"",N($E571)-N($F571))</f>
        <v/>
      </c>
    </row>
    <row r="572">
      <c r="A572" s="15" t="n"/>
      <c r="B572" s="16">
        <f>IF($A572="","",TEXT($A572,"mmm"))</f>
        <v/>
      </c>
      <c r="C572" s="13" t="n"/>
      <c r="D572" s="13" t="n"/>
      <c r="E572" s="17" t="n"/>
      <c r="F572" s="17" t="n"/>
      <c r="G572" s="18">
        <f>IF(AND($E572="",$F572=""),"",N($E572)-N($F572))</f>
        <v/>
      </c>
    </row>
    <row r="573">
      <c r="A573" s="15" t="n"/>
      <c r="B573" s="16">
        <f>IF($A573="","",TEXT($A573,"mmm"))</f>
        <v/>
      </c>
      <c r="C573" s="13" t="n"/>
      <c r="D573" s="13" t="n"/>
      <c r="E573" s="17" t="n"/>
      <c r="F573" s="17" t="n"/>
      <c r="G573" s="18">
        <f>IF(AND($E573="",$F573=""),"",N($E573)-N($F573))</f>
        <v/>
      </c>
    </row>
    <row r="574">
      <c r="A574" s="15" t="n"/>
      <c r="B574" s="16">
        <f>IF($A574="","",TEXT($A574,"mmm"))</f>
        <v/>
      </c>
      <c r="C574" s="13" t="n"/>
      <c r="D574" s="13" t="n"/>
      <c r="E574" s="17" t="n"/>
      <c r="F574" s="17" t="n"/>
      <c r="G574" s="18">
        <f>IF(AND($E574="",$F574=""),"",N($E574)-N($F574))</f>
        <v/>
      </c>
    </row>
    <row r="575">
      <c r="A575" s="15" t="n"/>
      <c r="B575" s="16">
        <f>IF($A575="","",TEXT($A575,"mmm"))</f>
        <v/>
      </c>
      <c r="C575" s="13" t="n"/>
      <c r="D575" s="13" t="n"/>
      <c r="E575" s="17" t="n"/>
      <c r="F575" s="17" t="n"/>
      <c r="G575" s="18">
        <f>IF(AND($E575="",$F575=""),"",N($E575)-N($F575))</f>
        <v/>
      </c>
    </row>
    <row r="576">
      <c r="A576" s="15" t="n"/>
      <c r="B576" s="16">
        <f>IF($A576="","",TEXT($A576,"mmm"))</f>
        <v/>
      </c>
      <c r="C576" s="13" t="n"/>
      <c r="D576" s="13" t="n"/>
      <c r="E576" s="17" t="n"/>
      <c r="F576" s="17" t="n"/>
      <c r="G576" s="18">
        <f>IF(AND($E576="",$F576=""),"",N($E576)-N($F576))</f>
        <v/>
      </c>
    </row>
    <row r="577">
      <c r="A577" s="15" t="n"/>
      <c r="B577" s="16">
        <f>IF($A577="","",TEXT($A577,"mmm"))</f>
        <v/>
      </c>
      <c r="C577" s="13" t="n"/>
      <c r="D577" s="13" t="n"/>
      <c r="E577" s="17" t="n"/>
      <c r="F577" s="17" t="n"/>
      <c r="G577" s="18">
        <f>IF(AND($E577="",$F577=""),"",N($E577)-N($F577))</f>
        <v/>
      </c>
    </row>
    <row r="578">
      <c r="A578" s="15" t="n"/>
      <c r="B578" s="16">
        <f>IF($A578="","",TEXT($A578,"mmm"))</f>
        <v/>
      </c>
      <c r="C578" s="13" t="n"/>
      <c r="D578" s="13" t="n"/>
      <c r="E578" s="17" t="n"/>
      <c r="F578" s="17" t="n"/>
      <c r="G578" s="18">
        <f>IF(AND($E578="",$F578=""),"",N($E578)-N($F578))</f>
        <v/>
      </c>
    </row>
    <row r="579">
      <c r="A579" s="15" t="n"/>
      <c r="B579" s="16">
        <f>IF($A579="","",TEXT($A579,"mmm"))</f>
        <v/>
      </c>
      <c r="C579" s="13" t="n"/>
      <c r="D579" s="13" t="n"/>
      <c r="E579" s="17" t="n"/>
      <c r="F579" s="17" t="n"/>
      <c r="G579" s="18">
        <f>IF(AND($E579="",$F579=""),"",N($E579)-N($F579))</f>
        <v/>
      </c>
    </row>
    <row r="580">
      <c r="A580" s="15" t="n"/>
      <c r="B580" s="16">
        <f>IF($A580="","",TEXT($A580,"mmm"))</f>
        <v/>
      </c>
      <c r="C580" s="13" t="n"/>
      <c r="D580" s="13" t="n"/>
      <c r="E580" s="17" t="n"/>
      <c r="F580" s="17" t="n"/>
      <c r="G580" s="18">
        <f>IF(AND($E580="",$F580=""),"",N($E580)-N($F580))</f>
        <v/>
      </c>
    </row>
    <row r="581">
      <c r="A581" s="15" t="n"/>
      <c r="B581" s="16">
        <f>IF($A581="","",TEXT($A581,"mmm"))</f>
        <v/>
      </c>
      <c r="C581" s="13" t="n"/>
      <c r="D581" s="13" t="n"/>
      <c r="E581" s="17" t="n"/>
      <c r="F581" s="17" t="n"/>
      <c r="G581" s="18">
        <f>IF(AND($E581="",$F581=""),"",N($E581)-N($F581))</f>
        <v/>
      </c>
    </row>
    <row r="582">
      <c r="A582" s="15" t="n"/>
      <c r="B582" s="16">
        <f>IF($A582="","",TEXT($A582,"mmm"))</f>
        <v/>
      </c>
      <c r="C582" s="13" t="n"/>
      <c r="D582" s="13" t="n"/>
      <c r="E582" s="17" t="n"/>
      <c r="F582" s="17" t="n"/>
      <c r="G582" s="18">
        <f>IF(AND($E582="",$F582=""),"",N($E582)-N($F582))</f>
        <v/>
      </c>
    </row>
    <row r="583">
      <c r="A583" s="15" t="n"/>
      <c r="B583" s="16">
        <f>IF($A583="","",TEXT($A583,"mmm"))</f>
        <v/>
      </c>
      <c r="C583" s="13" t="n"/>
      <c r="D583" s="13" t="n"/>
      <c r="E583" s="17" t="n"/>
      <c r="F583" s="17" t="n"/>
      <c r="G583" s="18">
        <f>IF(AND($E583="",$F583=""),"",N($E583)-N($F583))</f>
        <v/>
      </c>
    </row>
    <row r="584">
      <c r="A584" s="15" t="n"/>
      <c r="B584" s="16">
        <f>IF($A584="","",TEXT($A584,"mmm"))</f>
        <v/>
      </c>
      <c r="C584" s="13" t="n"/>
      <c r="D584" s="13" t="n"/>
      <c r="E584" s="17" t="n"/>
      <c r="F584" s="17" t="n"/>
      <c r="G584" s="18">
        <f>IF(AND($E584="",$F584=""),"",N($E584)-N($F584))</f>
        <v/>
      </c>
    </row>
    <row r="585">
      <c r="A585" s="15" t="n"/>
      <c r="B585" s="16">
        <f>IF($A585="","",TEXT($A585,"mmm"))</f>
        <v/>
      </c>
      <c r="C585" s="13" t="n"/>
      <c r="D585" s="13" t="n"/>
      <c r="E585" s="17" t="n"/>
      <c r="F585" s="17" t="n"/>
      <c r="G585" s="18">
        <f>IF(AND($E585="",$F585=""),"",N($E585)-N($F585))</f>
        <v/>
      </c>
    </row>
    <row r="586">
      <c r="A586" s="15" t="n"/>
      <c r="B586" s="16">
        <f>IF($A586="","",TEXT($A586,"mmm"))</f>
        <v/>
      </c>
      <c r="C586" s="13" t="n"/>
      <c r="D586" s="13" t="n"/>
      <c r="E586" s="17" t="n"/>
      <c r="F586" s="17" t="n"/>
      <c r="G586" s="18">
        <f>IF(AND($E586="",$F586=""),"",N($E586)-N($F586))</f>
        <v/>
      </c>
    </row>
    <row r="587">
      <c r="A587" s="15" t="n"/>
      <c r="B587" s="16">
        <f>IF($A587="","",TEXT($A587,"mmm"))</f>
        <v/>
      </c>
      <c r="C587" s="13" t="n"/>
      <c r="D587" s="13" t="n"/>
      <c r="E587" s="17" t="n"/>
      <c r="F587" s="17" t="n"/>
      <c r="G587" s="18">
        <f>IF(AND($E587="",$F587=""),"",N($E587)-N($F587))</f>
        <v/>
      </c>
    </row>
    <row r="588">
      <c r="A588" s="15" t="n"/>
      <c r="B588" s="16">
        <f>IF($A588="","",TEXT($A588,"mmm"))</f>
        <v/>
      </c>
      <c r="C588" s="13" t="n"/>
      <c r="D588" s="13" t="n"/>
      <c r="E588" s="17" t="n"/>
      <c r="F588" s="17" t="n"/>
      <c r="G588" s="18">
        <f>IF(AND($E588="",$F588=""),"",N($E588)-N($F588))</f>
        <v/>
      </c>
    </row>
    <row r="589">
      <c r="A589" s="15" t="n"/>
      <c r="B589" s="16">
        <f>IF($A589="","",TEXT($A589,"mmm"))</f>
        <v/>
      </c>
      <c r="C589" s="13" t="n"/>
      <c r="D589" s="13" t="n"/>
      <c r="E589" s="17" t="n"/>
      <c r="F589" s="17" t="n"/>
      <c r="G589" s="18">
        <f>IF(AND($E589="",$F589=""),"",N($E589)-N($F589))</f>
        <v/>
      </c>
    </row>
    <row r="590">
      <c r="A590" s="15" t="n"/>
      <c r="B590" s="16">
        <f>IF($A590="","",TEXT($A590,"mmm"))</f>
        <v/>
      </c>
      <c r="C590" s="13" t="n"/>
      <c r="D590" s="13" t="n"/>
      <c r="E590" s="17" t="n"/>
      <c r="F590" s="17" t="n"/>
      <c r="G590" s="18">
        <f>IF(AND($E590="",$F590=""),"",N($E590)-N($F590))</f>
        <v/>
      </c>
    </row>
    <row r="591">
      <c r="A591" s="15" t="n"/>
      <c r="B591" s="16">
        <f>IF($A591="","",TEXT($A591,"mmm"))</f>
        <v/>
      </c>
      <c r="C591" s="13" t="n"/>
      <c r="D591" s="13" t="n"/>
      <c r="E591" s="17" t="n"/>
      <c r="F591" s="17" t="n"/>
      <c r="G591" s="18">
        <f>IF(AND($E591="",$F591=""),"",N($E591)-N($F591))</f>
        <v/>
      </c>
    </row>
    <row r="592">
      <c r="A592" s="15" t="n"/>
      <c r="B592" s="16">
        <f>IF($A592="","",TEXT($A592,"mmm"))</f>
        <v/>
      </c>
      <c r="C592" s="13" t="n"/>
      <c r="D592" s="13" t="n"/>
      <c r="E592" s="17" t="n"/>
      <c r="F592" s="17" t="n"/>
      <c r="G592" s="18">
        <f>IF(AND($E592="",$F592=""),"",N($E592)-N($F592))</f>
        <v/>
      </c>
    </row>
    <row r="593">
      <c r="A593" s="15" t="n"/>
      <c r="B593" s="16">
        <f>IF($A593="","",TEXT($A593,"mmm"))</f>
        <v/>
      </c>
      <c r="C593" s="13" t="n"/>
      <c r="D593" s="13" t="n"/>
      <c r="E593" s="17" t="n"/>
      <c r="F593" s="17" t="n"/>
      <c r="G593" s="18">
        <f>IF(AND($E593="",$F593=""),"",N($E593)-N($F593))</f>
        <v/>
      </c>
    </row>
    <row r="594">
      <c r="A594" s="15" t="n"/>
      <c r="B594" s="16">
        <f>IF($A594="","",TEXT($A594,"mmm"))</f>
        <v/>
      </c>
      <c r="C594" s="13" t="n"/>
      <c r="D594" s="13" t="n"/>
      <c r="E594" s="17" t="n"/>
      <c r="F594" s="17" t="n"/>
      <c r="G594" s="18">
        <f>IF(AND($E594="",$F594=""),"",N($E594)-N($F594))</f>
        <v/>
      </c>
    </row>
    <row r="595">
      <c r="A595" s="15" t="n"/>
      <c r="B595" s="16">
        <f>IF($A595="","",TEXT($A595,"mmm"))</f>
        <v/>
      </c>
      <c r="C595" s="13" t="n"/>
      <c r="D595" s="13" t="n"/>
      <c r="E595" s="17" t="n"/>
      <c r="F595" s="17" t="n"/>
      <c r="G595" s="18">
        <f>IF(AND($E595="",$F595=""),"",N($E595)-N($F595))</f>
        <v/>
      </c>
    </row>
    <row r="596">
      <c r="A596" s="15" t="n"/>
      <c r="B596" s="16">
        <f>IF($A596="","",TEXT($A596,"mmm"))</f>
        <v/>
      </c>
      <c r="C596" s="13" t="n"/>
      <c r="D596" s="13" t="n"/>
      <c r="E596" s="17" t="n"/>
      <c r="F596" s="17" t="n"/>
      <c r="G596" s="18">
        <f>IF(AND($E596="",$F596=""),"",N($E596)-N($F596))</f>
        <v/>
      </c>
    </row>
    <row r="597">
      <c r="A597" s="15" t="n"/>
      <c r="B597" s="16">
        <f>IF($A597="","",TEXT($A597,"mmm"))</f>
        <v/>
      </c>
      <c r="C597" s="13" t="n"/>
      <c r="D597" s="13" t="n"/>
      <c r="E597" s="17" t="n"/>
      <c r="F597" s="17" t="n"/>
      <c r="G597" s="18">
        <f>IF(AND($E597="",$F597=""),"",N($E597)-N($F597))</f>
        <v/>
      </c>
    </row>
    <row r="598">
      <c r="A598" s="15" t="n"/>
      <c r="B598" s="16">
        <f>IF($A598="","",TEXT($A598,"mmm"))</f>
        <v/>
      </c>
      <c r="C598" s="13" t="n"/>
      <c r="D598" s="13" t="n"/>
      <c r="E598" s="17" t="n"/>
      <c r="F598" s="17" t="n"/>
      <c r="G598" s="18">
        <f>IF(AND($E598="",$F598=""),"",N($E598)-N($F598))</f>
        <v/>
      </c>
    </row>
    <row r="599">
      <c r="A599" s="15" t="n"/>
      <c r="B599" s="16">
        <f>IF($A599="","",TEXT($A599,"mmm"))</f>
        <v/>
      </c>
      <c r="C599" s="13" t="n"/>
      <c r="D599" s="13" t="n"/>
      <c r="E599" s="17" t="n"/>
      <c r="F599" s="17" t="n"/>
      <c r="G599" s="18">
        <f>IF(AND($E599="",$F599=""),"",N($E599)-N($F599))</f>
        <v/>
      </c>
    </row>
    <row r="600">
      <c r="A600" s="15" t="n"/>
      <c r="B600" s="16">
        <f>IF($A600="","",TEXT($A600,"mmm"))</f>
        <v/>
      </c>
      <c r="C600" s="13" t="n"/>
      <c r="D600" s="13" t="n"/>
      <c r="E600" s="17" t="n"/>
      <c r="F600" s="17" t="n"/>
      <c r="G600" s="18">
        <f>IF(AND($E600="",$F600=""),"",N($E600)-N($F600))</f>
        <v/>
      </c>
    </row>
    <row r="601">
      <c r="A601" s="15" t="n"/>
      <c r="B601" s="16">
        <f>IF($A601="","",TEXT($A601,"mmm"))</f>
        <v/>
      </c>
      <c r="C601" s="13" t="n"/>
      <c r="D601" s="13" t="n"/>
      <c r="E601" s="17" t="n"/>
      <c r="F601" s="17" t="n"/>
      <c r="G601" s="18">
        <f>IF(AND($E601="",$F601=""),"",N($E601)-N($F601))</f>
        <v/>
      </c>
    </row>
    <row r="602">
      <c r="A602" s="15" t="n"/>
      <c r="B602" s="16">
        <f>IF($A602="","",TEXT($A602,"mmm"))</f>
        <v/>
      </c>
      <c r="C602" s="13" t="n"/>
      <c r="D602" s="13" t="n"/>
      <c r="E602" s="17" t="n"/>
      <c r="F602" s="17" t="n"/>
      <c r="G602" s="18">
        <f>IF(AND($E602="",$F602=""),"",N($E602)-N($F602))</f>
        <v/>
      </c>
    </row>
    <row r="603">
      <c r="A603" s="15" t="n"/>
      <c r="B603" s="16">
        <f>IF($A603="","",TEXT($A603,"mmm"))</f>
        <v/>
      </c>
      <c r="C603" s="13" t="n"/>
      <c r="D603" s="13" t="n"/>
      <c r="E603" s="17" t="n"/>
      <c r="F603" s="17" t="n"/>
      <c r="G603" s="18">
        <f>IF(AND($E603="",$F603=""),"",N($E603)-N($F603))</f>
        <v/>
      </c>
    </row>
    <row r="604">
      <c r="A604" s="15" t="n"/>
      <c r="B604" s="16">
        <f>IF($A604="","",TEXT($A604,"mmm"))</f>
        <v/>
      </c>
      <c r="C604" s="13" t="n"/>
      <c r="D604" s="13" t="n"/>
      <c r="E604" s="17" t="n"/>
      <c r="F604" s="17" t="n"/>
      <c r="G604" s="18">
        <f>IF(AND($E604="",$F604=""),"",N($E604)-N($F604))</f>
        <v/>
      </c>
    </row>
    <row r="605">
      <c r="A605" s="15" t="n"/>
      <c r="B605" s="16">
        <f>IF($A605="","",TEXT($A605,"mmm"))</f>
        <v/>
      </c>
      <c r="C605" s="13" t="n"/>
      <c r="D605" s="13" t="n"/>
      <c r="E605" s="17" t="n"/>
      <c r="F605" s="17" t="n"/>
      <c r="G605" s="18">
        <f>IF(AND($E605="",$F605=""),"",N($E605)-N($F605))</f>
        <v/>
      </c>
    </row>
    <row r="606">
      <c r="A606" s="15" t="n"/>
      <c r="B606" s="16">
        <f>IF($A606="","",TEXT($A606,"mmm"))</f>
        <v/>
      </c>
      <c r="C606" s="13" t="n"/>
      <c r="D606" s="13" t="n"/>
      <c r="E606" s="17" t="n"/>
      <c r="F606" s="17" t="n"/>
      <c r="G606" s="18">
        <f>IF(AND($E606="",$F606=""),"",N($E606)-N($F606))</f>
        <v/>
      </c>
    </row>
    <row r="607">
      <c r="A607" s="15" t="n"/>
      <c r="B607" s="16">
        <f>IF($A607="","",TEXT($A607,"mmm"))</f>
        <v/>
      </c>
      <c r="C607" s="13" t="n"/>
      <c r="D607" s="13" t="n"/>
      <c r="E607" s="17" t="n"/>
      <c r="F607" s="17" t="n"/>
      <c r="G607" s="18">
        <f>IF(AND($E607="",$F607=""),"",N($E607)-N($F607))</f>
        <v/>
      </c>
    </row>
    <row r="608">
      <c r="A608" s="15" t="n"/>
      <c r="B608" s="16">
        <f>IF($A608="","",TEXT($A608,"mmm"))</f>
        <v/>
      </c>
      <c r="C608" s="13" t="n"/>
      <c r="D608" s="13" t="n"/>
      <c r="E608" s="17" t="n"/>
      <c r="F608" s="17" t="n"/>
      <c r="G608" s="18">
        <f>IF(AND($E608="",$F608=""),"",N($E608)-N($F608))</f>
        <v/>
      </c>
    </row>
    <row r="609">
      <c r="A609" s="15" t="n"/>
      <c r="B609" s="16">
        <f>IF($A609="","",TEXT($A609,"mmm"))</f>
        <v/>
      </c>
      <c r="C609" s="13" t="n"/>
      <c r="D609" s="13" t="n"/>
      <c r="E609" s="17" t="n"/>
      <c r="F609" s="17" t="n"/>
      <c r="G609" s="18">
        <f>IF(AND($E609="",$F609=""),"",N($E609)-N($F609))</f>
        <v/>
      </c>
    </row>
    <row r="610">
      <c r="A610" s="15" t="n"/>
      <c r="B610" s="16">
        <f>IF($A610="","",TEXT($A610,"mmm"))</f>
        <v/>
      </c>
      <c r="C610" s="13" t="n"/>
      <c r="D610" s="13" t="n"/>
      <c r="E610" s="17" t="n"/>
      <c r="F610" s="17" t="n"/>
      <c r="G610" s="18">
        <f>IF(AND($E610="",$F610=""),"",N($E610)-N($F610))</f>
        <v/>
      </c>
    </row>
    <row r="611">
      <c r="A611" s="15" t="n"/>
      <c r="B611" s="16">
        <f>IF($A611="","",TEXT($A611,"mmm"))</f>
        <v/>
      </c>
      <c r="C611" s="13" t="n"/>
      <c r="D611" s="13" t="n"/>
      <c r="E611" s="17" t="n"/>
      <c r="F611" s="17" t="n"/>
      <c r="G611" s="18">
        <f>IF(AND($E611="",$F611=""),"",N($E611)-N($F611))</f>
        <v/>
      </c>
    </row>
    <row r="612">
      <c r="A612" s="15" t="n"/>
      <c r="B612" s="16">
        <f>IF($A612="","",TEXT($A612,"mmm"))</f>
        <v/>
      </c>
      <c r="C612" s="13" t="n"/>
      <c r="D612" s="13" t="n"/>
      <c r="E612" s="17" t="n"/>
      <c r="F612" s="17" t="n"/>
      <c r="G612" s="18">
        <f>IF(AND($E612="",$F612=""),"",N($E612)-N($F612))</f>
        <v/>
      </c>
    </row>
    <row r="613">
      <c r="A613" s="15" t="n"/>
      <c r="B613" s="16">
        <f>IF($A613="","",TEXT($A613,"mmm"))</f>
        <v/>
      </c>
      <c r="C613" s="13" t="n"/>
      <c r="D613" s="13" t="n"/>
      <c r="E613" s="17" t="n"/>
      <c r="F613" s="17" t="n"/>
      <c r="G613" s="18">
        <f>IF(AND($E613="",$F613=""),"",N($E613)-N($F613))</f>
        <v/>
      </c>
    </row>
    <row r="614">
      <c r="A614" s="15" t="n"/>
      <c r="B614" s="16">
        <f>IF($A614="","",TEXT($A614,"mmm"))</f>
        <v/>
      </c>
      <c r="C614" s="13" t="n"/>
      <c r="D614" s="13" t="n"/>
      <c r="E614" s="17" t="n"/>
      <c r="F614" s="17" t="n"/>
      <c r="G614" s="18">
        <f>IF(AND($E614="",$F614=""),"",N($E614)-N($F614))</f>
        <v/>
      </c>
    </row>
    <row r="615">
      <c r="A615" s="15" t="n"/>
      <c r="B615" s="16">
        <f>IF($A615="","",TEXT($A615,"mmm"))</f>
        <v/>
      </c>
      <c r="C615" s="13" t="n"/>
      <c r="D615" s="13" t="n"/>
      <c r="E615" s="17" t="n"/>
      <c r="F615" s="17" t="n"/>
      <c r="G615" s="18">
        <f>IF(AND($E615="",$F615=""),"",N($E615)-N($F615))</f>
        <v/>
      </c>
    </row>
    <row r="616">
      <c r="A616" s="15" t="n"/>
      <c r="B616" s="16">
        <f>IF($A616="","",TEXT($A616,"mmm"))</f>
        <v/>
      </c>
      <c r="C616" s="13" t="n"/>
      <c r="D616" s="13" t="n"/>
      <c r="E616" s="17" t="n"/>
      <c r="F616" s="17" t="n"/>
      <c r="G616" s="18">
        <f>IF(AND($E616="",$F616=""),"",N($E616)-N($F616))</f>
        <v/>
      </c>
    </row>
    <row r="617">
      <c r="A617" s="15" t="n"/>
      <c r="B617" s="16">
        <f>IF($A617="","",TEXT($A617,"mmm"))</f>
        <v/>
      </c>
      <c r="C617" s="13" t="n"/>
      <c r="D617" s="13" t="n"/>
      <c r="E617" s="17" t="n"/>
      <c r="F617" s="17" t="n"/>
      <c r="G617" s="18">
        <f>IF(AND($E617="",$F617=""),"",N($E617)-N($F617))</f>
        <v/>
      </c>
    </row>
    <row r="618">
      <c r="A618" s="15" t="n"/>
      <c r="B618" s="16">
        <f>IF($A618="","",TEXT($A618,"mmm"))</f>
        <v/>
      </c>
      <c r="C618" s="13" t="n"/>
      <c r="D618" s="13" t="n"/>
      <c r="E618" s="17" t="n"/>
      <c r="F618" s="17" t="n"/>
      <c r="G618" s="18">
        <f>IF(AND($E618="",$F618=""),"",N($E618)-N($F618))</f>
        <v/>
      </c>
    </row>
    <row r="619">
      <c r="A619" s="15" t="n"/>
      <c r="B619" s="16">
        <f>IF($A619="","",TEXT($A619,"mmm"))</f>
        <v/>
      </c>
      <c r="C619" s="13" t="n"/>
      <c r="D619" s="13" t="n"/>
      <c r="E619" s="17" t="n"/>
      <c r="F619" s="17" t="n"/>
      <c r="G619" s="18">
        <f>IF(AND($E619="",$F619=""),"",N($E619)-N($F619))</f>
        <v/>
      </c>
    </row>
    <row r="620">
      <c r="A620" s="15" t="n"/>
      <c r="B620" s="16">
        <f>IF($A620="","",TEXT($A620,"mmm"))</f>
        <v/>
      </c>
      <c r="C620" s="13" t="n"/>
      <c r="D620" s="13" t="n"/>
      <c r="E620" s="17" t="n"/>
      <c r="F620" s="17" t="n"/>
      <c r="G620" s="18">
        <f>IF(AND($E620="",$F620=""),"",N($E620)-N($F620))</f>
        <v/>
      </c>
    </row>
    <row r="621">
      <c r="A621" s="15" t="n"/>
      <c r="B621" s="16">
        <f>IF($A621="","",TEXT($A621,"mmm"))</f>
        <v/>
      </c>
      <c r="C621" s="13" t="n"/>
      <c r="D621" s="13" t="n"/>
      <c r="E621" s="17" t="n"/>
      <c r="F621" s="17" t="n"/>
      <c r="G621" s="18">
        <f>IF(AND($E621="",$F621=""),"",N($E621)-N($F621))</f>
        <v/>
      </c>
    </row>
    <row r="622">
      <c r="A622" s="15" t="n"/>
      <c r="B622" s="16">
        <f>IF($A622="","",TEXT($A622,"mmm"))</f>
        <v/>
      </c>
      <c r="C622" s="13" t="n"/>
      <c r="D622" s="13" t="n"/>
      <c r="E622" s="17" t="n"/>
      <c r="F622" s="17" t="n"/>
      <c r="G622" s="18">
        <f>IF(AND($E622="",$F622=""),"",N($E622)-N($F622))</f>
        <v/>
      </c>
    </row>
    <row r="623">
      <c r="A623" s="15" t="n"/>
      <c r="B623" s="16">
        <f>IF($A623="","",TEXT($A623,"mmm"))</f>
        <v/>
      </c>
      <c r="C623" s="13" t="n"/>
      <c r="D623" s="13" t="n"/>
      <c r="E623" s="17" t="n"/>
      <c r="F623" s="17" t="n"/>
      <c r="G623" s="18">
        <f>IF(AND($E623="",$F623=""),"",N($E623)-N($F623))</f>
        <v/>
      </c>
    </row>
    <row r="624">
      <c r="A624" s="15" t="n"/>
      <c r="B624" s="16">
        <f>IF($A624="","",TEXT($A624,"mmm"))</f>
        <v/>
      </c>
      <c r="C624" s="13" t="n"/>
      <c r="D624" s="13" t="n"/>
      <c r="E624" s="17" t="n"/>
      <c r="F624" s="17" t="n"/>
      <c r="G624" s="18">
        <f>IF(AND($E624="",$F624=""),"",N($E624)-N($F624))</f>
        <v/>
      </c>
    </row>
    <row r="625">
      <c r="A625" s="15" t="n"/>
      <c r="B625" s="16">
        <f>IF($A625="","",TEXT($A625,"mmm"))</f>
        <v/>
      </c>
      <c r="C625" s="13" t="n"/>
      <c r="D625" s="13" t="n"/>
      <c r="E625" s="17" t="n"/>
      <c r="F625" s="17" t="n"/>
      <c r="G625" s="18">
        <f>IF(AND($E625="",$F625=""),"",N($E625)-N($F625))</f>
        <v/>
      </c>
    </row>
    <row r="626">
      <c r="A626" s="15" t="n"/>
      <c r="B626" s="16">
        <f>IF($A626="","",TEXT($A626,"mmm"))</f>
        <v/>
      </c>
      <c r="C626" s="13" t="n"/>
      <c r="D626" s="13" t="n"/>
      <c r="E626" s="17" t="n"/>
      <c r="F626" s="17" t="n"/>
      <c r="G626" s="18">
        <f>IF(AND($E626="",$F626=""),"",N($E626)-N($F626))</f>
        <v/>
      </c>
    </row>
    <row r="627">
      <c r="A627" s="15" t="n"/>
      <c r="B627" s="16">
        <f>IF($A627="","",TEXT($A627,"mmm"))</f>
        <v/>
      </c>
      <c r="C627" s="13" t="n"/>
      <c r="D627" s="13" t="n"/>
      <c r="E627" s="17" t="n"/>
      <c r="F627" s="17" t="n"/>
      <c r="G627" s="18">
        <f>IF(AND($E627="",$F627=""),"",N($E627)-N($F627))</f>
        <v/>
      </c>
    </row>
    <row r="628">
      <c r="A628" s="15" t="n"/>
      <c r="B628" s="16">
        <f>IF($A628="","",TEXT($A628,"mmm"))</f>
        <v/>
      </c>
      <c r="C628" s="13" t="n"/>
      <c r="D628" s="13" t="n"/>
      <c r="E628" s="17" t="n"/>
      <c r="F628" s="17" t="n"/>
      <c r="G628" s="18">
        <f>IF(AND($E628="",$F628=""),"",N($E628)-N($F628))</f>
        <v/>
      </c>
    </row>
    <row r="629">
      <c r="A629" s="15" t="n"/>
      <c r="B629" s="16">
        <f>IF($A629="","",TEXT($A629,"mmm"))</f>
        <v/>
      </c>
      <c r="C629" s="13" t="n"/>
      <c r="D629" s="13" t="n"/>
      <c r="E629" s="17" t="n"/>
      <c r="F629" s="17" t="n"/>
      <c r="G629" s="18">
        <f>IF(AND($E629="",$F629=""),"",N($E629)-N($F629))</f>
        <v/>
      </c>
    </row>
    <row r="630">
      <c r="A630" s="15" t="n"/>
      <c r="B630" s="16">
        <f>IF($A630="","",TEXT($A630,"mmm"))</f>
        <v/>
      </c>
      <c r="C630" s="13" t="n"/>
      <c r="D630" s="13" t="n"/>
      <c r="E630" s="17" t="n"/>
      <c r="F630" s="17" t="n"/>
      <c r="G630" s="18">
        <f>IF(AND($E630="",$F630=""),"",N($E630)-N($F630))</f>
        <v/>
      </c>
    </row>
    <row r="631">
      <c r="A631" s="15" t="n"/>
      <c r="B631" s="16">
        <f>IF($A631="","",TEXT($A631,"mmm"))</f>
        <v/>
      </c>
      <c r="C631" s="13" t="n"/>
      <c r="D631" s="13" t="n"/>
      <c r="E631" s="17" t="n"/>
      <c r="F631" s="17" t="n"/>
      <c r="G631" s="18">
        <f>IF(AND($E631="",$F631=""),"",N($E631)-N($F631))</f>
        <v/>
      </c>
    </row>
    <row r="632">
      <c r="A632" s="15" t="n"/>
      <c r="B632" s="16">
        <f>IF($A632="","",TEXT($A632,"mmm"))</f>
        <v/>
      </c>
      <c r="C632" s="13" t="n"/>
      <c r="D632" s="13" t="n"/>
      <c r="E632" s="17" t="n"/>
      <c r="F632" s="17" t="n"/>
      <c r="G632" s="18">
        <f>IF(AND($E632="",$F632=""),"",N($E632)-N($F632))</f>
        <v/>
      </c>
    </row>
    <row r="633">
      <c r="A633" s="15" t="n"/>
      <c r="B633" s="16">
        <f>IF($A633="","",TEXT($A633,"mmm"))</f>
        <v/>
      </c>
      <c r="C633" s="13" t="n"/>
      <c r="D633" s="13" t="n"/>
      <c r="E633" s="17" t="n"/>
      <c r="F633" s="17" t="n"/>
      <c r="G633" s="18">
        <f>IF(AND($E633="",$F633=""),"",N($E633)-N($F633))</f>
        <v/>
      </c>
    </row>
    <row r="634">
      <c r="A634" s="15" t="n"/>
      <c r="B634" s="16">
        <f>IF($A634="","",TEXT($A634,"mmm"))</f>
        <v/>
      </c>
      <c r="C634" s="13" t="n"/>
      <c r="D634" s="13" t="n"/>
      <c r="E634" s="17" t="n"/>
      <c r="F634" s="17" t="n"/>
      <c r="G634" s="18">
        <f>IF(AND($E634="",$F634=""),"",N($E634)-N($F634))</f>
        <v/>
      </c>
    </row>
    <row r="635">
      <c r="A635" s="15" t="n"/>
      <c r="B635" s="16">
        <f>IF($A635="","",TEXT($A635,"mmm"))</f>
        <v/>
      </c>
      <c r="C635" s="13" t="n"/>
      <c r="D635" s="13" t="n"/>
      <c r="E635" s="17" t="n"/>
      <c r="F635" s="17" t="n"/>
      <c r="G635" s="18">
        <f>IF(AND($E635="",$F635=""),"",N($E635)-N($F635))</f>
        <v/>
      </c>
    </row>
    <row r="636">
      <c r="A636" s="15" t="n"/>
      <c r="B636" s="16">
        <f>IF($A636="","",TEXT($A636,"mmm"))</f>
        <v/>
      </c>
      <c r="C636" s="13" t="n"/>
      <c r="D636" s="13" t="n"/>
      <c r="E636" s="17" t="n"/>
      <c r="F636" s="17" t="n"/>
      <c r="G636" s="18">
        <f>IF(AND($E636="",$F636=""),"",N($E636)-N($F636))</f>
        <v/>
      </c>
    </row>
    <row r="637">
      <c r="A637" s="15" t="n"/>
      <c r="B637" s="16">
        <f>IF($A637="","",TEXT($A637,"mmm"))</f>
        <v/>
      </c>
      <c r="C637" s="13" t="n"/>
      <c r="D637" s="13" t="n"/>
      <c r="E637" s="17" t="n"/>
      <c r="F637" s="17" t="n"/>
      <c r="G637" s="18">
        <f>IF(AND($E637="",$F637=""),"",N($E637)-N($F637))</f>
        <v/>
      </c>
    </row>
    <row r="638">
      <c r="A638" s="15" t="n"/>
      <c r="B638" s="16">
        <f>IF($A638="","",TEXT($A638,"mmm"))</f>
        <v/>
      </c>
      <c r="C638" s="13" t="n"/>
      <c r="D638" s="13" t="n"/>
      <c r="E638" s="17" t="n"/>
      <c r="F638" s="17" t="n"/>
      <c r="G638" s="18">
        <f>IF(AND($E638="",$F638=""),"",N($E638)-N($F638))</f>
        <v/>
      </c>
    </row>
    <row r="639">
      <c r="A639" s="15" t="n"/>
      <c r="B639" s="16">
        <f>IF($A639="","",TEXT($A639,"mmm"))</f>
        <v/>
      </c>
      <c r="C639" s="13" t="n"/>
      <c r="D639" s="13" t="n"/>
      <c r="E639" s="17" t="n"/>
      <c r="F639" s="17" t="n"/>
      <c r="G639" s="18">
        <f>IF(AND($E639="",$F639=""),"",N($E639)-N($F639))</f>
        <v/>
      </c>
    </row>
    <row r="640">
      <c r="A640" s="15" t="n"/>
      <c r="B640" s="16">
        <f>IF($A640="","",TEXT($A640,"mmm"))</f>
        <v/>
      </c>
      <c r="C640" s="13" t="n"/>
      <c r="D640" s="13" t="n"/>
      <c r="E640" s="17" t="n"/>
      <c r="F640" s="17" t="n"/>
      <c r="G640" s="18">
        <f>IF(AND($E640="",$F640=""),"",N($E640)-N($F640))</f>
        <v/>
      </c>
    </row>
    <row r="641">
      <c r="A641" s="15" t="n"/>
      <c r="B641" s="16">
        <f>IF($A641="","",TEXT($A641,"mmm"))</f>
        <v/>
      </c>
      <c r="C641" s="13" t="n"/>
      <c r="D641" s="13" t="n"/>
      <c r="E641" s="17" t="n"/>
      <c r="F641" s="17" t="n"/>
      <c r="G641" s="18">
        <f>IF(AND($E641="",$F641=""),"",N($E641)-N($F641))</f>
        <v/>
      </c>
    </row>
    <row r="642">
      <c r="A642" s="15" t="n"/>
      <c r="B642" s="16">
        <f>IF($A642="","",TEXT($A642,"mmm"))</f>
        <v/>
      </c>
      <c r="C642" s="13" t="n"/>
      <c r="D642" s="13" t="n"/>
      <c r="E642" s="17" t="n"/>
      <c r="F642" s="17" t="n"/>
      <c r="G642" s="18">
        <f>IF(AND($E642="",$F642=""),"",N($E642)-N($F642))</f>
        <v/>
      </c>
    </row>
    <row r="643">
      <c r="A643" s="15" t="n"/>
      <c r="B643" s="16">
        <f>IF($A643="","",TEXT($A643,"mmm"))</f>
        <v/>
      </c>
      <c r="C643" s="13" t="n"/>
      <c r="D643" s="13" t="n"/>
      <c r="E643" s="17" t="n"/>
      <c r="F643" s="17" t="n"/>
      <c r="G643" s="18">
        <f>IF(AND($E643="",$F643=""),"",N($E643)-N($F643))</f>
        <v/>
      </c>
    </row>
    <row r="644">
      <c r="A644" s="15" t="n"/>
      <c r="B644" s="16">
        <f>IF($A644="","",TEXT($A644,"mmm"))</f>
        <v/>
      </c>
      <c r="C644" s="13" t="n"/>
      <c r="D644" s="13" t="n"/>
      <c r="E644" s="17" t="n"/>
      <c r="F644" s="17" t="n"/>
      <c r="G644" s="18">
        <f>IF(AND($E644="",$F644=""),"",N($E644)-N($F644))</f>
        <v/>
      </c>
    </row>
    <row r="645">
      <c r="A645" s="15" t="n"/>
      <c r="B645" s="16">
        <f>IF($A645="","",TEXT($A645,"mmm"))</f>
        <v/>
      </c>
      <c r="C645" s="13" t="n"/>
      <c r="D645" s="13" t="n"/>
      <c r="E645" s="17" t="n"/>
      <c r="F645" s="17" t="n"/>
      <c r="G645" s="18">
        <f>IF(AND($E645="",$F645=""),"",N($E645)-N($F645))</f>
        <v/>
      </c>
    </row>
    <row r="646">
      <c r="A646" s="15" t="n"/>
      <c r="B646" s="16">
        <f>IF($A646="","",TEXT($A646,"mmm"))</f>
        <v/>
      </c>
      <c r="C646" s="13" t="n"/>
      <c r="D646" s="13" t="n"/>
      <c r="E646" s="17" t="n"/>
      <c r="F646" s="17" t="n"/>
      <c r="G646" s="18">
        <f>IF(AND($E646="",$F646=""),"",N($E646)-N($F646))</f>
        <v/>
      </c>
    </row>
    <row r="647">
      <c r="A647" s="15" t="n"/>
      <c r="B647" s="16">
        <f>IF($A647="","",TEXT($A647,"mmm"))</f>
        <v/>
      </c>
      <c r="C647" s="13" t="n"/>
      <c r="D647" s="13" t="n"/>
      <c r="E647" s="17" t="n"/>
      <c r="F647" s="17" t="n"/>
      <c r="G647" s="18">
        <f>IF(AND($E647="",$F647=""),"",N($E647)-N($F647))</f>
        <v/>
      </c>
    </row>
    <row r="648">
      <c r="A648" s="15" t="n"/>
      <c r="B648" s="16">
        <f>IF($A648="","",TEXT($A648,"mmm"))</f>
        <v/>
      </c>
      <c r="C648" s="13" t="n"/>
      <c r="D648" s="13" t="n"/>
      <c r="E648" s="17" t="n"/>
      <c r="F648" s="17" t="n"/>
      <c r="G648" s="18">
        <f>IF(AND($E648="",$F648=""),"",N($E648)-N($F648))</f>
        <v/>
      </c>
    </row>
    <row r="649">
      <c r="A649" s="15" t="n"/>
      <c r="B649" s="16">
        <f>IF($A649="","",TEXT($A649,"mmm"))</f>
        <v/>
      </c>
      <c r="C649" s="13" t="n"/>
      <c r="D649" s="13" t="n"/>
      <c r="E649" s="17" t="n"/>
      <c r="F649" s="17" t="n"/>
      <c r="G649" s="18">
        <f>IF(AND($E649="",$F649=""),"",N($E649)-N($F649))</f>
        <v/>
      </c>
    </row>
    <row r="650">
      <c r="A650" s="15" t="n"/>
      <c r="B650" s="16">
        <f>IF($A650="","",TEXT($A650,"mmm"))</f>
        <v/>
      </c>
      <c r="C650" s="13" t="n"/>
      <c r="D650" s="13" t="n"/>
      <c r="E650" s="17" t="n"/>
      <c r="F650" s="17" t="n"/>
      <c r="G650" s="18">
        <f>IF(AND($E650="",$F650=""),"",N($E650)-N($F650))</f>
        <v/>
      </c>
    </row>
    <row r="651">
      <c r="A651" s="15" t="n"/>
      <c r="B651" s="16">
        <f>IF($A651="","",TEXT($A651,"mmm"))</f>
        <v/>
      </c>
      <c r="C651" s="13" t="n"/>
      <c r="D651" s="13" t="n"/>
      <c r="E651" s="17" t="n"/>
      <c r="F651" s="17" t="n"/>
      <c r="G651" s="18">
        <f>IF(AND($E651="",$F651=""),"",N($E651)-N($F651))</f>
        <v/>
      </c>
    </row>
    <row r="652">
      <c r="A652" s="15" t="n"/>
      <c r="B652" s="16">
        <f>IF($A652="","",TEXT($A652,"mmm"))</f>
        <v/>
      </c>
      <c r="C652" s="13" t="n"/>
      <c r="D652" s="13" t="n"/>
      <c r="E652" s="17" t="n"/>
      <c r="F652" s="17" t="n"/>
      <c r="G652" s="18">
        <f>IF(AND($E652="",$F652=""),"",N($E652)-N($F652))</f>
        <v/>
      </c>
    </row>
    <row r="653">
      <c r="A653" s="15" t="n"/>
      <c r="B653" s="16">
        <f>IF($A653="","",TEXT($A653,"mmm"))</f>
        <v/>
      </c>
      <c r="C653" s="13" t="n"/>
      <c r="D653" s="13" t="n"/>
      <c r="E653" s="17" t="n"/>
      <c r="F653" s="17" t="n"/>
      <c r="G653" s="18">
        <f>IF(AND($E653="",$F653=""),"",N($E653)-N($F653))</f>
        <v/>
      </c>
    </row>
    <row r="654">
      <c r="A654" s="15" t="n"/>
      <c r="B654" s="16">
        <f>IF($A654="","",TEXT($A654,"mmm"))</f>
        <v/>
      </c>
      <c r="C654" s="13" t="n"/>
      <c r="D654" s="13" t="n"/>
      <c r="E654" s="17" t="n"/>
      <c r="F654" s="17" t="n"/>
      <c r="G654" s="18">
        <f>IF(AND($E654="",$F654=""),"",N($E654)-N($F654))</f>
        <v/>
      </c>
    </row>
    <row r="655">
      <c r="A655" s="15" t="n"/>
      <c r="B655" s="16">
        <f>IF($A655="","",TEXT($A655,"mmm"))</f>
        <v/>
      </c>
      <c r="C655" s="13" t="n"/>
      <c r="D655" s="13" t="n"/>
      <c r="E655" s="17" t="n"/>
      <c r="F655" s="17" t="n"/>
      <c r="G655" s="18">
        <f>IF(AND($E655="",$F655=""),"",N($E655)-N($F655))</f>
        <v/>
      </c>
    </row>
    <row r="656">
      <c r="A656" s="15" t="n"/>
      <c r="B656" s="16">
        <f>IF($A656="","",TEXT($A656,"mmm"))</f>
        <v/>
      </c>
      <c r="C656" s="13" t="n"/>
      <c r="D656" s="13" t="n"/>
      <c r="E656" s="17" t="n"/>
      <c r="F656" s="17" t="n"/>
      <c r="G656" s="18">
        <f>IF(AND($E656="",$F656=""),"",N($E656)-N($F656))</f>
        <v/>
      </c>
    </row>
    <row r="657">
      <c r="A657" s="15" t="n"/>
      <c r="B657" s="16">
        <f>IF($A657="","",TEXT($A657,"mmm"))</f>
        <v/>
      </c>
      <c r="C657" s="13" t="n"/>
      <c r="D657" s="13" t="n"/>
      <c r="E657" s="17" t="n"/>
      <c r="F657" s="17" t="n"/>
      <c r="G657" s="18">
        <f>IF(AND($E657="",$F657=""),"",N($E657)-N($F657))</f>
        <v/>
      </c>
    </row>
    <row r="658">
      <c r="A658" s="15" t="n"/>
      <c r="B658" s="16">
        <f>IF($A658="","",TEXT($A658,"mmm"))</f>
        <v/>
      </c>
      <c r="C658" s="13" t="n"/>
      <c r="D658" s="13" t="n"/>
      <c r="E658" s="17" t="n"/>
      <c r="F658" s="17" t="n"/>
      <c r="G658" s="18">
        <f>IF(AND($E658="",$F658=""),"",N($E658)-N($F658))</f>
        <v/>
      </c>
    </row>
    <row r="659">
      <c r="A659" s="15" t="n"/>
      <c r="B659" s="16">
        <f>IF($A659="","",TEXT($A659,"mmm"))</f>
        <v/>
      </c>
      <c r="C659" s="13" t="n"/>
      <c r="D659" s="13" t="n"/>
      <c r="E659" s="17" t="n"/>
      <c r="F659" s="17" t="n"/>
      <c r="G659" s="18">
        <f>IF(AND($E659="",$F659=""),"",N($E659)-N($F659))</f>
        <v/>
      </c>
    </row>
    <row r="660">
      <c r="A660" s="15" t="n"/>
      <c r="B660" s="16">
        <f>IF($A660="","",TEXT($A660,"mmm"))</f>
        <v/>
      </c>
      <c r="C660" s="13" t="n"/>
      <c r="D660" s="13" t="n"/>
      <c r="E660" s="17" t="n"/>
      <c r="F660" s="17" t="n"/>
      <c r="G660" s="18">
        <f>IF(AND($E660="",$F660=""),"",N($E660)-N($F660))</f>
        <v/>
      </c>
    </row>
    <row r="661">
      <c r="A661" s="15" t="n"/>
      <c r="B661" s="16">
        <f>IF($A661="","",TEXT($A661,"mmm"))</f>
        <v/>
      </c>
      <c r="C661" s="13" t="n"/>
      <c r="D661" s="13" t="n"/>
      <c r="E661" s="17" t="n"/>
      <c r="F661" s="17" t="n"/>
      <c r="G661" s="18">
        <f>IF(AND($E661="",$F661=""),"",N($E661)-N($F661))</f>
        <v/>
      </c>
    </row>
    <row r="662">
      <c r="A662" s="15" t="n"/>
      <c r="B662" s="16">
        <f>IF($A662="","",TEXT($A662,"mmm"))</f>
        <v/>
      </c>
      <c r="C662" s="13" t="n"/>
      <c r="D662" s="13" t="n"/>
      <c r="E662" s="17" t="n"/>
      <c r="F662" s="17" t="n"/>
      <c r="G662" s="18">
        <f>IF(AND($E662="",$F662=""),"",N($E662)-N($F662))</f>
        <v/>
      </c>
    </row>
    <row r="663">
      <c r="A663" s="15" t="n"/>
      <c r="B663" s="16">
        <f>IF($A663="","",TEXT($A663,"mmm"))</f>
        <v/>
      </c>
      <c r="C663" s="13" t="n"/>
      <c r="D663" s="13" t="n"/>
      <c r="E663" s="17" t="n"/>
      <c r="F663" s="17" t="n"/>
      <c r="G663" s="18">
        <f>IF(AND($E663="",$F663=""),"",N($E663)-N($F663))</f>
        <v/>
      </c>
    </row>
    <row r="664">
      <c r="A664" s="15" t="n"/>
      <c r="B664" s="16">
        <f>IF($A664="","",TEXT($A664,"mmm"))</f>
        <v/>
      </c>
      <c r="C664" s="13" t="n"/>
      <c r="D664" s="13" t="n"/>
      <c r="E664" s="17" t="n"/>
      <c r="F664" s="17" t="n"/>
      <c r="G664" s="18">
        <f>IF(AND($E664="",$F664=""),"",N($E664)-N($F664))</f>
        <v/>
      </c>
    </row>
    <row r="665">
      <c r="A665" s="15" t="n"/>
      <c r="B665" s="16">
        <f>IF($A665="","",TEXT($A665,"mmm"))</f>
        <v/>
      </c>
      <c r="C665" s="13" t="n"/>
      <c r="D665" s="13" t="n"/>
      <c r="E665" s="17" t="n"/>
      <c r="F665" s="17" t="n"/>
      <c r="G665" s="18">
        <f>IF(AND($E665="",$F665=""),"",N($E665)-N($F665))</f>
        <v/>
      </c>
    </row>
    <row r="666">
      <c r="A666" s="15" t="n"/>
      <c r="B666" s="16">
        <f>IF($A666="","",TEXT($A666,"mmm"))</f>
        <v/>
      </c>
      <c r="C666" s="13" t="n"/>
      <c r="D666" s="13" t="n"/>
      <c r="E666" s="17" t="n"/>
      <c r="F666" s="17" t="n"/>
      <c r="G666" s="18">
        <f>IF(AND($E666="",$F666=""),"",N($E666)-N($F666))</f>
        <v/>
      </c>
    </row>
    <row r="667">
      <c r="A667" s="15" t="n"/>
      <c r="B667" s="16">
        <f>IF($A667="","",TEXT($A667,"mmm"))</f>
        <v/>
      </c>
      <c r="C667" s="13" t="n"/>
      <c r="D667" s="13" t="n"/>
      <c r="E667" s="17" t="n"/>
      <c r="F667" s="17" t="n"/>
      <c r="G667" s="18">
        <f>IF(AND($E667="",$F667=""),"",N($E667)-N($F667))</f>
        <v/>
      </c>
    </row>
    <row r="668">
      <c r="A668" s="15" t="n"/>
      <c r="B668" s="16">
        <f>IF($A668="","",TEXT($A668,"mmm"))</f>
        <v/>
      </c>
      <c r="C668" s="13" t="n"/>
      <c r="D668" s="13" t="n"/>
      <c r="E668" s="17" t="n"/>
      <c r="F668" s="17" t="n"/>
      <c r="G668" s="18">
        <f>IF(AND($E668="",$F668=""),"",N($E668)-N($F668))</f>
        <v/>
      </c>
    </row>
    <row r="669">
      <c r="A669" s="15" t="n"/>
      <c r="B669" s="16">
        <f>IF($A669="","",TEXT($A669,"mmm"))</f>
        <v/>
      </c>
      <c r="C669" s="13" t="n"/>
      <c r="D669" s="13" t="n"/>
      <c r="E669" s="17" t="n"/>
      <c r="F669" s="17" t="n"/>
      <c r="G669" s="18">
        <f>IF(AND($E669="",$F669=""),"",N($E669)-N($F669))</f>
        <v/>
      </c>
    </row>
    <row r="670">
      <c r="A670" s="15" t="n"/>
      <c r="B670" s="16">
        <f>IF($A670="","",TEXT($A670,"mmm"))</f>
        <v/>
      </c>
      <c r="C670" s="13" t="n"/>
      <c r="D670" s="13" t="n"/>
      <c r="E670" s="17" t="n"/>
      <c r="F670" s="17" t="n"/>
      <c r="G670" s="18">
        <f>IF(AND($E670="",$F670=""),"",N($E670)-N($F670))</f>
        <v/>
      </c>
    </row>
    <row r="671">
      <c r="A671" s="15" t="n"/>
      <c r="B671" s="16">
        <f>IF($A671="","",TEXT($A671,"mmm"))</f>
        <v/>
      </c>
      <c r="C671" s="13" t="n"/>
      <c r="D671" s="13" t="n"/>
      <c r="E671" s="17" t="n"/>
      <c r="F671" s="17" t="n"/>
      <c r="G671" s="18">
        <f>IF(AND($E671="",$F671=""),"",N($E671)-N($F671))</f>
        <v/>
      </c>
    </row>
    <row r="672">
      <c r="A672" s="15" t="n"/>
      <c r="B672" s="16">
        <f>IF($A672="","",TEXT($A672,"mmm"))</f>
        <v/>
      </c>
      <c r="C672" s="13" t="n"/>
      <c r="D672" s="13" t="n"/>
      <c r="E672" s="17" t="n"/>
      <c r="F672" s="17" t="n"/>
      <c r="G672" s="18">
        <f>IF(AND($E672="",$F672=""),"",N($E672)-N($F672))</f>
        <v/>
      </c>
    </row>
    <row r="673">
      <c r="A673" s="15" t="n"/>
      <c r="B673" s="16">
        <f>IF($A673="","",TEXT($A673,"mmm"))</f>
        <v/>
      </c>
      <c r="C673" s="13" t="n"/>
      <c r="D673" s="13" t="n"/>
      <c r="E673" s="17" t="n"/>
      <c r="F673" s="17" t="n"/>
      <c r="G673" s="18">
        <f>IF(AND($E673="",$F673=""),"",N($E673)-N($F673))</f>
        <v/>
      </c>
    </row>
    <row r="674">
      <c r="A674" s="15" t="n"/>
      <c r="B674" s="16">
        <f>IF($A674="","",TEXT($A674,"mmm"))</f>
        <v/>
      </c>
      <c r="C674" s="13" t="n"/>
      <c r="D674" s="13" t="n"/>
      <c r="E674" s="17" t="n"/>
      <c r="F674" s="17" t="n"/>
      <c r="G674" s="18">
        <f>IF(AND($E674="",$F674=""),"",N($E674)-N($F674))</f>
        <v/>
      </c>
    </row>
    <row r="675">
      <c r="A675" s="15" t="n"/>
      <c r="B675" s="16">
        <f>IF($A675="","",TEXT($A675,"mmm"))</f>
        <v/>
      </c>
      <c r="C675" s="13" t="n"/>
      <c r="D675" s="13" t="n"/>
      <c r="E675" s="17" t="n"/>
      <c r="F675" s="17" t="n"/>
      <c r="G675" s="18">
        <f>IF(AND($E675="",$F675=""),"",N($E675)-N($F675))</f>
        <v/>
      </c>
    </row>
    <row r="676">
      <c r="A676" s="15" t="n"/>
      <c r="B676" s="16">
        <f>IF($A676="","",TEXT($A676,"mmm"))</f>
        <v/>
      </c>
      <c r="C676" s="13" t="n"/>
      <c r="D676" s="13" t="n"/>
      <c r="E676" s="17" t="n"/>
      <c r="F676" s="17" t="n"/>
      <c r="G676" s="18">
        <f>IF(AND($E676="",$F676=""),"",N($E676)-N($F676))</f>
        <v/>
      </c>
    </row>
    <row r="677">
      <c r="A677" s="15" t="n"/>
      <c r="B677" s="16">
        <f>IF($A677="","",TEXT($A677,"mmm"))</f>
        <v/>
      </c>
      <c r="C677" s="13" t="n"/>
      <c r="D677" s="13" t="n"/>
      <c r="E677" s="17" t="n"/>
      <c r="F677" s="17" t="n"/>
      <c r="G677" s="18">
        <f>IF(AND($E677="",$F677=""),"",N($E677)-N($F677))</f>
        <v/>
      </c>
    </row>
    <row r="678">
      <c r="A678" s="15" t="n"/>
      <c r="B678" s="16">
        <f>IF($A678="","",TEXT($A678,"mmm"))</f>
        <v/>
      </c>
      <c r="C678" s="13" t="n"/>
      <c r="D678" s="13" t="n"/>
      <c r="E678" s="17" t="n"/>
      <c r="F678" s="17" t="n"/>
      <c r="G678" s="18">
        <f>IF(AND($E678="",$F678=""),"",N($E678)-N($F678))</f>
        <v/>
      </c>
    </row>
    <row r="679">
      <c r="A679" s="15" t="n"/>
      <c r="B679" s="16">
        <f>IF($A679="","",TEXT($A679,"mmm"))</f>
        <v/>
      </c>
      <c r="C679" s="13" t="n"/>
      <c r="D679" s="13" t="n"/>
      <c r="E679" s="17" t="n"/>
      <c r="F679" s="17" t="n"/>
      <c r="G679" s="18">
        <f>IF(AND($E679="",$F679=""),"",N($E679)-N($F679))</f>
        <v/>
      </c>
    </row>
    <row r="680">
      <c r="A680" s="15" t="n"/>
      <c r="B680" s="16">
        <f>IF($A680="","",TEXT($A680,"mmm"))</f>
        <v/>
      </c>
      <c r="C680" s="13" t="n"/>
      <c r="D680" s="13" t="n"/>
      <c r="E680" s="17" t="n"/>
      <c r="F680" s="17" t="n"/>
      <c r="G680" s="18">
        <f>IF(AND($E680="",$F680=""),"",N($E680)-N($F680))</f>
        <v/>
      </c>
    </row>
    <row r="681">
      <c r="A681" s="15" t="n"/>
      <c r="B681" s="16">
        <f>IF($A681="","",TEXT($A681,"mmm"))</f>
        <v/>
      </c>
      <c r="C681" s="13" t="n"/>
      <c r="D681" s="13" t="n"/>
      <c r="E681" s="17" t="n"/>
      <c r="F681" s="17" t="n"/>
      <c r="G681" s="18">
        <f>IF(AND($E681="",$F681=""),"",N($E681)-N($F681))</f>
        <v/>
      </c>
    </row>
    <row r="682">
      <c r="A682" s="15" t="n"/>
      <c r="B682" s="16">
        <f>IF($A682="","",TEXT($A682,"mmm"))</f>
        <v/>
      </c>
      <c r="C682" s="13" t="n"/>
      <c r="D682" s="13" t="n"/>
      <c r="E682" s="17" t="n"/>
      <c r="F682" s="17" t="n"/>
      <c r="G682" s="18">
        <f>IF(AND($E682="",$F682=""),"",N($E682)-N($F682))</f>
        <v/>
      </c>
    </row>
    <row r="683">
      <c r="A683" s="15" t="n"/>
      <c r="B683" s="16">
        <f>IF($A683="","",TEXT($A683,"mmm"))</f>
        <v/>
      </c>
      <c r="C683" s="13" t="n"/>
      <c r="D683" s="13" t="n"/>
      <c r="E683" s="17" t="n"/>
      <c r="F683" s="17" t="n"/>
      <c r="G683" s="18">
        <f>IF(AND($E683="",$F683=""),"",N($E683)-N($F683))</f>
        <v/>
      </c>
    </row>
    <row r="684">
      <c r="A684" s="15" t="n"/>
      <c r="B684" s="16">
        <f>IF($A684="","",TEXT($A684,"mmm"))</f>
        <v/>
      </c>
      <c r="C684" s="13" t="n"/>
      <c r="D684" s="13" t="n"/>
      <c r="E684" s="17" t="n"/>
      <c r="F684" s="17" t="n"/>
      <c r="G684" s="18">
        <f>IF(AND($E684="",$F684=""),"",N($E684)-N($F684))</f>
        <v/>
      </c>
    </row>
    <row r="685">
      <c r="A685" s="15" t="n"/>
      <c r="B685" s="16">
        <f>IF($A685="","",TEXT($A685,"mmm"))</f>
        <v/>
      </c>
      <c r="C685" s="13" t="n"/>
      <c r="D685" s="13" t="n"/>
      <c r="E685" s="17" t="n"/>
      <c r="F685" s="17" t="n"/>
      <c r="G685" s="18">
        <f>IF(AND($E685="",$F685=""),"",N($E685)-N($F685))</f>
        <v/>
      </c>
    </row>
    <row r="686">
      <c r="A686" s="15" t="n"/>
      <c r="B686" s="16">
        <f>IF($A686="","",TEXT($A686,"mmm"))</f>
        <v/>
      </c>
      <c r="C686" s="13" t="n"/>
      <c r="D686" s="13" t="n"/>
      <c r="E686" s="17" t="n"/>
      <c r="F686" s="17" t="n"/>
      <c r="G686" s="18">
        <f>IF(AND($E686="",$F686=""),"",N($E686)-N($F686))</f>
        <v/>
      </c>
    </row>
    <row r="687">
      <c r="A687" s="15" t="n"/>
      <c r="B687" s="16">
        <f>IF($A687="","",TEXT($A687,"mmm"))</f>
        <v/>
      </c>
      <c r="C687" s="13" t="n"/>
      <c r="D687" s="13" t="n"/>
      <c r="E687" s="17" t="n"/>
      <c r="F687" s="17" t="n"/>
      <c r="G687" s="18">
        <f>IF(AND($E687="",$F687=""),"",N($E687)-N($F687))</f>
        <v/>
      </c>
    </row>
    <row r="688">
      <c r="A688" s="15" t="n"/>
      <c r="B688" s="16">
        <f>IF($A688="","",TEXT($A688,"mmm"))</f>
        <v/>
      </c>
      <c r="C688" s="13" t="n"/>
      <c r="D688" s="13" t="n"/>
      <c r="E688" s="17" t="n"/>
      <c r="F688" s="17" t="n"/>
      <c r="G688" s="18">
        <f>IF(AND($E688="",$F688=""),"",N($E688)-N($F688))</f>
        <v/>
      </c>
    </row>
    <row r="689">
      <c r="A689" s="15" t="n"/>
      <c r="B689" s="16">
        <f>IF($A689="","",TEXT($A689,"mmm"))</f>
        <v/>
      </c>
      <c r="C689" s="13" t="n"/>
      <c r="D689" s="13" t="n"/>
      <c r="E689" s="17" t="n"/>
      <c r="F689" s="17" t="n"/>
      <c r="G689" s="18">
        <f>IF(AND($E689="",$F689=""),"",N($E689)-N($F689))</f>
        <v/>
      </c>
    </row>
    <row r="690">
      <c r="A690" s="15" t="n"/>
      <c r="B690" s="16">
        <f>IF($A690="","",TEXT($A690,"mmm"))</f>
        <v/>
      </c>
      <c r="C690" s="13" t="n"/>
      <c r="D690" s="13" t="n"/>
      <c r="E690" s="17" t="n"/>
      <c r="F690" s="17" t="n"/>
      <c r="G690" s="18">
        <f>IF(AND($E690="",$F690=""),"",N($E690)-N($F690))</f>
        <v/>
      </c>
    </row>
    <row r="691">
      <c r="A691" s="15" t="n"/>
      <c r="B691" s="16">
        <f>IF($A691="","",TEXT($A691,"mmm"))</f>
        <v/>
      </c>
      <c r="C691" s="13" t="n"/>
      <c r="D691" s="13" t="n"/>
      <c r="E691" s="17" t="n"/>
      <c r="F691" s="17" t="n"/>
      <c r="G691" s="18">
        <f>IF(AND($E691="",$F691=""),"",N($E691)-N($F691))</f>
        <v/>
      </c>
    </row>
    <row r="692">
      <c r="A692" s="15" t="n"/>
      <c r="B692" s="16">
        <f>IF($A692="","",TEXT($A692,"mmm"))</f>
        <v/>
      </c>
      <c r="C692" s="13" t="n"/>
      <c r="D692" s="13" t="n"/>
      <c r="E692" s="17" t="n"/>
      <c r="F692" s="17" t="n"/>
      <c r="G692" s="18">
        <f>IF(AND($E692="",$F692=""),"",N($E692)-N($F692))</f>
        <v/>
      </c>
    </row>
    <row r="693">
      <c r="A693" s="15" t="n"/>
      <c r="B693" s="16">
        <f>IF($A693="","",TEXT($A693,"mmm"))</f>
        <v/>
      </c>
      <c r="C693" s="13" t="n"/>
      <c r="D693" s="13" t="n"/>
      <c r="E693" s="17" t="n"/>
      <c r="F693" s="17" t="n"/>
      <c r="G693" s="18">
        <f>IF(AND($E693="",$F693=""),"",N($E693)-N($F693))</f>
        <v/>
      </c>
    </row>
    <row r="694">
      <c r="A694" s="15" t="n"/>
      <c r="B694" s="16">
        <f>IF($A694="","",TEXT($A694,"mmm"))</f>
        <v/>
      </c>
      <c r="C694" s="13" t="n"/>
      <c r="D694" s="13" t="n"/>
      <c r="E694" s="17" t="n"/>
      <c r="F694" s="17" t="n"/>
      <c r="G694" s="18">
        <f>IF(AND($E694="",$F694=""),"",N($E694)-N($F694))</f>
        <v/>
      </c>
    </row>
    <row r="695">
      <c r="A695" s="15" t="n"/>
      <c r="B695" s="16">
        <f>IF($A695="","",TEXT($A695,"mmm"))</f>
        <v/>
      </c>
      <c r="C695" s="13" t="n"/>
      <c r="D695" s="13" t="n"/>
      <c r="E695" s="17" t="n"/>
      <c r="F695" s="17" t="n"/>
      <c r="G695" s="18">
        <f>IF(AND($E695="",$F695=""),"",N($E695)-N($F695))</f>
        <v/>
      </c>
    </row>
    <row r="696">
      <c r="A696" s="15" t="n"/>
      <c r="B696" s="16">
        <f>IF($A696="","",TEXT($A696,"mmm"))</f>
        <v/>
      </c>
      <c r="C696" s="13" t="n"/>
      <c r="D696" s="13" t="n"/>
      <c r="E696" s="17" t="n"/>
      <c r="F696" s="17" t="n"/>
      <c r="G696" s="18">
        <f>IF(AND($E696="",$F696=""),"",N($E696)-N($F696))</f>
        <v/>
      </c>
    </row>
    <row r="697">
      <c r="A697" s="15" t="n"/>
      <c r="B697" s="16">
        <f>IF($A697="","",TEXT($A697,"mmm"))</f>
        <v/>
      </c>
      <c r="C697" s="13" t="n"/>
      <c r="D697" s="13" t="n"/>
      <c r="E697" s="17" t="n"/>
      <c r="F697" s="17" t="n"/>
      <c r="G697" s="18">
        <f>IF(AND($E697="",$F697=""),"",N($E697)-N($F697))</f>
        <v/>
      </c>
    </row>
    <row r="698">
      <c r="A698" s="15" t="n"/>
      <c r="B698" s="16">
        <f>IF($A698="","",TEXT($A698,"mmm"))</f>
        <v/>
      </c>
      <c r="C698" s="13" t="n"/>
      <c r="D698" s="13" t="n"/>
      <c r="E698" s="17" t="n"/>
      <c r="F698" s="17" t="n"/>
      <c r="G698" s="18">
        <f>IF(AND($E698="",$F698=""),"",N($E698)-N($F698))</f>
        <v/>
      </c>
    </row>
    <row r="699">
      <c r="A699" s="15" t="n"/>
      <c r="B699" s="16">
        <f>IF($A699="","",TEXT($A699,"mmm"))</f>
        <v/>
      </c>
      <c r="C699" s="13" t="n"/>
      <c r="D699" s="13" t="n"/>
      <c r="E699" s="17" t="n"/>
      <c r="F699" s="17" t="n"/>
      <c r="G699" s="18">
        <f>IF(AND($E699="",$F699=""),"",N($E699)-N($F699))</f>
        <v/>
      </c>
    </row>
    <row r="700">
      <c r="A700" s="15" t="n"/>
      <c r="B700" s="16">
        <f>IF($A700="","",TEXT($A700,"mmm"))</f>
        <v/>
      </c>
      <c r="C700" s="13" t="n"/>
      <c r="D700" s="13" t="n"/>
      <c r="E700" s="17" t="n"/>
      <c r="F700" s="17" t="n"/>
      <c r="G700" s="18">
        <f>IF(AND($E700="",$F700=""),"",N($E700)-N($F700))</f>
        <v/>
      </c>
    </row>
    <row r="701">
      <c r="A701" s="15" t="n"/>
      <c r="B701" s="16">
        <f>IF($A701="","",TEXT($A701,"mmm"))</f>
        <v/>
      </c>
      <c r="C701" s="13" t="n"/>
      <c r="D701" s="13" t="n"/>
      <c r="E701" s="17" t="n"/>
      <c r="F701" s="17" t="n"/>
      <c r="G701" s="18">
        <f>IF(AND($E701="",$F701=""),"",N($E701)-N($F701))</f>
        <v/>
      </c>
    </row>
    <row r="702">
      <c r="A702" s="15" t="n"/>
      <c r="B702" s="16">
        <f>IF($A702="","",TEXT($A702,"mmm"))</f>
        <v/>
      </c>
      <c r="C702" s="13" t="n"/>
      <c r="D702" s="13" t="n"/>
      <c r="E702" s="17" t="n"/>
      <c r="F702" s="17" t="n"/>
      <c r="G702" s="18">
        <f>IF(AND($E702="",$F702=""),"",N($E702)-N($F702))</f>
        <v/>
      </c>
    </row>
    <row r="703">
      <c r="A703" s="15" t="n"/>
      <c r="B703" s="16">
        <f>IF($A703="","",TEXT($A703,"mmm"))</f>
        <v/>
      </c>
      <c r="C703" s="13" t="n"/>
      <c r="D703" s="13" t="n"/>
      <c r="E703" s="17" t="n"/>
      <c r="F703" s="17" t="n"/>
      <c r="G703" s="18">
        <f>IF(AND($E703="",$F703=""),"",N($E703)-N($F703))</f>
        <v/>
      </c>
    </row>
    <row r="704">
      <c r="A704" s="15" t="n"/>
      <c r="B704" s="16">
        <f>IF($A704="","",TEXT($A704,"mmm"))</f>
        <v/>
      </c>
      <c r="C704" s="13" t="n"/>
      <c r="D704" s="13" t="n"/>
      <c r="E704" s="17" t="n"/>
      <c r="F704" s="17" t="n"/>
      <c r="G704" s="18">
        <f>IF(AND($E704="",$F704=""),"",N($E704)-N($F704))</f>
        <v/>
      </c>
    </row>
    <row r="705">
      <c r="A705" s="15" t="n"/>
      <c r="B705" s="16">
        <f>IF($A705="","",TEXT($A705,"mmm"))</f>
        <v/>
      </c>
      <c r="C705" s="13" t="n"/>
      <c r="D705" s="13" t="n"/>
      <c r="E705" s="17" t="n"/>
      <c r="F705" s="17" t="n"/>
      <c r="G705" s="18">
        <f>IF(AND($E705="",$F705=""),"",N($E705)-N($F705))</f>
        <v/>
      </c>
    </row>
    <row r="706">
      <c r="A706" s="15" t="n"/>
      <c r="B706" s="16">
        <f>IF($A706="","",TEXT($A706,"mmm"))</f>
        <v/>
      </c>
      <c r="C706" s="13" t="n"/>
      <c r="D706" s="13" t="n"/>
      <c r="E706" s="17" t="n"/>
      <c r="F706" s="17" t="n"/>
      <c r="G706" s="18">
        <f>IF(AND($E706="",$F706=""),"",N($E706)-N($F706))</f>
        <v/>
      </c>
    </row>
    <row r="707">
      <c r="A707" s="15" t="n"/>
      <c r="B707" s="16">
        <f>IF($A707="","",TEXT($A707,"mmm"))</f>
        <v/>
      </c>
      <c r="C707" s="13" t="n"/>
      <c r="D707" s="13" t="n"/>
      <c r="E707" s="17" t="n"/>
      <c r="F707" s="17" t="n"/>
      <c r="G707" s="18">
        <f>IF(AND($E707="",$F707=""),"",N($E707)-N($F707))</f>
        <v/>
      </c>
    </row>
    <row r="708">
      <c r="A708" s="15" t="n"/>
      <c r="B708" s="16">
        <f>IF($A708="","",TEXT($A708,"mmm"))</f>
        <v/>
      </c>
      <c r="C708" s="13" t="n"/>
      <c r="D708" s="13" t="n"/>
      <c r="E708" s="17" t="n"/>
      <c r="F708" s="17" t="n"/>
      <c r="G708" s="18">
        <f>IF(AND($E708="",$F708=""),"",N($E708)-N($F708))</f>
        <v/>
      </c>
    </row>
    <row r="709">
      <c r="A709" s="15" t="n"/>
      <c r="B709" s="16">
        <f>IF($A709="","",TEXT($A709,"mmm"))</f>
        <v/>
      </c>
      <c r="C709" s="13" t="n"/>
      <c r="D709" s="13" t="n"/>
      <c r="E709" s="17" t="n"/>
      <c r="F709" s="17" t="n"/>
      <c r="G709" s="18">
        <f>IF(AND($E709="",$F709=""),"",N($E709)-N($F709))</f>
        <v/>
      </c>
    </row>
    <row r="710">
      <c r="A710" s="15" t="n"/>
      <c r="B710" s="16">
        <f>IF($A710="","",TEXT($A710,"mmm"))</f>
        <v/>
      </c>
      <c r="C710" s="13" t="n"/>
      <c r="D710" s="13" t="n"/>
      <c r="E710" s="17" t="n"/>
      <c r="F710" s="17" t="n"/>
      <c r="G710" s="18">
        <f>IF(AND($E710="",$F710=""),"",N($E710)-N($F710))</f>
        <v/>
      </c>
    </row>
    <row r="711">
      <c r="A711" s="15" t="n"/>
      <c r="B711" s="16">
        <f>IF($A711="","",TEXT($A711,"mmm"))</f>
        <v/>
      </c>
      <c r="C711" s="13" t="n"/>
      <c r="D711" s="13" t="n"/>
      <c r="E711" s="17" t="n"/>
      <c r="F711" s="17" t="n"/>
      <c r="G711" s="18">
        <f>IF(AND($E711="",$F711=""),"",N($E711)-N($F711))</f>
        <v/>
      </c>
    </row>
    <row r="712">
      <c r="A712" s="15" t="n"/>
      <c r="B712" s="16">
        <f>IF($A712="","",TEXT($A712,"mmm"))</f>
        <v/>
      </c>
      <c r="C712" s="13" t="n"/>
      <c r="D712" s="13" t="n"/>
      <c r="E712" s="17" t="n"/>
      <c r="F712" s="17" t="n"/>
      <c r="G712" s="18">
        <f>IF(AND($E712="",$F712=""),"",N($E712)-N($F712))</f>
        <v/>
      </c>
    </row>
    <row r="713">
      <c r="A713" s="15" t="n"/>
      <c r="B713" s="16">
        <f>IF($A713="","",TEXT($A713,"mmm"))</f>
        <v/>
      </c>
      <c r="C713" s="13" t="n"/>
      <c r="D713" s="13" t="n"/>
      <c r="E713" s="17" t="n"/>
      <c r="F713" s="17" t="n"/>
      <c r="G713" s="18">
        <f>IF(AND($E713="",$F713=""),"",N($E713)-N($F713))</f>
        <v/>
      </c>
    </row>
    <row r="714">
      <c r="A714" s="15" t="n"/>
      <c r="B714" s="16">
        <f>IF($A714="","",TEXT($A714,"mmm"))</f>
        <v/>
      </c>
      <c r="C714" s="13" t="n"/>
      <c r="D714" s="13" t="n"/>
      <c r="E714" s="17" t="n"/>
      <c r="F714" s="17" t="n"/>
      <c r="G714" s="18">
        <f>IF(AND($E714="",$F714=""),"",N($E714)-N($F714))</f>
        <v/>
      </c>
    </row>
    <row r="715">
      <c r="A715" s="15" t="n"/>
      <c r="B715" s="16">
        <f>IF($A715="","",TEXT($A715,"mmm"))</f>
        <v/>
      </c>
      <c r="C715" s="13" t="n"/>
      <c r="D715" s="13" t="n"/>
      <c r="E715" s="17" t="n"/>
      <c r="F715" s="17" t="n"/>
      <c r="G715" s="18">
        <f>IF(AND($E715="",$F715=""),"",N($E715)-N($F715))</f>
        <v/>
      </c>
    </row>
    <row r="716">
      <c r="A716" s="15" t="n"/>
      <c r="B716" s="16">
        <f>IF($A716="","",TEXT($A716,"mmm"))</f>
        <v/>
      </c>
      <c r="C716" s="13" t="n"/>
      <c r="D716" s="13" t="n"/>
      <c r="E716" s="17" t="n"/>
      <c r="F716" s="17" t="n"/>
      <c r="G716" s="18">
        <f>IF(AND($E716="",$F716=""),"",N($E716)-N($F716))</f>
        <v/>
      </c>
    </row>
    <row r="717">
      <c r="A717" s="15" t="n"/>
      <c r="B717" s="16">
        <f>IF($A717="","",TEXT($A717,"mmm"))</f>
        <v/>
      </c>
      <c r="C717" s="13" t="n"/>
      <c r="D717" s="13" t="n"/>
      <c r="E717" s="17" t="n"/>
      <c r="F717" s="17" t="n"/>
      <c r="G717" s="18">
        <f>IF(AND($E717="",$F717=""),"",N($E717)-N($F717))</f>
        <v/>
      </c>
    </row>
    <row r="718">
      <c r="A718" s="15" t="n"/>
      <c r="B718" s="16">
        <f>IF($A718="","",TEXT($A718,"mmm"))</f>
        <v/>
      </c>
      <c r="C718" s="13" t="n"/>
      <c r="D718" s="13" t="n"/>
      <c r="E718" s="17" t="n"/>
      <c r="F718" s="17" t="n"/>
      <c r="G718" s="18">
        <f>IF(AND($E718="",$F718=""),"",N($E718)-N($F718))</f>
        <v/>
      </c>
    </row>
    <row r="719">
      <c r="A719" s="15" t="n"/>
      <c r="B719" s="16">
        <f>IF($A719="","",TEXT($A719,"mmm"))</f>
        <v/>
      </c>
      <c r="C719" s="13" t="n"/>
      <c r="D719" s="13" t="n"/>
      <c r="E719" s="17" t="n"/>
      <c r="F719" s="17" t="n"/>
      <c r="G719" s="18">
        <f>IF(AND($E719="",$F719=""),"",N($E719)-N($F719))</f>
        <v/>
      </c>
    </row>
    <row r="720">
      <c r="A720" s="15" t="n"/>
      <c r="B720" s="16">
        <f>IF($A720="","",TEXT($A720,"mmm"))</f>
        <v/>
      </c>
      <c r="C720" s="13" t="n"/>
      <c r="D720" s="13" t="n"/>
      <c r="E720" s="17" t="n"/>
      <c r="F720" s="17" t="n"/>
      <c r="G720" s="18">
        <f>IF(AND($E720="",$F720=""),"",N($E720)-N($F720))</f>
        <v/>
      </c>
    </row>
    <row r="721">
      <c r="A721" s="15" t="n"/>
      <c r="B721" s="16">
        <f>IF($A721="","",TEXT($A721,"mmm"))</f>
        <v/>
      </c>
      <c r="C721" s="13" t="n"/>
      <c r="D721" s="13" t="n"/>
      <c r="E721" s="17" t="n"/>
      <c r="F721" s="17" t="n"/>
      <c r="G721" s="18">
        <f>IF(AND($E721="",$F721=""),"",N($E721)-N($F721))</f>
        <v/>
      </c>
    </row>
    <row r="722">
      <c r="A722" s="15" t="n"/>
      <c r="B722" s="16">
        <f>IF($A722="","",TEXT($A722,"mmm"))</f>
        <v/>
      </c>
      <c r="C722" s="13" t="n"/>
      <c r="D722" s="13" t="n"/>
      <c r="E722" s="17" t="n"/>
      <c r="F722" s="17" t="n"/>
      <c r="G722" s="18">
        <f>IF(AND($E722="",$F722=""),"",N($E722)-N($F722))</f>
        <v/>
      </c>
    </row>
    <row r="723">
      <c r="A723" s="15" t="n"/>
      <c r="B723" s="16">
        <f>IF($A723="","",TEXT($A723,"mmm"))</f>
        <v/>
      </c>
      <c r="C723" s="13" t="n"/>
      <c r="D723" s="13" t="n"/>
      <c r="E723" s="17" t="n"/>
      <c r="F723" s="17" t="n"/>
      <c r="G723" s="18">
        <f>IF(AND($E723="",$F723=""),"",N($E723)-N($F723))</f>
        <v/>
      </c>
    </row>
    <row r="724">
      <c r="A724" s="15" t="n"/>
      <c r="B724" s="16">
        <f>IF($A724="","",TEXT($A724,"mmm"))</f>
        <v/>
      </c>
      <c r="C724" s="13" t="n"/>
      <c r="D724" s="13" t="n"/>
      <c r="E724" s="17" t="n"/>
      <c r="F724" s="17" t="n"/>
      <c r="G724" s="18">
        <f>IF(AND($E724="",$F724=""),"",N($E724)-N($F724))</f>
        <v/>
      </c>
    </row>
    <row r="725">
      <c r="A725" s="15" t="n"/>
      <c r="B725" s="16">
        <f>IF($A725="","",TEXT($A725,"mmm"))</f>
        <v/>
      </c>
      <c r="C725" s="13" t="n"/>
      <c r="D725" s="13" t="n"/>
      <c r="E725" s="17" t="n"/>
      <c r="F725" s="17" t="n"/>
      <c r="G725" s="18">
        <f>IF(AND($E725="",$F725=""),"",N($E725)-N($F725))</f>
        <v/>
      </c>
    </row>
    <row r="726">
      <c r="A726" s="15" t="n"/>
      <c r="B726" s="16">
        <f>IF($A726="","",TEXT($A726,"mmm"))</f>
        <v/>
      </c>
      <c r="C726" s="13" t="n"/>
      <c r="D726" s="13" t="n"/>
      <c r="E726" s="17" t="n"/>
      <c r="F726" s="17" t="n"/>
      <c r="G726" s="18">
        <f>IF(AND($E726="",$F726=""),"",N($E726)-N($F726))</f>
        <v/>
      </c>
    </row>
    <row r="727">
      <c r="A727" s="15" t="n"/>
      <c r="B727" s="16">
        <f>IF($A727="","",TEXT($A727,"mmm"))</f>
        <v/>
      </c>
      <c r="C727" s="13" t="n"/>
      <c r="D727" s="13" t="n"/>
      <c r="E727" s="17" t="n"/>
      <c r="F727" s="17" t="n"/>
      <c r="G727" s="18">
        <f>IF(AND($E727="",$F727=""),"",N($E727)-N($F727))</f>
        <v/>
      </c>
    </row>
    <row r="728">
      <c r="A728" s="15" t="n"/>
      <c r="B728" s="16">
        <f>IF($A728="","",TEXT($A728,"mmm"))</f>
        <v/>
      </c>
      <c r="C728" s="13" t="n"/>
      <c r="D728" s="13" t="n"/>
      <c r="E728" s="17" t="n"/>
      <c r="F728" s="17" t="n"/>
      <c r="G728" s="18">
        <f>IF(AND($E728="",$F728=""),"",N($E728)-N($F728))</f>
        <v/>
      </c>
    </row>
    <row r="729">
      <c r="A729" s="15" t="n"/>
      <c r="B729" s="16">
        <f>IF($A729="","",TEXT($A729,"mmm"))</f>
        <v/>
      </c>
      <c r="C729" s="13" t="n"/>
      <c r="D729" s="13" t="n"/>
      <c r="E729" s="17" t="n"/>
      <c r="F729" s="17" t="n"/>
      <c r="G729" s="18">
        <f>IF(AND($E729="",$F729=""),"",N($E729)-N($F729))</f>
        <v/>
      </c>
    </row>
    <row r="730">
      <c r="A730" s="15" t="n"/>
      <c r="B730" s="16">
        <f>IF($A730="","",TEXT($A730,"mmm"))</f>
        <v/>
      </c>
      <c r="C730" s="13" t="n"/>
      <c r="D730" s="13" t="n"/>
      <c r="E730" s="17" t="n"/>
      <c r="F730" s="17" t="n"/>
      <c r="G730" s="18">
        <f>IF(AND($E730="",$F730=""),"",N($E730)-N($F730))</f>
        <v/>
      </c>
    </row>
    <row r="731">
      <c r="A731" s="15" t="n"/>
      <c r="B731" s="16">
        <f>IF($A731="","",TEXT($A731,"mmm"))</f>
        <v/>
      </c>
      <c r="C731" s="13" t="n"/>
      <c r="D731" s="13" t="n"/>
      <c r="E731" s="17" t="n"/>
      <c r="F731" s="17" t="n"/>
      <c r="G731" s="18">
        <f>IF(AND($E731="",$F731=""),"",N($E731)-N($F731))</f>
        <v/>
      </c>
    </row>
    <row r="732">
      <c r="A732" s="15" t="n"/>
      <c r="B732" s="16">
        <f>IF($A732="","",TEXT($A732,"mmm"))</f>
        <v/>
      </c>
      <c r="C732" s="13" t="n"/>
      <c r="D732" s="13" t="n"/>
      <c r="E732" s="17" t="n"/>
      <c r="F732" s="17" t="n"/>
      <c r="G732" s="18">
        <f>IF(AND($E732="",$F732=""),"",N($E732)-N($F732))</f>
        <v/>
      </c>
    </row>
    <row r="733">
      <c r="A733" s="15" t="n"/>
      <c r="B733" s="16">
        <f>IF($A733="","",TEXT($A733,"mmm"))</f>
        <v/>
      </c>
      <c r="C733" s="13" t="n"/>
      <c r="D733" s="13" t="n"/>
      <c r="E733" s="17" t="n"/>
      <c r="F733" s="17" t="n"/>
      <c r="G733" s="18">
        <f>IF(AND($E733="",$F733=""),"",N($E733)-N($F733))</f>
        <v/>
      </c>
    </row>
    <row r="734">
      <c r="A734" s="15" t="n"/>
      <c r="B734" s="16">
        <f>IF($A734="","",TEXT($A734,"mmm"))</f>
        <v/>
      </c>
      <c r="C734" s="13" t="n"/>
      <c r="D734" s="13" t="n"/>
      <c r="E734" s="17" t="n"/>
      <c r="F734" s="17" t="n"/>
      <c r="G734" s="18">
        <f>IF(AND($E734="",$F734=""),"",N($E734)-N($F734))</f>
        <v/>
      </c>
    </row>
    <row r="735">
      <c r="A735" s="15" t="n"/>
      <c r="B735" s="16">
        <f>IF($A735="","",TEXT($A735,"mmm"))</f>
        <v/>
      </c>
      <c r="C735" s="13" t="n"/>
      <c r="D735" s="13" t="n"/>
      <c r="E735" s="17" t="n"/>
      <c r="F735" s="17" t="n"/>
      <c r="G735" s="18">
        <f>IF(AND($E735="",$F735=""),"",N($E735)-N($F735))</f>
        <v/>
      </c>
    </row>
    <row r="736">
      <c r="A736" s="15" t="n"/>
      <c r="B736" s="16">
        <f>IF($A736="","",TEXT($A736,"mmm"))</f>
        <v/>
      </c>
      <c r="C736" s="13" t="n"/>
      <c r="D736" s="13" t="n"/>
      <c r="E736" s="17" t="n"/>
      <c r="F736" s="17" t="n"/>
      <c r="G736" s="18">
        <f>IF(AND($E736="",$F736=""),"",N($E736)-N($F736))</f>
        <v/>
      </c>
    </row>
    <row r="737">
      <c r="A737" s="15" t="n"/>
      <c r="B737" s="16">
        <f>IF($A737="","",TEXT($A737,"mmm"))</f>
        <v/>
      </c>
      <c r="C737" s="13" t="n"/>
      <c r="D737" s="13" t="n"/>
      <c r="E737" s="17" t="n"/>
      <c r="F737" s="17" t="n"/>
      <c r="G737" s="18">
        <f>IF(AND($E737="",$F737=""),"",N($E737)-N($F737))</f>
        <v/>
      </c>
    </row>
    <row r="738">
      <c r="A738" s="15" t="n"/>
      <c r="B738" s="16">
        <f>IF($A738="","",TEXT($A738,"mmm"))</f>
        <v/>
      </c>
      <c r="C738" s="13" t="n"/>
      <c r="D738" s="13" t="n"/>
      <c r="E738" s="17" t="n"/>
      <c r="F738" s="17" t="n"/>
      <c r="G738" s="18">
        <f>IF(AND($E738="",$F738=""),"",N($E738)-N($F738))</f>
        <v/>
      </c>
    </row>
    <row r="739">
      <c r="A739" s="15" t="n"/>
      <c r="B739" s="16">
        <f>IF($A739="","",TEXT($A739,"mmm"))</f>
        <v/>
      </c>
      <c r="C739" s="13" t="n"/>
      <c r="D739" s="13" t="n"/>
      <c r="E739" s="17" t="n"/>
      <c r="F739" s="17" t="n"/>
      <c r="G739" s="18">
        <f>IF(AND($E739="",$F739=""),"",N($E739)-N($F739))</f>
        <v/>
      </c>
    </row>
    <row r="740">
      <c r="A740" s="15" t="n"/>
      <c r="B740" s="16">
        <f>IF($A740="","",TEXT($A740,"mmm"))</f>
        <v/>
      </c>
      <c r="C740" s="13" t="n"/>
      <c r="D740" s="13" t="n"/>
      <c r="E740" s="17" t="n"/>
      <c r="F740" s="17" t="n"/>
      <c r="G740" s="18">
        <f>IF(AND($E740="",$F740=""),"",N($E740)-N($F740))</f>
        <v/>
      </c>
    </row>
    <row r="741">
      <c r="A741" s="15" t="n"/>
      <c r="B741" s="16">
        <f>IF($A741="","",TEXT($A741,"mmm"))</f>
        <v/>
      </c>
      <c r="C741" s="13" t="n"/>
      <c r="D741" s="13" t="n"/>
      <c r="E741" s="17" t="n"/>
      <c r="F741" s="17" t="n"/>
      <c r="G741" s="18">
        <f>IF(AND($E741="",$F741=""),"",N($E741)-N($F741))</f>
        <v/>
      </c>
    </row>
    <row r="742">
      <c r="A742" s="15" t="n"/>
      <c r="B742" s="16">
        <f>IF($A742="","",TEXT($A742,"mmm"))</f>
        <v/>
      </c>
      <c r="C742" s="13" t="n"/>
      <c r="D742" s="13" t="n"/>
      <c r="E742" s="17" t="n"/>
      <c r="F742" s="17" t="n"/>
      <c r="G742" s="18">
        <f>IF(AND($E742="",$F742=""),"",N($E742)-N($F742))</f>
        <v/>
      </c>
    </row>
    <row r="743">
      <c r="A743" s="15" t="n"/>
      <c r="B743" s="16">
        <f>IF($A743="","",TEXT($A743,"mmm"))</f>
        <v/>
      </c>
      <c r="C743" s="13" t="n"/>
      <c r="D743" s="13" t="n"/>
      <c r="E743" s="17" t="n"/>
      <c r="F743" s="17" t="n"/>
      <c r="G743" s="18">
        <f>IF(AND($E743="",$F743=""),"",N($E743)-N($F743))</f>
        <v/>
      </c>
    </row>
    <row r="744">
      <c r="A744" s="15" t="n"/>
      <c r="B744" s="16">
        <f>IF($A744="","",TEXT($A744,"mmm"))</f>
        <v/>
      </c>
      <c r="C744" s="13" t="n"/>
      <c r="D744" s="13" t="n"/>
      <c r="E744" s="17" t="n"/>
      <c r="F744" s="17" t="n"/>
      <c r="G744" s="18">
        <f>IF(AND($E744="",$F744=""),"",N($E744)-N($F744))</f>
        <v/>
      </c>
    </row>
    <row r="745">
      <c r="A745" s="15" t="n"/>
      <c r="B745" s="16">
        <f>IF($A745="","",TEXT($A745,"mmm"))</f>
        <v/>
      </c>
      <c r="C745" s="13" t="n"/>
      <c r="D745" s="13" t="n"/>
      <c r="E745" s="17" t="n"/>
      <c r="F745" s="17" t="n"/>
      <c r="G745" s="18">
        <f>IF(AND($E745="",$F745=""),"",N($E745)-N($F745))</f>
        <v/>
      </c>
    </row>
    <row r="746">
      <c r="A746" s="15" t="n"/>
      <c r="B746" s="16">
        <f>IF($A746="","",TEXT($A746,"mmm"))</f>
        <v/>
      </c>
      <c r="C746" s="13" t="n"/>
      <c r="D746" s="13" t="n"/>
      <c r="E746" s="17" t="n"/>
      <c r="F746" s="17" t="n"/>
      <c r="G746" s="18">
        <f>IF(AND($E746="",$F746=""),"",N($E746)-N($F746))</f>
        <v/>
      </c>
    </row>
    <row r="747">
      <c r="A747" s="15" t="n"/>
      <c r="B747" s="16">
        <f>IF($A747="","",TEXT($A747,"mmm"))</f>
        <v/>
      </c>
      <c r="C747" s="13" t="n"/>
      <c r="D747" s="13" t="n"/>
      <c r="E747" s="17" t="n"/>
      <c r="F747" s="17" t="n"/>
      <c r="G747" s="18">
        <f>IF(AND($E747="",$F747=""),"",N($E747)-N($F747))</f>
        <v/>
      </c>
    </row>
    <row r="748">
      <c r="A748" s="15" t="n"/>
      <c r="B748" s="16">
        <f>IF($A748="","",TEXT($A748,"mmm"))</f>
        <v/>
      </c>
      <c r="C748" s="13" t="n"/>
      <c r="D748" s="13" t="n"/>
      <c r="E748" s="17" t="n"/>
      <c r="F748" s="17" t="n"/>
      <c r="G748" s="18">
        <f>IF(AND($E748="",$F748=""),"",N($E748)-N($F748))</f>
        <v/>
      </c>
    </row>
    <row r="749">
      <c r="A749" s="15" t="n"/>
      <c r="B749" s="16">
        <f>IF($A749="","",TEXT($A749,"mmm"))</f>
        <v/>
      </c>
      <c r="C749" s="13" t="n"/>
      <c r="D749" s="13" t="n"/>
      <c r="E749" s="17" t="n"/>
      <c r="F749" s="17" t="n"/>
      <c r="G749" s="18">
        <f>IF(AND($E749="",$F749=""),"",N($E749)-N($F749))</f>
        <v/>
      </c>
    </row>
    <row r="750">
      <c r="A750" s="15" t="n"/>
      <c r="B750" s="16">
        <f>IF($A750="","",TEXT($A750,"mmm"))</f>
        <v/>
      </c>
      <c r="C750" s="13" t="n"/>
      <c r="D750" s="13" t="n"/>
      <c r="E750" s="17" t="n"/>
      <c r="F750" s="17" t="n"/>
      <c r="G750" s="18">
        <f>IF(AND($E750="",$F750=""),"",N($E750)-N($F750))</f>
        <v/>
      </c>
    </row>
    <row r="751">
      <c r="A751" s="15" t="n"/>
      <c r="B751" s="16">
        <f>IF($A751="","",TEXT($A751,"mmm"))</f>
        <v/>
      </c>
      <c r="C751" s="13" t="n"/>
      <c r="D751" s="13" t="n"/>
      <c r="E751" s="17" t="n"/>
      <c r="F751" s="17" t="n"/>
      <c r="G751" s="18">
        <f>IF(AND($E751="",$F751=""),"",N($E751)-N($F751))</f>
        <v/>
      </c>
    </row>
    <row r="752">
      <c r="A752" s="15" t="n"/>
      <c r="B752" s="16">
        <f>IF($A752="","",TEXT($A752,"mmm"))</f>
        <v/>
      </c>
      <c r="C752" s="13" t="n"/>
      <c r="D752" s="13" t="n"/>
      <c r="E752" s="17" t="n"/>
      <c r="F752" s="17" t="n"/>
      <c r="G752" s="18">
        <f>IF(AND($E752="",$F752=""),"",N($E752)-N($F752))</f>
        <v/>
      </c>
    </row>
    <row r="753">
      <c r="A753" s="15" t="n"/>
      <c r="B753" s="16">
        <f>IF($A753="","",TEXT($A753,"mmm"))</f>
        <v/>
      </c>
      <c r="C753" s="13" t="n"/>
      <c r="D753" s="13" t="n"/>
      <c r="E753" s="17" t="n"/>
      <c r="F753" s="17" t="n"/>
      <c r="G753" s="18">
        <f>IF(AND($E753="",$F753=""),"",N($E753)-N($F753))</f>
        <v/>
      </c>
    </row>
    <row r="754">
      <c r="A754" s="15" t="n"/>
      <c r="B754" s="16">
        <f>IF($A754="","",TEXT($A754,"mmm"))</f>
        <v/>
      </c>
      <c r="C754" s="13" t="n"/>
      <c r="D754" s="13" t="n"/>
      <c r="E754" s="17" t="n"/>
      <c r="F754" s="17" t="n"/>
      <c r="G754" s="18">
        <f>IF(AND($E754="",$F754=""),"",N($E754)-N($F754))</f>
        <v/>
      </c>
    </row>
    <row r="755">
      <c r="A755" s="15" t="n"/>
      <c r="B755" s="16">
        <f>IF($A755="","",TEXT($A755,"mmm"))</f>
        <v/>
      </c>
      <c r="C755" s="13" t="n"/>
      <c r="D755" s="13" t="n"/>
      <c r="E755" s="17" t="n"/>
      <c r="F755" s="17" t="n"/>
      <c r="G755" s="18">
        <f>IF(AND($E755="",$F755=""),"",N($E755)-N($F755))</f>
        <v/>
      </c>
    </row>
    <row r="756">
      <c r="A756" s="15" t="n"/>
      <c r="B756" s="16">
        <f>IF($A756="","",TEXT($A756,"mmm"))</f>
        <v/>
      </c>
      <c r="C756" s="13" t="n"/>
      <c r="D756" s="13" t="n"/>
      <c r="E756" s="17" t="n"/>
      <c r="F756" s="17" t="n"/>
      <c r="G756" s="18">
        <f>IF(AND($E756="",$F756=""),"",N($E756)-N($F756))</f>
        <v/>
      </c>
    </row>
    <row r="757">
      <c r="A757" s="15" t="n"/>
      <c r="B757" s="16">
        <f>IF($A757="","",TEXT($A757,"mmm"))</f>
        <v/>
      </c>
      <c r="C757" s="13" t="n"/>
      <c r="D757" s="13" t="n"/>
      <c r="E757" s="17" t="n"/>
      <c r="F757" s="17" t="n"/>
      <c r="G757" s="18">
        <f>IF(AND($E757="",$F757=""),"",N($E757)-N($F757))</f>
        <v/>
      </c>
    </row>
    <row r="758">
      <c r="A758" s="15" t="n"/>
      <c r="B758" s="16">
        <f>IF($A758="","",TEXT($A758,"mmm"))</f>
        <v/>
      </c>
      <c r="C758" s="13" t="n"/>
      <c r="D758" s="13" t="n"/>
      <c r="E758" s="17" t="n"/>
      <c r="F758" s="17" t="n"/>
      <c r="G758" s="18">
        <f>IF(AND($E758="",$F758=""),"",N($E758)-N($F758))</f>
        <v/>
      </c>
    </row>
    <row r="759">
      <c r="A759" s="15" t="n"/>
      <c r="B759" s="16">
        <f>IF($A759="","",TEXT($A759,"mmm"))</f>
        <v/>
      </c>
      <c r="C759" s="13" t="n"/>
      <c r="D759" s="13" t="n"/>
      <c r="E759" s="17" t="n"/>
      <c r="F759" s="17" t="n"/>
      <c r="G759" s="18">
        <f>IF(AND($E759="",$F759=""),"",N($E759)-N($F759))</f>
        <v/>
      </c>
    </row>
    <row r="760">
      <c r="A760" s="15" t="n"/>
      <c r="B760" s="16">
        <f>IF($A760="","",TEXT($A760,"mmm"))</f>
        <v/>
      </c>
      <c r="C760" s="13" t="n"/>
      <c r="D760" s="13" t="n"/>
      <c r="E760" s="17" t="n"/>
      <c r="F760" s="17" t="n"/>
      <c r="G760" s="18">
        <f>IF(AND($E760="",$F760=""),"",N($E760)-N($F760))</f>
        <v/>
      </c>
    </row>
    <row r="761">
      <c r="A761" s="15" t="n"/>
      <c r="B761" s="16">
        <f>IF($A761="","",TEXT($A761,"mmm"))</f>
        <v/>
      </c>
      <c r="C761" s="13" t="n"/>
      <c r="D761" s="13" t="n"/>
      <c r="E761" s="17" t="n"/>
      <c r="F761" s="17" t="n"/>
      <c r="G761" s="18">
        <f>IF(AND($E761="",$F761=""),"",N($E761)-N($F761))</f>
        <v/>
      </c>
    </row>
    <row r="762">
      <c r="A762" s="15" t="n"/>
      <c r="B762" s="16">
        <f>IF($A762="","",TEXT($A762,"mmm"))</f>
        <v/>
      </c>
      <c r="C762" s="13" t="n"/>
      <c r="D762" s="13" t="n"/>
      <c r="E762" s="17" t="n"/>
      <c r="F762" s="17" t="n"/>
      <c r="G762" s="18">
        <f>IF(AND($E762="",$F762=""),"",N($E762)-N($F762))</f>
        <v/>
      </c>
    </row>
    <row r="763">
      <c r="A763" s="15" t="n"/>
      <c r="B763" s="16">
        <f>IF($A763="","",TEXT($A763,"mmm"))</f>
        <v/>
      </c>
      <c r="C763" s="13" t="n"/>
      <c r="D763" s="13" t="n"/>
      <c r="E763" s="17" t="n"/>
      <c r="F763" s="17" t="n"/>
      <c r="G763" s="18">
        <f>IF(AND($E763="",$F763=""),"",N($E763)-N($F763))</f>
        <v/>
      </c>
    </row>
    <row r="764">
      <c r="A764" s="15" t="n"/>
      <c r="B764" s="16">
        <f>IF($A764="","",TEXT($A764,"mmm"))</f>
        <v/>
      </c>
      <c r="C764" s="13" t="n"/>
      <c r="D764" s="13" t="n"/>
      <c r="E764" s="17" t="n"/>
      <c r="F764" s="17" t="n"/>
      <c r="G764" s="18">
        <f>IF(AND($E764="",$F764=""),"",N($E764)-N($F764))</f>
        <v/>
      </c>
    </row>
    <row r="765">
      <c r="A765" s="15" t="n"/>
      <c r="B765" s="16">
        <f>IF($A765="","",TEXT($A765,"mmm"))</f>
        <v/>
      </c>
      <c r="C765" s="13" t="n"/>
      <c r="D765" s="13" t="n"/>
      <c r="E765" s="17" t="n"/>
      <c r="F765" s="17" t="n"/>
      <c r="G765" s="18">
        <f>IF(AND($E765="",$F765=""),"",N($E765)-N($F765))</f>
        <v/>
      </c>
    </row>
    <row r="766">
      <c r="A766" s="15" t="n"/>
      <c r="B766" s="16">
        <f>IF($A766="","",TEXT($A766,"mmm"))</f>
        <v/>
      </c>
      <c r="C766" s="13" t="n"/>
      <c r="D766" s="13" t="n"/>
      <c r="E766" s="17" t="n"/>
      <c r="F766" s="17" t="n"/>
      <c r="G766" s="18">
        <f>IF(AND($E766="",$F766=""),"",N($E766)-N($F766))</f>
        <v/>
      </c>
    </row>
    <row r="767">
      <c r="A767" s="15" t="n"/>
      <c r="B767" s="16">
        <f>IF($A767="","",TEXT($A767,"mmm"))</f>
        <v/>
      </c>
      <c r="C767" s="13" t="n"/>
      <c r="D767" s="13" t="n"/>
      <c r="E767" s="17" t="n"/>
      <c r="F767" s="17" t="n"/>
      <c r="G767" s="18">
        <f>IF(AND($E767="",$F767=""),"",N($E767)-N($F767))</f>
        <v/>
      </c>
    </row>
    <row r="768">
      <c r="A768" s="15" t="n"/>
      <c r="B768" s="16">
        <f>IF($A768="","",TEXT($A768,"mmm"))</f>
        <v/>
      </c>
      <c r="C768" s="13" t="n"/>
      <c r="D768" s="13" t="n"/>
      <c r="E768" s="17" t="n"/>
      <c r="F768" s="17" t="n"/>
      <c r="G768" s="18">
        <f>IF(AND($E768="",$F768=""),"",N($E768)-N($F768))</f>
        <v/>
      </c>
    </row>
    <row r="769">
      <c r="A769" s="15" t="n"/>
      <c r="B769" s="16">
        <f>IF($A769="","",TEXT($A769,"mmm"))</f>
        <v/>
      </c>
      <c r="C769" s="13" t="n"/>
      <c r="D769" s="13" t="n"/>
      <c r="E769" s="17" t="n"/>
      <c r="F769" s="17" t="n"/>
      <c r="G769" s="18">
        <f>IF(AND($E769="",$F769=""),"",N($E769)-N($F769))</f>
        <v/>
      </c>
    </row>
    <row r="770">
      <c r="A770" s="15" t="n"/>
      <c r="B770" s="16">
        <f>IF($A770="","",TEXT($A770,"mmm"))</f>
        <v/>
      </c>
      <c r="C770" s="13" t="n"/>
      <c r="D770" s="13" t="n"/>
      <c r="E770" s="17" t="n"/>
      <c r="F770" s="17" t="n"/>
      <c r="G770" s="18">
        <f>IF(AND($E770="",$F770=""),"",N($E770)-N($F770))</f>
        <v/>
      </c>
    </row>
    <row r="771">
      <c r="A771" s="15" t="n"/>
      <c r="B771" s="16">
        <f>IF($A771="","",TEXT($A771,"mmm"))</f>
        <v/>
      </c>
      <c r="C771" s="13" t="n"/>
      <c r="D771" s="13" t="n"/>
      <c r="E771" s="17" t="n"/>
      <c r="F771" s="17" t="n"/>
      <c r="G771" s="18">
        <f>IF(AND($E771="",$F771=""),"",N($E771)-N($F771))</f>
        <v/>
      </c>
    </row>
    <row r="772">
      <c r="A772" s="15" t="n"/>
      <c r="B772" s="16">
        <f>IF($A772="","",TEXT($A772,"mmm"))</f>
        <v/>
      </c>
      <c r="C772" s="13" t="n"/>
      <c r="D772" s="13" t="n"/>
      <c r="E772" s="17" t="n"/>
      <c r="F772" s="17" t="n"/>
      <c r="G772" s="18">
        <f>IF(AND($E772="",$F772=""),"",N($E772)-N($F772))</f>
        <v/>
      </c>
    </row>
    <row r="773">
      <c r="A773" s="15" t="n"/>
      <c r="B773" s="16">
        <f>IF($A773="","",TEXT($A773,"mmm"))</f>
        <v/>
      </c>
      <c r="C773" s="13" t="n"/>
      <c r="D773" s="13" t="n"/>
      <c r="E773" s="17" t="n"/>
      <c r="F773" s="17" t="n"/>
      <c r="G773" s="18">
        <f>IF(AND($E773="",$F773=""),"",N($E773)-N($F773))</f>
        <v/>
      </c>
    </row>
    <row r="774">
      <c r="A774" s="15" t="n"/>
      <c r="B774" s="16">
        <f>IF($A774="","",TEXT($A774,"mmm"))</f>
        <v/>
      </c>
      <c r="C774" s="13" t="n"/>
      <c r="D774" s="13" t="n"/>
      <c r="E774" s="17" t="n"/>
      <c r="F774" s="17" t="n"/>
      <c r="G774" s="18">
        <f>IF(AND($E774="",$F774=""),"",N($E774)-N($F774))</f>
        <v/>
      </c>
    </row>
    <row r="775">
      <c r="A775" s="15" t="n"/>
      <c r="B775" s="16">
        <f>IF($A775="","",TEXT($A775,"mmm"))</f>
        <v/>
      </c>
      <c r="C775" s="13" t="n"/>
      <c r="D775" s="13" t="n"/>
      <c r="E775" s="17" t="n"/>
      <c r="F775" s="17" t="n"/>
      <c r="G775" s="18">
        <f>IF(AND($E775="",$F775=""),"",N($E775)-N($F775))</f>
        <v/>
      </c>
    </row>
    <row r="776">
      <c r="A776" s="15" t="n"/>
      <c r="B776" s="16">
        <f>IF($A776="","",TEXT($A776,"mmm"))</f>
        <v/>
      </c>
      <c r="C776" s="13" t="n"/>
      <c r="D776" s="13" t="n"/>
      <c r="E776" s="17" t="n"/>
      <c r="F776" s="17" t="n"/>
      <c r="G776" s="18">
        <f>IF(AND($E776="",$F776=""),"",N($E776)-N($F776))</f>
        <v/>
      </c>
    </row>
    <row r="777">
      <c r="A777" s="15" t="n"/>
      <c r="B777" s="16">
        <f>IF($A777="","",TEXT($A777,"mmm"))</f>
        <v/>
      </c>
      <c r="C777" s="13" t="n"/>
      <c r="D777" s="13" t="n"/>
      <c r="E777" s="17" t="n"/>
      <c r="F777" s="17" t="n"/>
      <c r="G777" s="18">
        <f>IF(AND($E777="",$F777=""),"",N($E777)-N($F777))</f>
        <v/>
      </c>
    </row>
    <row r="778">
      <c r="A778" s="15" t="n"/>
      <c r="B778" s="16">
        <f>IF($A778="","",TEXT($A778,"mmm"))</f>
        <v/>
      </c>
      <c r="C778" s="13" t="n"/>
      <c r="D778" s="13" t="n"/>
      <c r="E778" s="17" t="n"/>
      <c r="F778" s="17" t="n"/>
      <c r="G778" s="18">
        <f>IF(AND($E778="",$F778=""),"",N($E778)-N($F778))</f>
        <v/>
      </c>
    </row>
    <row r="779">
      <c r="A779" s="15" t="n"/>
      <c r="B779" s="16">
        <f>IF($A779="","",TEXT($A779,"mmm"))</f>
        <v/>
      </c>
      <c r="C779" s="13" t="n"/>
      <c r="D779" s="13" t="n"/>
      <c r="E779" s="17" t="n"/>
      <c r="F779" s="17" t="n"/>
      <c r="G779" s="18">
        <f>IF(AND($E779="",$F779=""),"",N($E779)-N($F779))</f>
        <v/>
      </c>
    </row>
    <row r="780">
      <c r="A780" s="15" t="n"/>
      <c r="B780" s="16">
        <f>IF($A780="","",TEXT($A780,"mmm"))</f>
        <v/>
      </c>
      <c r="C780" s="13" t="n"/>
      <c r="D780" s="13" t="n"/>
      <c r="E780" s="17" t="n"/>
      <c r="F780" s="17" t="n"/>
      <c r="G780" s="18">
        <f>IF(AND($E780="",$F780=""),"",N($E780)-N($F780))</f>
        <v/>
      </c>
    </row>
    <row r="781">
      <c r="A781" s="15" t="n"/>
      <c r="B781" s="16">
        <f>IF($A781="","",TEXT($A781,"mmm"))</f>
        <v/>
      </c>
      <c r="C781" s="13" t="n"/>
      <c r="D781" s="13" t="n"/>
      <c r="E781" s="17" t="n"/>
      <c r="F781" s="17" t="n"/>
      <c r="G781" s="18">
        <f>IF(AND($E781="",$F781=""),"",N($E781)-N($F781))</f>
        <v/>
      </c>
    </row>
    <row r="782">
      <c r="A782" s="15" t="n"/>
      <c r="B782" s="16">
        <f>IF($A782="","",TEXT($A782,"mmm"))</f>
        <v/>
      </c>
      <c r="C782" s="13" t="n"/>
      <c r="D782" s="13" t="n"/>
      <c r="E782" s="17" t="n"/>
      <c r="F782" s="17" t="n"/>
      <c r="G782" s="18">
        <f>IF(AND($E782="",$F782=""),"",N($E782)-N($F782))</f>
        <v/>
      </c>
    </row>
    <row r="783">
      <c r="A783" s="15" t="n"/>
      <c r="B783" s="16">
        <f>IF($A783="","",TEXT($A783,"mmm"))</f>
        <v/>
      </c>
      <c r="C783" s="13" t="n"/>
      <c r="D783" s="13" t="n"/>
      <c r="E783" s="17" t="n"/>
      <c r="F783" s="17" t="n"/>
      <c r="G783" s="18">
        <f>IF(AND($E783="",$F783=""),"",N($E783)-N($F783))</f>
        <v/>
      </c>
    </row>
    <row r="784">
      <c r="A784" s="15" t="n"/>
      <c r="B784" s="16">
        <f>IF($A784="","",TEXT($A784,"mmm"))</f>
        <v/>
      </c>
      <c r="C784" s="13" t="n"/>
      <c r="D784" s="13" t="n"/>
      <c r="E784" s="17" t="n"/>
      <c r="F784" s="17" t="n"/>
      <c r="G784" s="18">
        <f>IF(AND($E784="",$F784=""),"",N($E784)-N($F784))</f>
        <v/>
      </c>
    </row>
    <row r="785">
      <c r="A785" s="15" t="n"/>
      <c r="B785" s="16">
        <f>IF($A785="","",TEXT($A785,"mmm"))</f>
        <v/>
      </c>
      <c r="C785" s="13" t="n"/>
      <c r="D785" s="13" t="n"/>
      <c r="E785" s="17" t="n"/>
      <c r="F785" s="17" t="n"/>
      <c r="G785" s="18">
        <f>IF(AND($E785="",$F785=""),"",N($E785)-N($F785))</f>
        <v/>
      </c>
    </row>
    <row r="786">
      <c r="A786" s="15" t="n"/>
      <c r="B786" s="16">
        <f>IF($A786="","",TEXT($A786,"mmm"))</f>
        <v/>
      </c>
      <c r="C786" s="13" t="n"/>
      <c r="D786" s="13" t="n"/>
      <c r="E786" s="17" t="n"/>
      <c r="F786" s="17" t="n"/>
      <c r="G786" s="18">
        <f>IF(AND($E786="",$F786=""),"",N($E786)-N($F786))</f>
        <v/>
      </c>
    </row>
    <row r="787">
      <c r="A787" s="15" t="n"/>
      <c r="B787" s="16">
        <f>IF($A787="","",TEXT($A787,"mmm"))</f>
        <v/>
      </c>
      <c r="C787" s="13" t="n"/>
      <c r="D787" s="13" t="n"/>
      <c r="E787" s="17" t="n"/>
      <c r="F787" s="17" t="n"/>
      <c r="G787" s="18">
        <f>IF(AND($E787="",$F787=""),"",N($E787)-N($F787))</f>
        <v/>
      </c>
    </row>
    <row r="788">
      <c r="A788" s="15" t="n"/>
      <c r="B788" s="16">
        <f>IF($A788="","",TEXT($A788,"mmm"))</f>
        <v/>
      </c>
      <c r="C788" s="13" t="n"/>
      <c r="D788" s="13" t="n"/>
      <c r="E788" s="17" t="n"/>
      <c r="F788" s="17" t="n"/>
      <c r="G788" s="18">
        <f>IF(AND($E788="",$F788=""),"",N($E788)-N($F788))</f>
        <v/>
      </c>
    </row>
    <row r="789">
      <c r="A789" s="15" t="n"/>
      <c r="B789" s="16">
        <f>IF($A789="","",TEXT($A789,"mmm"))</f>
        <v/>
      </c>
      <c r="C789" s="13" t="n"/>
      <c r="D789" s="13" t="n"/>
      <c r="E789" s="17" t="n"/>
      <c r="F789" s="17" t="n"/>
      <c r="G789" s="18">
        <f>IF(AND($E789="",$F789=""),"",N($E789)-N($F789))</f>
        <v/>
      </c>
    </row>
    <row r="790">
      <c r="A790" s="15" t="n"/>
      <c r="B790" s="16">
        <f>IF($A790="","",TEXT($A790,"mmm"))</f>
        <v/>
      </c>
      <c r="C790" s="13" t="n"/>
      <c r="D790" s="13" t="n"/>
      <c r="E790" s="17" t="n"/>
      <c r="F790" s="17" t="n"/>
      <c r="G790" s="18">
        <f>IF(AND($E790="",$F790=""),"",N($E790)-N($F790))</f>
        <v/>
      </c>
    </row>
    <row r="791">
      <c r="A791" s="15" t="n"/>
      <c r="B791" s="16">
        <f>IF($A791="","",TEXT($A791,"mmm"))</f>
        <v/>
      </c>
      <c r="C791" s="13" t="n"/>
      <c r="D791" s="13" t="n"/>
      <c r="E791" s="17" t="n"/>
      <c r="F791" s="17" t="n"/>
      <c r="G791" s="18">
        <f>IF(AND($E791="",$F791=""),"",N($E791)-N($F791))</f>
        <v/>
      </c>
    </row>
    <row r="792">
      <c r="A792" s="15" t="n"/>
      <c r="B792" s="16">
        <f>IF($A792="","",TEXT($A792,"mmm"))</f>
        <v/>
      </c>
      <c r="C792" s="13" t="n"/>
      <c r="D792" s="13" t="n"/>
      <c r="E792" s="17" t="n"/>
      <c r="F792" s="17" t="n"/>
      <c r="G792" s="18">
        <f>IF(AND($E792="",$F792=""),"",N($E792)-N($F792))</f>
        <v/>
      </c>
    </row>
    <row r="793">
      <c r="A793" s="15" t="n"/>
      <c r="B793" s="16">
        <f>IF($A793="","",TEXT($A793,"mmm"))</f>
        <v/>
      </c>
      <c r="C793" s="13" t="n"/>
      <c r="D793" s="13" t="n"/>
      <c r="E793" s="17" t="n"/>
      <c r="F793" s="17" t="n"/>
      <c r="G793" s="18">
        <f>IF(AND($E793="",$F793=""),"",N($E793)-N($F793))</f>
        <v/>
      </c>
    </row>
    <row r="794">
      <c r="A794" s="15" t="n"/>
      <c r="B794" s="16">
        <f>IF($A794="","",TEXT($A794,"mmm"))</f>
        <v/>
      </c>
      <c r="C794" s="13" t="n"/>
      <c r="D794" s="13" t="n"/>
      <c r="E794" s="17" t="n"/>
      <c r="F794" s="17" t="n"/>
      <c r="G794" s="18">
        <f>IF(AND($E794="",$F794=""),"",N($E794)-N($F794))</f>
        <v/>
      </c>
    </row>
    <row r="795">
      <c r="A795" s="15" t="n"/>
      <c r="B795" s="16">
        <f>IF($A795="","",TEXT($A795,"mmm"))</f>
        <v/>
      </c>
      <c r="C795" s="13" t="n"/>
      <c r="D795" s="13" t="n"/>
      <c r="E795" s="17" t="n"/>
      <c r="F795" s="17" t="n"/>
      <c r="G795" s="18">
        <f>IF(AND($E795="",$F795=""),"",N($E795)-N($F795))</f>
        <v/>
      </c>
    </row>
    <row r="796">
      <c r="A796" s="15" t="n"/>
      <c r="B796" s="16">
        <f>IF($A796="","",TEXT($A796,"mmm"))</f>
        <v/>
      </c>
      <c r="C796" s="13" t="n"/>
      <c r="D796" s="13" t="n"/>
      <c r="E796" s="17" t="n"/>
      <c r="F796" s="17" t="n"/>
      <c r="G796" s="18">
        <f>IF(AND($E796="",$F796=""),"",N($E796)-N($F796))</f>
        <v/>
      </c>
    </row>
    <row r="797">
      <c r="A797" s="15" t="n"/>
      <c r="B797" s="16">
        <f>IF($A797="","",TEXT($A797,"mmm"))</f>
        <v/>
      </c>
      <c r="C797" s="13" t="n"/>
      <c r="D797" s="13" t="n"/>
      <c r="E797" s="17" t="n"/>
      <c r="F797" s="17" t="n"/>
      <c r="G797" s="18">
        <f>IF(AND($E797="",$F797=""),"",N($E797)-N($F797))</f>
        <v/>
      </c>
    </row>
    <row r="798">
      <c r="A798" s="15" t="n"/>
      <c r="B798" s="16">
        <f>IF($A798="","",TEXT($A798,"mmm"))</f>
        <v/>
      </c>
      <c r="C798" s="13" t="n"/>
      <c r="D798" s="13" t="n"/>
      <c r="E798" s="17" t="n"/>
      <c r="F798" s="17" t="n"/>
      <c r="G798" s="18">
        <f>IF(AND($E798="",$F798=""),"",N($E798)-N($F798))</f>
        <v/>
      </c>
    </row>
    <row r="799">
      <c r="A799" s="15" t="n"/>
      <c r="B799" s="16">
        <f>IF($A799="","",TEXT($A799,"mmm"))</f>
        <v/>
      </c>
      <c r="C799" s="13" t="n"/>
      <c r="D799" s="13" t="n"/>
      <c r="E799" s="17" t="n"/>
      <c r="F799" s="17" t="n"/>
      <c r="G799" s="18">
        <f>IF(AND($E799="",$F799=""),"",N($E799)-N($F799))</f>
        <v/>
      </c>
    </row>
    <row r="800">
      <c r="A800" s="15" t="n"/>
      <c r="B800" s="16">
        <f>IF($A800="","",TEXT($A800,"mmm"))</f>
        <v/>
      </c>
      <c r="C800" s="13" t="n"/>
      <c r="D800" s="13" t="n"/>
      <c r="E800" s="17" t="n"/>
      <c r="F800" s="17" t="n"/>
      <c r="G800" s="18">
        <f>IF(AND($E800="",$F800=""),"",N($E800)-N($F800))</f>
        <v/>
      </c>
    </row>
    <row r="801">
      <c r="A801" s="15" t="n"/>
      <c r="B801" s="16">
        <f>IF($A801="","",TEXT($A801,"mmm"))</f>
        <v/>
      </c>
      <c r="C801" s="13" t="n"/>
      <c r="D801" s="13" t="n"/>
      <c r="E801" s="17" t="n"/>
      <c r="F801" s="17" t="n"/>
      <c r="G801" s="18">
        <f>IF(AND($E801="",$F801=""),"",N($E801)-N($F801))</f>
        <v/>
      </c>
    </row>
    <row r="802">
      <c r="A802" s="15" t="n"/>
      <c r="B802" s="16">
        <f>IF($A802="","",TEXT($A802,"mmm"))</f>
        <v/>
      </c>
      <c r="C802" s="13" t="n"/>
      <c r="D802" s="13" t="n"/>
      <c r="E802" s="17" t="n"/>
      <c r="F802" s="17" t="n"/>
      <c r="G802" s="18">
        <f>IF(AND($E802="",$F802=""),"",N($E802)-N($F802))</f>
        <v/>
      </c>
    </row>
    <row r="803">
      <c r="A803" s="15" t="n"/>
      <c r="B803" s="16">
        <f>IF($A803="","",TEXT($A803,"mmm"))</f>
        <v/>
      </c>
      <c r="C803" s="13" t="n"/>
      <c r="D803" s="13" t="n"/>
      <c r="E803" s="17" t="n"/>
      <c r="F803" s="17" t="n"/>
      <c r="G803" s="18">
        <f>IF(AND($E803="",$F803=""),"",N($E803)-N($F803))</f>
        <v/>
      </c>
    </row>
    <row r="804">
      <c r="A804" s="15" t="n"/>
      <c r="B804" s="16">
        <f>IF($A804="","",TEXT($A804,"mmm"))</f>
        <v/>
      </c>
      <c r="C804" s="13" t="n"/>
      <c r="D804" s="13" t="n"/>
      <c r="E804" s="17" t="n"/>
      <c r="F804" s="17" t="n"/>
      <c r="G804" s="18">
        <f>IF(AND($E804="",$F804=""),"",N($E804)-N($F804))</f>
        <v/>
      </c>
    </row>
    <row r="805">
      <c r="A805" s="15" t="n"/>
      <c r="B805" s="16">
        <f>IF($A805="","",TEXT($A805,"mmm"))</f>
        <v/>
      </c>
      <c r="C805" s="13" t="n"/>
      <c r="D805" s="13" t="n"/>
      <c r="E805" s="17" t="n"/>
      <c r="F805" s="17" t="n"/>
      <c r="G805" s="18">
        <f>IF(AND($E805="",$F805=""),"",N($E805)-N($F805))</f>
        <v/>
      </c>
    </row>
    <row r="806">
      <c r="A806" s="15" t="n"/>
      <c r="B806" s="16">
        <f>IF($A806="","",TEXT($A806,"mmm"))</f>
        <v/>
      </c>
      <c r="C806" s="13" t="n"/>
      <c r="D806" s="13" t="n"/>
      <c r="E806" s="17" t="n"/>
      <c r="F806" s="17" t="n"/>
      <c r="G806" s="18">
        <f>IF(AND($E806="",$F806=""),"",N($E806)-N($F806))</f>
        <v/>
      </c>
    </row>
    <row r="807">
      <c r="A807" s="15" t="n"/>
      <c r="B807" s="16">
        <f>IF($A807="","",TEXT($A807,"mmm"))</f>
        <v/>
      </c>
      <c r="C807" s="13" t="n"/>
      <c r="D807" s="13" t="n"/>
      <c r="E807" s="17" t="n"/>
      <c r="F807" s="17" t="n"/>
      <c r="G807" s="18">
        <f>IF(AND($E807="",$F807=""),"",N($E807)-N($F807))</f>
        <v/>
      </c>
    </row>
    <row r="808">
      <c r="A808" s="15" t="n"/>
      <c r="B808" s="16">
        <f>IF($A808="","",TEXT($A808,"mmm"))</f>
        <v/>
      </c>
      <c r="C808" s="13" t="n"/>
      <c r="D808" s="13" t="n"/>
      <c r="E808" s="17" t="n"/>
      <c r="F808" s="17" t="n"/>
      <c r="G808" s="18">
        <f>IF(AND($E808="",$F808=""),"",N($E808)-N($F808))</f>
        <v/>
      </c>
    </row>
    <row r="809">
      <c r="A809" s="15" t="n"/>
      <c r="B809" s="16">
        <f>IF($A809="","",TEXT($A809,"mmm"))</f>
        <v/>
      </c>
      <c r="C809" s="13" t="n"/>
      <c r="D809" s="13" t="n"/>
      <c r="E809" s="17" t="n"/>
      <c r="F809" s="17" t="n"/>
      <c r="G809" s="18">
        <f>IF(AND($E809="",$F809=""),"",N($E809)-N($F809))</f>
        <v/>
      </c>
    </row>
    <row r="810">
      <c r="A810" s="15" t="n"/>
      <c r="B810" s="16">
        <f>IF($A810="","",TEXT($A810,"mmm"))</f>
        <v/>
      </c>
      <c r="C810" s="13" t="n"/>
      <c r="D810" s="13" t="n"/>
      <c r="E810" s="17" t="n"/>
      <c r="F810" s="17" t="n"/>
      <c r="G810" s="18">
        <f>IF(AND($E810="",$F810=""),"",N($E810)-N($F810))</f>
        <v/>
      </c>
    </row>
    <row r="811">
      <c r="A811" s="15" t="n"/>
      <c r="B811" s="16">
        <f>IF($A811="","",TEXT($A811,"mmm"))</f>
        <v/>
      </c>
      <c r="C811" s="13" t="n"/>
      <c r="D811" s="13" t="n"/>
      <c r="E811" s="17" t="n"/>
      <c r="F811" s="17" t="n"/>
      <c r="G811" s="18">
        <f>IF(AND($E811="",$F811=""),"",N($E811)-N($F811))</f>
        <v/>
      </c>
    </row>
    <row r="812">
      <c r="A812" s="15" t="n"/>
      <c r="B812" s="16">
        <f>IF($A812="","",TEXT($A812,"mmm"))</f>
        <v/>
      </c>
      <c r="C812" s="13" t="n"/>
      <c r="D812" s="13" t="n"/>
      <c r="E812" s="17" t="n"/>
      <c r="F812" s="17" t="n"/>
      <c r="G812" s="18">
        <f>IF(AND($E812="",$F812=""),"",N($E812)-N($F812))</f>
        <v/>
      </c>
    </row>
    <row r="813">
      <c r="A813" s="15" t="n"/>
      <c r="B813" s="16">
        <f>IF($A813="","",TEXT($A813,"mmm"))</f>
        <v/>
      </c>
      <c r="C813" s="13" t="n"/>
      <c r="D813" s="13" t="n"/>
      <c r="E813" s="17" t="n"/>
      <c r="F813" s="17" t="n"/>
      <c r="G813" s="18">
        <f>IF(AND($E813="",$F813=""),"",N($E813)-N($F813))</f>
        <v/>
      </c>
    </row>
    <row r="814">
      <c r="A814" s="15" t="n"/>
      <c r="B814" s="16">
        <f>IF($A814="","",TEXT($A814,"mmm"))</f>
        <v/>
      </c>
      <c r="C814" s="13" t="n"/>
      <c r="D814" s="13" t="n"/>
      <c r="E814" s="17" t="n"/>
      <c r="F814" s="17" t="n"/>
      <c r="G814" s="18">
        <f>IF(AND($E814="",$F814=""),"",N($E814)-N($F814))</f>
        <v/>
      </c>
    </row>
    <row r="815">
      <c r="A815" s="15" t="n"/>
      <c r="B815" s="16">
        <f>IF($A815="","",TEXT($A815,"mmm"))</f>
        <v/>
      </c>
      <c r="C815" s="13" t="n"/>
      <c r="D815" s="13" t="n"/>
      <c r="E815" s="17" t="n"/>
      <c r="F815" s="17" t="n"/>
      <c r="G815" s="18">
        <f>IF(AND($E815="",$F815=""),"",N($E815)-N($F815))</f>
        <v/>
      </c>
    </row>
    <row r="816">
      <c r="A816" s="15" t="n"/>
      <c r="B816" s="16">
        <f>IF($A816="","",TEXT($A816,"mmm"))</f>
        <v/>
      </c>
      <c r="C816" s="13" t="n"/>
      <c r="D816" s="13" t="n"/>
      <c r="E816" s="17" t="n"/>
      <c r="F816" s="17" t="n"/>
      <c r="G816" s="18">
        <f>IF(AND($E816="",$F816=""),"",N($E816)-N($F816))</f>
        <v/>
      </c>
    </row>
    <row r="817">
      <c r="A817" s="15" t="n"/>
      <c r="B817" s="16">
        <f>IF($A817="","",TEXT($A817,"mmm"))</f>
        <v/>
      </c>
      <c r="C817" s="13" t="n"/>
      <c r="D817" s="13" t="n"/>
      <c r="E817" s="17" t="n"/>
      <c r="F817" s="17" t="n"/>
      <c r="G817" s="18">
        <f>IF(AND($E817="",$F817=""),"",N($E817)-N($F817))</f>
        <v/>
      </c>
    </row>
    <row r="818">
      <c r="A818" s="15" t="n"/>
      <c r="B818" s="16">
        <f>IF($A818="","",TEXT($A818,"mmm"))</f>
        <v/>
      </c>
      <c r="C818" s="13" t="n"/>
      <c r="D818" s="13" t="n"/>
      <c r="E818" s="17" t="n"/>
      <c r="F818" s="17" t="n"/>
      <c r="G818" s="18">
        <f>IF(AND($E818="",$F818=""),"",N($E818)-N($F818))</f>
        <v/>
      </c>
    </row>
    <row r="819">
      <c r="A819" s="15" t="n"/>
      <c r="B819" s="16">
        <f>IF($A819="","",TEXT($A819,"mmm"))</f>
        <v/>
      </c>
      <c r="C819" s="13" t="n"/>
      <c r="D819" s="13" t="n"/>
      <c r="E819" s="17" t="n"/>
      <c r="F819" s="17" t="n"/>
      <c r="G819" s="18">
        <f>IF(AND($E819="",$F819=""),"",N($E819)-N($F819))</f>
        <v/>
      </c>
    </row>
    <row r="820">
      <c r="A820" s="15" t="n"/>
      <c r="B820" s="16">
        <f>IF($A820="","",TEXT($A820,"mmm"))</f>
        <v/>
      </c>
      <c r="C820" s="13" t="n"/>
      <c r="D820" s="13" t="n"/>
      <c r="E820" s="17" t="n"/>
      <c r="F820" s="17" t="n"/>
      <c r="G820" s="18">
        <f>IF(AND($E820="",$F820=""),"",N($E820)-N($F820))</f>
        <v/>
      </c>
    </row>
    <row r="821">
      <c r="A821" s="15" t="n"/>
      <c r="B821" s="16">
        <f>IF($A821="","",TEXT($A821,"mmm"))</f>
        <v/>
      </c>
      <c r="C821" s="13" t="n"/>
      <c r="D821" s="13" t="n"/>
      <c r="E821" s="17" t="n"/>
      <c r="F821" s="17" t="n"/>
      <c r="G821" s="18">
        <f>IF(AND($E821="",$F821=""),"",N($E821)-N($F821))</f>
        <v/>
      </c>
    </row>
    <row r="822">
      <c r="A822" s="15" t="n"/>
      <c r="B822" s="16">
        <f>IF($A822="","",TEXT($A822,"mmm"))</f>
        <v/>
      </c>
      <c r="C822" s="13" t="n"/>
      <c r="D822" s="13" t="n"/>
      <c r="E822" s="17" t="n"/>
      <c r="F822" s="17" t="n"/>
      <c r="G822" s="18">
        <f>IF(AND($E822="",$F822=""),"",N($E822)-N($F822))</f>
        <v/>
      </c>
    </row>
    <row r="823">
      <c r="A823" s="15" t="n"/>
      <c r="B823" s="16">
        <f>IF($A823="","",TEXT($A823,"mmm"))</f>
        <v/>
      </c>
      <c r="C823" s="13" t="n"/>
      <c r="D823" s="13" t="n"/>
      <c r="E823" s="17" t="n"/>
      <c r="F823" s="17" t="n"/>
      <c r="G823" s="18">
        <f>IF(AND($E823="",$F823=""),"",N($E823)-N($F823))</f>
        <v/>
      </c>
    </row>
    <row r="824">
      <c r="A824" s="15" t="n"/>
      <c r="B824" s="16">
        <f>IF($A824="","",TEXT($A824,"mmm"))</f>
        <v/>
      </c>
      <c r="C824" s="13" t="n"/>
      <c r="D824" s="13" t="n"/>
      <c r="E824" s="17" t="n"/>
      <c r="F824" s="17" t="n"/>
      <c r="G824" s="18">
        <f>IF(AND($E824="",$F824=""),"",N($E824)-N($F824))</f>
        <v/>
      </c>
    </row>
    <row r="825">
      <c r="A825" s="15" t="n"/>
      <c r="B825" s="16">
        <f>IF($A825="","",TEXT($A825,"mmm"))</f>
        <v/>
      </c>
      <c r="C825" s="13" t="n"/>
      <c r="D825" s="13" t="n"/>
      <c r="E825" s="17" t="n"/>
      <c r="F825" s="17" t="n"/>
      <c r="G825" s="18">
        <f>IF(AND($E825="",$F825=""),"",N($E825)-N($F825))</f>
        <v/>
      </c>
    </row>
    <row r="826">
      <c r="A826" s="15" t="n"/>
      <c r="B826" s="16">
        <f>IF($A826="","",TEXT($A826,"mmm"))</f>
        <v/>
      </c>
      <c r="C826" s="13" t="n"/>
      <c r="D826" s="13" t="n"/>
      <c r="E826" s="17" t="n"/>
      <c r="F826" s="17" t="n"/>
      <c r="G826" s="18">
        <f>IF(AND($E826="",$F826=""),"",N($E826)-N($F826))</f>
        <v/>
      </c>
    </row>
    <row r="827">
      <c r="A827" s="15" t="n"/>
      <c r="B827" s="16">
        <f>IF($A827="","",TEXT($A827,"mmm"))</f>
        <v/>
      </c>
      <c r="C827" s="13" t="n"/>
      <c r="D827" s="13" t="n"/>
      <c r="E827" s="17" t="n"/>
      <c r="F827" s="17" t="n"/>
      <c r="G827" s="18">
        <f>IF(AND($E827="",$F827=""),"",N($E827)-N($F827))</f>
        <v/>
      </c>
    </row>
    <row r="828">
      <c r="A828" s="15" t="n"/>
      <c r="B828" s="16">
        <f>IF($A828="","",TEXT($A828,"mmm"))</f>
        <v/>
      </c>
      <c r="C828" s="13" t="n"/>
      <c r="D828" s="13" t="n"/>
      <c r="E828" s="17" t="n"/>
      <c r="F828" s="17" t="n"/>
      <c r="G828" s="18">
        <f>IF(AND($E828="",$F828=""),"",N($E828)-N($F828))</f>
        <v/>
      </c>
    </row>
    <row r="829">
      <c r="A829" s="15" t="n"/>
      <c r="B829" s="16">
        <f>IF($A829="","",TEXT($A829,"mmm"))</f>
        <v/>
      </c>
      <c r="C829" s="13" t="n"/>
      <c r="D829" s="13" t="n"/>
      <c r="E829" s="17" t="n"/>
      <c r="F829" s="17" t="n"/>
      <c r="G829" s="18">
        <f>IF(AND($E829="",$F829=""),"",N($E829)-N($F829))</f>
        <v/>
      </c>
    </row>
    <row r="830">
      <c r="A830" s="15" t="n"/>
      <c r="B830" s="16">
        <f>IF($A830="","",TEXT($A830,"mmm"))</f>
        <v/>
      </c>
      <c r="C830" s="13" t="n"/>
      <c r="D830" s="13" t="n"/>
      <c r="E830" s="17" t="n"/>
      <c r="F830" s="17" t="n"/>
      <c r="G830" s="18">
        <f>IF(AND($E830="",$F830=""),"",N($E830)-N($F830))</f>
        <v/>
      </c>
    </row>
    <row r="831">
      <c r="A831" s="15" t="n"/>
      <c r="B831" s="16">
        <f>IF($A831="","",TEXT($A831,"mmm"))</f>
        <v/>
      </c>
      <c r="C831" s="13" t="n"/>
      <c r="D831" s="13" t="n"/>
      <c r="E831" s="17" t="n"/>
      <c r="F831" s="17" t="n"/>
      <c r="G831" s="18">
        <f>IF(AND($E831="",$F831=""),"",N($E831)-N($F831))</f>
        <v/>
      </c>
    </row>
    <row r="832">
      <c r="A832" s="15" t="n"/>
      <c r="B832" s="16">
        <f>IF($A832="","",TEXT($A832,"mmm"))</f>
        <v/>
      </c>
      <c r="C832" s="13" t="n"/>
      <c r="D832" s="13" t="n"/>
      <c r="E832" s="17" t="n"/>
      <c r="F832" s="17" t="n"/>
      <c r="G832" s="18">
        <f>IF(AND($E832="",$F832=""),"",N($E832)-N($F832))</f>
        <v/>
      </c>
    </row>
    <row r="833">
      <c r="A833" s="15" t="n"/>
      <c r="B833" s="16">
        <f>IF($A833="","",TEXT($A833,"mmm"))</f>
        <v/>
      </c>
      <c r="C833" s="13" t="n"/>
      <c r="D833" s="13" t="n"/>
      <c r="E833" s="17" t="n"/>
      <c r="F833" s="17" t="n"/>
      <c r="G833" s="18">
        <f>IF(AND($E833="",$F833=""),"",N($E833)-N($F833))</f>
        <v/>
      </c>
    </row>
    <row r="834">
      <c r="A834" s="15" t="n"/>
      <c r="B834" s="16">
        <f>IF($A834="","",TEXT($A834,"mmm"))</f>
        <v/>
      </c>
      <c r="C834" s="13" t="n"/>
      <c r="D834" s="13" t="n"/>
      <c r="E834" s="17" t="n"/>
      <c r="F834" s="17" t="n"/>
      <c r="G834" s="18">
        <f>IF(AND($E834="",$F834=""),"",N($E834)-N($F834))</f>
        <v/>
      </c>
    </row>
    <row r="835">
      <c r="A835" s="15" t="n"/>
      <c r="B835" s="16">
        <f>IF($A835="","",TEXT($A835,"mmm"))</f>
        <v/>
      </c>
      <c r="C835" s="13" t="n"/>
      <c r="D835" s="13" t="n"/>
      <c r="E835" s="17" t="n"/>
      <c r="F835" s="17" t="n"/>
      <c r="G835" s="18">
        <f>IF(AND($E835="",$F835=""),"",N($E835)-N($F835))</f>
        <v/>
      </c>
    </row>
    <row r="836">
      <c r="A836" s="15" t="n"/>
      <c r="B836" s="16">
        <f>IF($A836="","",TEXT($A836,"mmm"))</f>
        <v/>
      </c>
      <c r="C836" s="13" t="n"/>
      <c r="D836" s="13" t="n"/>
      <c r="E836" s="17" t="n"/>
      <c r="F836" s="17" t="n"/>
      <c r="G836" s="18">
        <f>IF(AND($E836="",$F836=""),"",N($E836)-N($F836))</f>
        <v/>
      </c>
    </row>
    <row r="837">
      <c r="A837" s="15" t="n"/>
      <c r="B837" s="16">
        <f>IF($A837="","",TEXT($A837,"mmm"))</f>
        <v/>
      </c>
      <c r="C837" s="13" t="n"/>
      <c r="D837" s="13" t="n"/>
      <c r="E837" s="17" t="n"/>
      <c r="F837" s="17" t="n"/>
      <c r="G837" s="18">
        <f>IF(AND($E837="",$F837=""),"",N($E837)-N($F837))</f>
        <v/>
      </c>
    </row>
    <row r="838">
      <c r="A838" s="15" t="n"/>
      <c r="B838" s="16">
        <f>IF($A838="","",TEXT($A838,"mmm"))</f>
        <v/>
      </c>
      <c r="C838" s="13" t="n"/>
      <c r="D838" s="13" t="n"/>
      <c r="E838" s="17" t="n"/>
      <c r="F838" s="17" t="n"/>
      <c r="G838" s="18">
        <f>IF(AND($E838="",$F838=""),"",N($E838)-N($F838))</f>
        <v/>
      </c>
    </row>
    <row r="839">
      <c r="A839" s="15" t="n"/>
      <c r="B839" s="16">
        <f>IF($A839="","",TEXT($A839,"mmm"))</f>
        <v/>
      </c>
      <c r="C839" s="13" t="n"/>
      <c r="D839" s="13" t="n"/>
      <c r="E839" s="17" t="n"/>
      <c r="F839" s="17" t="n"/>
      <c r="G839" s="18">
        <f>IF(AND($E839="",$F839=""),"",N($E839)-N($F839))</f>
        <v/>
      </c>
    </row>
    <row r="840">
      <c r="A840" s="15" t="n"/>
      <c r="B840" s="16">
        <f>IF($A840="","",TEXT($A840,"mmm"))</f>
        <v/>
      </c>
      <c r="C840" s="13" t="n"/>
      <c r="D840" s="13" t="n"/>
      <c r="E840" s="17" t="n"/>
      <c r="F840" s="17" t="n"/>
      <c r="G840" s="18">
        <f>IF(AND($E840="",$F840=""),"",N($E840)-N($F840))</f>
        <v/>
      </c>
    </row>
    <row r="841">
      <c r="A841" s="15" t="n"/>
      <c r="B841" s="16">
        <f>IF($A841="","",TEXT($A841,"mmm"))</f>
        <v/>
      </c>
      <c r="C841" s="13" t="n"/>
      <c r="D841" s="13" t="n"/>
      <c r="E841" s="17" t="n"/>
      <c r="F841" s="17" t="n"/>
      <c r="G841" s="18">
        <f>IF(AND($E841="",$F841=""),"",N($E841)-N($F841))</f>
        <v/>
      </c>
    </row>
    <row r="842">
      <c r="A842" s="15" t="n"/>
      <c r="B842" s="16">
        <f>IF($A842="","",TEXT($A842,"mmm"))</f>
        <v/>
      </c>
      <c r="C842" s="13" t="n"/>
      <c r="D842" s="13" t="n"/>
      <c r="E842" s="17" t="n"/>
      <c r="F842" s="17" t="n"/>
      <c r="G842" s="18">
        <f>IF(AND($E842="",$F842=""),"",N($E842)-N($F842))</f>
        <v/>
      </c>
    </row>
    <row r="843">
      <c r="A843" s="15" t="n"/>
      <c r="B843" s="16">
        <f>IF($A843="","",TEXT($A843,"mmm"))</f>
        <v/>
      </c>
      <c r="C843" s="13" t="n"/>
      <c r="D843" s="13" t="n"/>
      <c r="E843" s="17" t="n"/>
      <c r="F843" s="17" t="n"/>
      <c r="G843" s="18">
        <f>IF(AND($E843="",$F843=""),"",N($E843)-N($F843))</f>
        <v/>
      </c>
    </row>
    <row r="844">
      <c r="A844" s="15" t="n"/>
      <c r="B844" s="16">
        <f>IF($A844="","",TEXT($A844,"mmm"))</f>
        <v/>
      </c>
      <c r="C844" s="13" t="n"/>
      <c r="D844" s="13" t="n"/>
      <c r="E844" s="17" t="n"/>
      <c r="F844" s="17" t="n"/>
      <c r="G844" s="18">
        <f>IF(AND($E844="",$F844=""),"",N($E844)-N($F844))</f>
        <v/>
      </c>
    </row>
    <row r="845">
      <c r="A845" s="15" t="n"/>
      <c r="B845" s="16">
        <f>IF($A845="","",TEXT($A845,"mmm"))</f>
        <v/>
      </c>
      <c r="C845" s="13" t="n"/>
      <c r="D845" s="13" t="n"/>
      <c r="E845" s="17" t="n"/>
      <c r="F845" s="17" t="n"/>
      <c r="G845" s="18">
        <f>IF(AND($E845="",$F845=""),"",N($E845)-N($F845))</f>
        <v/>
      </c>
    </row>
    <row r="846">
      <c r="A846" s="15" t="n"/>
      <c r="B846" s="16">
        <f>IF($A846="","",TEXT($A846,"mmm"))</f>
        <v/>
      </c>
      <c r="C846" s="13" t="n"/>
      <c r="D846" s="13" t="n"/>
      <c r="E846" s="17" t="n"/>
      <c r="F846" s="17" t="n"/>
      <c r="G846" s="18">
        <f>IF(AND($E846="",$F846=""),"",N($E846)-N($F846))</f>
        <v/>
      </c>
    </row>
    <row r="847">
      <c r="A847" s="15" t="n"/>
      <c r="B847" s="16">
        <f>IF($A847="","",TEXT($A847,"mmm"))</f>
        <v/>
      </c>
      <c r="C847" s="13" t="n"/>
      <c r="D847" s="13" t="n"/>
      <c r="E847" s="17" t="n"/>
      <c r="F847" s="17" t="n"/>
      <c r="G847" s="18">
        <f>IF(AND($E847="",$F847=""),"",N($E847)-N($F847))</f>
        <v/>
      </c>
    </row>
    <row r="848">
      <c r="A848" s="15" t="n"/>
      <c r="B848" s="16">
        <f>IF($A848="","",TEXT($A848,"mmm"))</f>
        <v/>
      </c>
      <c r="C848" s="13" t="n"/>
      <c r="D848" s="13" t="n"/>
      <c r="E848" s="17" t="n"/>
      <c r="F848" s="17" t="n"/>
      <c r="G848" s="18">
        <f>IF(AND($E848="",$F848=""),"",N($E848)-N($F848))</f>
        <v/>
      </c>
    </row>
    <row r="849">
      <c r="A849" s="15" t="n"/>
      <c r="B849" s="16">
        <f>IF($A849="","",TEXT($A849,"mmm"))</f>
        <v/>
      </c>
      <c r="C849" s="13" t="n"/>
      <c r="D849" s="13" t="n"/>
      <c r="E849" s="17" t="n"/>
      <c r="F849" s="17" t="n"/>
      <c r="G849" s="18">
        <f>IF(AND($E849="",$F849=""),"",N($E849)-N($F849))</f>
        <v/>
      </c>
    </row>
    <row r="850">
      <c r="A850" s="15" t="n"/>
      <c r="B850" s="16">
        <f>IF($A850="","",TEXT($A850,"mmm"))</f>
        <v/>
      </c>
      <c r="C850" s="13" t="n"/>
      <c r="D850" s="13" t="n"/>
      <c r="E850" s="17" t="n"/>
      <c r="F850" s="17" t="n"/>
      <c r="G850" s="18">
        <f>IF(AND($E850="",$F850=""),"",N($E850)-N($F850))</f>
        <v/>
      </c>
    </row>
    <row r="851">
      <c r="A851" s="15" t="n"/>
      <c r="B851" s="16">
        <f>IF($A851="","",TEXT($A851,"mmm"))</f>
        <v/>
      </c>
      <c r="C851" s="13" t="n"/>
      <c r="D851" s="13" t="n"/>
      <c r="E851" s="17" t="n"/>
      <c r="F851" s="17" t="n"/>
      <c r="G851" s="18">
        <f>IF(AND($E851="",$F851=""),"",N($E851)-N($F851))</f>
        <v/>
      </c>
    </row>
    <row r="852">
      <c r="A852" s="15" t="n"/>
      <c r="B852" s="16">
        <f>IF($A852="","",TEXT($A852,"mmm"))</f>
        <v/>
      </c>
      <c r="C852" s="13" t="n"/>
      <c r="D852" s="13" t="n"/>
      <c r="E852" s="17" t="n"/>
      <c r="F852" s="17" t="n"/>
      <c r="G852" s="18">
        <f>IF(AND($E852="",$F852=""),"",N($E852)-N($F852))</f>
        <v/>
      </c>
    </row>
    <row r="853">
      <c r="A853" s="15" t="n"/>
      <c r="B853" s="16">
        <f>IF($A853="","",TEXT($A853,"mmm"))</f>
        <v/>
      </c>
      <c r="C853" s="13" t="n"/>
      <c r="D853" s="13" t="n"/>
      <c r="E853" s="17" t="n"/>
      <c r="F853" s="17" t="n"/>
      <c r="G853" s="18">
        <f>IF(AND($E853="",$F853=""),"",N($E853)-N($F853))</f>
        <v/>
      </c>
    </row>
    <row r="854">
      <c r="A854" s="15" t="n"/>
      <c r="B854" s="16">
        <f>IF($A854="","",TEXT($A854,"mmm"))</f>
        <v/>
      </c>
      <c r="C854" s="13" t="n"/>
      <c r="D854" s="13" t="n"/>
      <c r="E854" s="17" t="n"/>
      <c r="F854" s="17" t="n"/>
      <c r="G854" s="18">
        <f>IF(AND($E854="",$F854=""),"",N($E854)-N($F854))</f>
        <v/>
      </c>
    </row>
    <row r="855">
      <c r="A855" s="15" t="n"/>
      <c r="B855" s="16">
        <f>IF($A855="","",TEXT($A855,"mmm"))</f>
        <v/>
      </c>
      <c r="C855" s="13" t="n"/>
      <c r="D855" s="13" t="n"/>
      <c r="E855" s="17" t="n"/>
      <c r="F855" s="17" t="n"/>
      <c r="G855" s="18">
        <f>IF(AND($E855="",$F855=""),"",N($E855)-N($F855))</f>
        <v/>
      </c>
    </row>
    <row r="856">
      <c r="A856" s="15" t="n"/>
      <c r="B856" s="16">
        <f>IF($A856="","",TEXT($A856,"mmm"))</f>
        <v/>
      </c>
      <c r="C856" s="13" t="n"/>
      <c r="D856" s="13" t="n"/>
      <c r="E856" s="17" t="n"/>
      <c r="F856" s="17" t="n"/>
      <c r="G856" s="18">
        <f>IF(AND($E856="",$F856=""),"",N($E856)-N($F856))</f>
        <v/>
      </c>
    </row>
    <row r="857">
      <c r="A857" s="15" t="n"/>
      <c r="B857" s="16">
        <f>IF($A857="","",TEXT($A857,"mmm"))</f>
        <v/>
      </c>
      <c r="C857" s="13" t="n"/>
      <c r="D857" s="13" t="n"/>
      <c r="E857" s="17" t="n"/>
      <c r="F857" s="17" t="n"/>
      <c r="G857" s="18">
        <f>IF(AND($E857="",$F857=""),"",N($E857)-N($F857))</f>
        <v/>
      </c>
    </row>
    <row r="858">
      <c r="A858" s="15" t="n"/>
      <c r="B858" s="16">
        <f>IF($A858="","",TEXT($A858,"mmm"))</f>
        <v/>
      </c>
      <c r="C858" s="13" t="n"/>
      <c r="D858" s="13" t="n"/>
      <c r="E858" s="17" t="n"/>
      <c r="F858" s="17" t="n"/>
      <c r="G858" s="18">
        <f>IF(AND($E858="",$F858=""),"",N($E858)-N($F858))</f>
        <v/>
      </c>
    </row>
    <row r="859">
      <c r="A859" s="15" t="n"/>
      <c r="B859" s="16">
        <f>IF($A859="","",TEXT($A859,"mmm"))</f>
        <v/>
      </c>
      <c r="C859" s="13" t="n"/>
      <c r="D859" s="13" t="n"/>
      <c r="E859" s="17" t="n"/>
      <c r="F859" s="17" t="n"/>
      <c r="G859" s="18">
        <f>IF(AND($E859="",$F859=""),"",N($E859)-N($F859))</f>
        <v/>
      </c>
    </row>
    <row r="860">
      <c r="A860" s="15" t="n"/>
      <c r="B860" s="16">
        <f>IF($A860="","",TEXT($A860,"mmm"))</f>
        <v/>
      </c>
      <c r="C860" s="13" t="n"/>
      <c r="D860" s="13" t="n"/>
      <c r="E860" s="17" t="n"/>
      <c r="F860" s="17" t="n"/>
      <c r="G860" s="18">
        <f>IF(AND($E860="",$F860=""),"",N($E860)-N($F860))</f>
        <v/>
      </c>
    </row>
    <row r="861">
      <c r="A861" s="15" t="n"/>
      <c r="B861" s="16">
        <f>IF($A861="","",TEXT($A861,"mmm"))</f>
        <v/>
      </c>
      <c r="C861" s="13" t="n"/>
      <c r="D861" s="13" t="n"/>
      <c r="E861" s="17" t="n"/>
      <c r="F861" s="17" t="n"/>
      <c r="G861" s="18">
        <f>IF(AND($E861="",$F861=""),"",N($E861)-N($F861))</f>
        <v/>
      </c>
    </row>
    <row r="862">
      <c r="A862" s="15" t="n"/>
      <c r="B862" s="16">
        <f>IF($A862="","",TEXT($A862,"mmm"))</f>
        <v/>
      </c>
      <c r="C862" s="13" t="n"/>
      <c r="D862" s="13" t="n"/>
      <c r="E862" s="17" t="n"/>
      <c r="F862" s="17" t="n"/>
      <c r="G862" s="18">
        <f>IF(AND($E862="",$F862=""),"",N($E862)-N($F862))</f>
        <v/>
      </c>
    </row>
    <row r="863">
      <c r="A863" s="15" t="n"/>
      <c r="B863" s="16">
        <f>IF($A863="","",TEXT($A863,"mmm"))</f>
        <v/>
      </c>
      <c r="C863" s="13" t="n"/>
      <c r="D863" s="13" t="n"/>
      <c r="E863" s="17" t="n"/>
      <c r="F863" s="17" t="n"/>
      <c r="G863" s="18">
        <f>IF(AND($E863="",$F863=""),"",N($E863)-N($F863))</f>
        <v/>
      </c>
    </row>
    <row r="864">
      <c r="A864" s="15" t="n"/>
      <c r="B864" s="16">
        <f>IF($A864="","",TEXT($A864,"mmm"))</f>
        <v/>
      </c>
      <c r="C864" s="13" t="n"/>
      <c r="D864" s="13" t="n"/>
      <c r="E864" s="17" t="n"/>
      <c r="F864" s="17" t="n"/>
      <c r="G864" s="18">
        <f>IF(AND($E864="",$F864=""),"",N($E864)-N($F864))</f>
        <v/>
      </c>
    </row>
    <row r="865">
      <c r="A865" s="15" t="n"/>
      <c r="B865" s="16">
        <f>IF($A865="","",TEXT($A865,"mmm"))</f>
        <v/>
      </c>
      <c r="C865" s="13" t="n"/>
      <c r="D865" s="13" t="n"/>
      <c r="E865" s="17" t="n"/>
      <c r="F865" s="17" t="n"/>
      <c r="G865" s="18">
        <f>IF(AND($E865="",$F865=""),"",N($E865)-N($F865))</f>
        <v/>
      </c>
    </row>
    <row r="866">
      <c r="A866" s="15" t="n"/>
      <c r="B866" s="16">
        <f>IF($A866="","",TEXT($A866,"mmm"))</f>
        <v/>
      </c>
      <c r="C866" s="13" t="n"/>
      <c r="D866" s="13" t="n"/>
      <c r="E866" s="17" t="n"/>
      <c r="F866" s="17" t="n"/>
      <c r="G866" s="18">
        <f>IF(AND($E866="",$F866=""),"",N($E866)-N($F866))</f>
        <v/>
      </c>
    </row>
    <row r="867">
      <c r="A867" s="15" t="n"/>
      <c r="B867" s="16">
        <f>IF($A867="","",TEXT($A867,"mmm"))</f>
        <v/>
      </c>
      <c r="C867" s="13" t="n"/>
      <c r="D867" s="13" t="n"/>
      <c r="E867" s="17" t="n"/>
      <c r="F867" s="17" t="n"/>
      <c r="G867" s="18">
        <f>IF(AND($E867="",$F867=""),"",N($E867)-N($F867))</f>
        <v/>
      </c>
    </row>
    <row r="868">
      <c r="A868" s="15" t="n"/>
      <c r="B868" s="16">
        <f>IF($A868="","",TEXT($A868,"mmm"))</f>
        <v/>
      </c>
      <c r="C868" s="13" t="n"/>
      <c r="D868" s="13" t="n"/>
      <c r="E868" s="17" t="n"/>
      <c r="F868" s="17" t="n"/>
      <c r="G868" s="18">
        <f>IF(AND($E868="",$F868=""),"",N($E868)-N($F868))</f>
        <v/>
      </c>
    </row>
    <row r="869">
      <c r="A869" s="15" t="n"/>
      <c r="B869" s="16">
        <f>IF($A869="","",TEXT($A869,"mmm"))</f>
        <v/>
      </c>
      <c r="C869" s="13" t="n"/>
      <c r="D869" s="13" t="n"/>
      <c r="E869" s="17" t="n"/>
      <c r="F869" s="17" t="n"/>
      <c r="G869" s="18">
        <f>IF(AND($E869="",$F869=""),"",N($E869)-N($F869))</f>
        <v/>
      </c>
    </row>
    <row r="870">
      <c r="A870" s="15" t="n"/>
      <c r="B870" s="16">
        <f>IF($A870="","",TEXT($A870,"mmm"))</f>
        <v/>
      </c>
      <c r="C870" s="13" t="n"/>
      <c r="D870" s="13" t="n"/>
      <c r="E870" s="17" t="n"/>
      <c r="F870" s="17" t="n"/>
      <c r="G870" s="18">
        <f>IF(AND($E870="",$F870=""),"",N($E870)-N($F870))</f>
        <v/>
      </c>
    </row>
    <row r="871">
      <c r="A871" s="15" t="n"/>
      <c r="B871" s="16">
        <f>IF($A871="","",TEXT($A871,"mmm"))</f>
        <v/>
      </c>
      <c r="C871" s="13" t="n"/>
      <c r="D871" s="13" t="n"/>
      <c r="E871" s="17" t="n"/>
      <c r="F871" s="17" t="n"/>
      <c r="G871" s="18">
        <f>IF(AND($E871="",$F871=""),"",N($E871)-N($F871))</f>
        <v/>
      </c>
    </row>
    <row r="872">
      <c r="A872" s="15" t="n"/>
      <c r="B872" s="16">
        <f>IF($A872="","",TEXT($A872,"mmm"))</f>
        <v/>
      </c>
      <c r="C872" s="13" t="n"/>
      <c r="D872" s="13" t="n"/>
      <c r="E872" s="17" t="n"/>
      <c r="F872" s="17" t="n"/>
      <c r="G872" s="18">
        <f>IF(AND($E872="",$F872=""),"",N($E872)-N($F872))</f>
        <v/>
      </c>
    </row>
    <row r="873">
      <c r="A873" s="15" t="n"/>
      <c r="B873" s="16">
        <f>IF($A873="","",TEXT($A873,"mmm"))</f>
        <v/>
      </c>
      <c r="C873" s="13" t="n"/>
      <c r="D873" s="13" t="n"/>
      <c r="E873" s="17" t="n"/>
      <c r="F873" s="17" t="n"/>
      <c r="G873" s="18">
        <f>IF(AND($E873="",$F873=""),"",N($E873)-N($F873))</f>
        <v/>
      </c>
    </row>
    <row r="874">
      <c r="A874" s="15" t="n"/>
      <c r="B874" s="16">
        <f>IF($A874="","",TEXT($A874,"mmm"))</f>
        <v/>
      </c>
      <c r="C874" s="13" t="n"/>
      <c r="D874" s="13" t="n"/>
      <c r="E874" s="17" t="n"/>
      <c r="F874" s="17" t="n"/>
      <c r="G874" s="18">
        <f>IF(AND($E874="",$F874=""),"",N($E874)-N($F874))</f>
        <v/>
      </c>
    </row>
    <row r="875">
      <c r="A875" s="15" t="n"/>
      <c r="B875" s="16">
        <f>IF($A875="","",TEXT($A875,"mmm"))</f>
        <v/>
      </c>
      <c r="C875" s="13" t="n"/>
      <c r="D875" s="13" t="n"/>
      <c r="E875" s="17" t="n"/>
      <c r="F875" s="17" t="n"/>
      <c r="G875" s="18">
        <f>IF(AND($E875="",$F875=""),"",N($E875)-N($F875))</f>
        <v/>
      </c>
    </row>
    <row r="876">
      <c r="A876" s="15" t="n"/>
      <c r="B876" s="16">
        <f>IF($A876="","",TEXT($A876,"mmm"))</f>
        <v/>
      </c>
      <c r="C876" s="13" t="n"/>
      <c r="D876" s="13" t="n"/>
      <c r="E876" s="17" t="n"/>
      <c r="F876" s="17" t="n"/>
      <c r="G876" s="18">
        <f>IF(AND($E876="",$F876=""),"",N($E876)-N($F876))</f>
        <v/>
      </c>
    </row>
    <row r="877">
      <c r="A877" s="15" t="n"/>
      <c r="B877" s="16">
        <f>IF($A877="","",TEXT($A877,"mmm"))</f>
        <v/>
      </c>
      <c r="C877" s="13" t="n"/>
      <c r="D877" s="13" t="n"/>
      <c r="E877" s="17" t="n"/>
      <c r="F877" s="17" t="n"/>
      <c r="G877" s="18">
        <f>IF(AND($E877="",$F877=""),"",N($E877)-N($F877))</f>
        <v/>
      </c>
    </row>
    <row r="878">
      <c r="A878" s="15" t="n"/>
      <c r="B878" s="16">
        <f>IF($A878="","",TEXT($A878,"mmm"))</f>
        <v/>
      </c>
      <c r="C878" s="13" t="n"/>
      <c r="D878" s="13" t="n"/>
      <c r="E878" s="17" t="n"/>
      <c r="F878" s="17" t="n"/>
      <c r="G878" s="18">
        <f>IF(AND($E878="",$F878=""),"",N($E878)-N($F878))</f>
        <v/>
      </c>
    </row>
    <row r="879">
      <c r="A879" s="15" t="n"/>
      <c r="B879" s="16">
        <f>IF($A879="","",TEXT($A879,"mmm"))</f>
        <v/>
      </c>
      <c r="C879" s="13" t="n"/>
      <c r="D879" s="13" t="n"/>
      <c r="E879" s="17" t="n"/>
      <c r="F879" s="17" t="n"/>
      <c r="G879" s="18">
        <f>IF(AND($E879="",$F879=""),"",N($E879)-N($F879))</f>
        <v/>
      </c>
    </row>
    <row r="880">
      <c r="A880" s="15" t="n"/>
      <c r="B880" s="16">
        <f>IF($A880="","",TEXT($A880,"mmm"))</f>
        <v/>
      </c>
      <c r="C880" s="13" t="n"/>
      <c r="D880" s="13" t="n"/>
      <c r="E880" s="17" t="n"/>
      <c r="F880" s="17" t="n"/>
      <c r="G880" s="18">
        <f>IF(AND($E880="",$F880=""),"",N($E880)-N($F880))</f>
        <v/>
      </c>
    </row>
    <row r="881">
      <c r="A881" s="15" t="n"/>
      <c r="B881" s="16">
        <f>IF($A881="","",TEXT($A881,"mmm"))</f>
        <v/>
      </c>
      <c r="C881" s="13" t="n"/>
      <c r="D881" s="13" t="n"/>
      <c r="E881" s="17" t="n"/>
      <c r="F881" s="17" t="n"/>
      <c r="G881" s="18">
        <f>IF(AND($E881="",$F881=""),"",N($E881)-N($F881))</f>
        <v/>
      </c>
    </row>
    <row r="882">
      <c r="A882" s="15" t="n"/>
      <c r="B882" s="16">
        <f>IF($A882="","",TEXT($A882,"mmm"))</f>
        <v/>
      </c>
      <c r="C882" s="13" t="n"/>
      <c r="D882" s="13" t="n"/>
      <c r="E882" s="17" t="n"/>
      <c r="F882" s="17" t="n"/>
      <c r="G882" s="18">
        <f>IF(AND($E882="",$F882=""),"",N($E882)-N($F882))</f>
        <v/>
      </c>
    </row>
    <row r="883">
      <c r="A883" s="15" t="n"/>
      <c r="B883" s="16">
        <f>IF($A883="","",TEXT($A883,"mmm"))</f>
        <v/>
      </c>
      <c r="C883" s="13" t="n"/>
      <c r="D883" s="13" t="n"/>
      <c r="E883" s="17" t="n"/>
      <c r="F883" s="17" t="n"/>
      <c r="G883" s="18">
        <f>IF(AND($E883="",$F883=""),"",N($E883)-N($F883))</f>
        <v/>
      </c>
    </row>
    <row r="884">
      <c r="A884" s="15" t="n"/>
      <c r="B884" s="16">
        <f>IF($A884="","",TEXT($A884,"mmm"))</f>
        <v/>
      </c>
      <c r="C884" s="13" t="n"/>
      <c r="D884" s="13" t="n"/>
      <c r="E884" s="17" t="n"/>
      <c r="F884" s="17" t="n"/>
      <c r="G884" s="18">
        <f>IF(AND($E884="",$F884=""),"",N($E884)-N($F884))</f>
        <v/>
      </c>
    </row>
    <row r="885">
      <c r="A885" s="15" t="n"/>
      <c r="B885" s="16">
        <f>IF($A885="","",TEXT($A885,"mmm"))</f>
        <v/>
      </c>
      <c r="C885" s="13" t="n"/>
      <c r="D885" s="13" t="n"/>
      <c r="E885" s="17" t="n"/>
      <c r="F885" s="17" t="n"/>
      <c r="G885" s="18">
        <f>IF(AND($E885="",$F885=""),"",N($E885)-N($F885))</f>
        <v/>
      </c>
    </row>
    <row r="886">
      <c r="A886" s="15" t="n"/>
      <c r="B886" s="16">
        <f>IF($A886="","",TEXT($A886,"mmm"))</f>
        <v/>
      </c>
      <c r="C886" s="13" t="n"/>
      <c r="D886" s="13" t="n"/>
      <c r="E886" s="17" t="n"/>
      <c r="F886" s="17" t="n"/>
      <c r="G886" s="18">
        <f>IF(AND($E886="",$F886=""),"",N($E886)-N($F886))</f>
        <v/>
      </c>
    </row>
    <row r="887">
      <c r="A887" s="15" t="n"/>
      <c r="B887" s="16">
        <f>IF($A887="","",TEXT($A887,"mmm"))</f>
        <v/>
      </c>
      <c r="C887" s="13" t="n"/>
      <c r="D887" s="13" t="n"/>
      <c r="E887" s="17" t="n"/>
      <c r="F887" s="17" t="n"/>
      <c r="G887" s="18">
        <f>IF(AND($E887="",$F887=""),"",N($E887)-N($F887))</f>
        <v/>
      </c>
    </row>
    <row r="888">
      <c r="A888" s="15" t="n"/>
      <c r="B888" s="16">
        <f>IF($A888="","",TEXT($A888,"mmm"))</f>
        <v/>
      </c>
      <c r="C888" s="13" t="n"/>
      <c r="D888" s="13" t="n"/>
      <c r="E888" s="17" t="n"/>
      <c r="F888" s="17" t="n"/>
      <c r="G888" s="18">
        <f>IF(AND($E888="",$F888=""),"",N($E888)-N($F888))</f>
        <v/>
      </c>
    </row>
    <row r="889">
      <c r="A889" s="15" t="n"/>
      <c r="B889" s="16">
        <f>IF($A889="","",TEXT($A889,"mmm"))</f>
        <v/>
      </c>
      <c r="C889" s="13" t="n"/>
      <c r="D889" s="13" t="n"/>
      <c r="E889" s="17" t="n"/>
      <c r="F889" s="17" t="n"/>
      <c r="G889" s="18">
        <f>IF(AND($E889="",$F889=""),"",N($E889)-N($F889))</f>
        <v/>
      </c>
    </row>
    <row r="890">
      <c r="A890" s="15" t="n"/>
      <c r="B890" s="16">
        <f>IF($A890="","",TEXT($A890,"mmm"))</f>
        <v/>
      </c>
      <c r="C890" s="13" t="n"/>
      <c r="D890" s="13" t="n"/>
      <c r="E890" s="17" t="n"/>
      <c r="F890" s="17" t="n"/>
      <c r="G890" s="18">
        <f>IF(AND($E890="",$F890=""),"",N($E890)-N($F890))</f>
        <v/>
      </c>
    </row>
    <row r="891">
      <c r="A891" s="15" t="n"/>
      <c r="B891" s="16">
        <f>IF($A891="","",TEXT($A891,"mmm"))</f>
        <v/>
      </c>
      <c r="C891" s="13" t="n"/>
      <c r="D891" s="13" t="n"/>
      <c r="E891" s="17" t="n"/>
      <c r="F891" s="17" t="n"/>
      <c r="G891" s="18">
        <f>IF(AND($E891="",$F891=""),"",N($E891)-N($F891))</f>
        <v/>
      </c>
    </row>
    <row r="892">
      <c r="A892" s="15" t="n"/>
      <c r="B892" s="16">
        <f>IF($A892="","",TEXT($A892,"mmm"))</f>
        <v/>
      </c>
      <c r="C892" s="13" t="n"/>
      <c r="D892" s="13" t="n"/>
      <c r="E892" s="17" t="n"/>
      <c r="F892" s="17" t="n"/>
      <c r="G892" s="18">
        <f>IF(AND($E892="",$F892=""),"",N($E892)-N($F892))</f>
        <v/>
      </c>
    </row>
    <row r="893">
      <c r="A893" s="15" t="n"/>
      <c r="B893" s="16">
        <f>IF($A893="","",TEXT($A893,"mmm"))</f>
        <v/>
      </c>
      <c r="C893" s="13" t="n"/>
      <c r="D893" s="13" t="n"/>
      <c r="E893" s="17" t="n"/>
      <c r="F893" s="17" t="n"/>
      <c r="G893" s="18">
        <f>IF(AND($E893="",$F893=""),"",N($E893)-N($F893))</f>
        <v/>
      </c>
    </row>
    <row r="894">
      <c r="A894" s="15" t="n"/>
      <c r="B894" s="16">
        <f>IF($A894="","",TEXT($A894,"mmm"))</f>
        <v/>
      </c>
      <c r="C894" s="13" t="n"/>
      <c r="D894" s="13" t="n"/>
      <c r="E894" s="17" t="n"/>
      <c r="F894" s="17" t="n"/>
      <c r="G894" s="18">
        <f>IF(AND($E894="",$F894=""),"",N($E894)-N($F894))</f>
        <v/>
      </c>
    </row>
    <row r="895">
      <c r="A895" s="15" t="n"/>
      <c r="B895" s="16">
        <f>IF($A895="","",TEXT($A895,"mmm"))</f>
        <v/>
      </c>
      <c r="C895" s="13" t="n"/>
      <c r="D895" s="13" t="n"/>
      <c r="E895" s="17" t="n"/>
      <c r="F895" s="17" t="n"/>
      <c r="G895" s="18">
        <f>IF(AND($E895="",$F895=""),"",N($E895)-N($F895))</f>
        <v/>
      </c>
    </row>
    <row r="896">
      <c r="A896" s="15" t="n"/>
      <c r="B896" s="16">
        <f>IF($A896="","",TEXT($A896,"mmm"))</f>
        <v/>
      </c>
      <c r="C896" s="13" t="n"/>
      <c r="D896" s="13" t="n"/>
      <c r="E896" s="17" t="n"/>
      <c r="F896" s="17" t="n"/>
      <c r="G896" s="18">
        <f>IF(AND($E896="",$F896=""),"",N($E896)-N($F896))</f>
        <v/>
      </c>
    </row>
    <row r="897">
      <c r="A897" s="15" t="n"/>
      <c r="B897" s="16">
        <f>IF($A897="","",TEXT($A897,"mmm"))</f>
        <v/>
      </c>
      <c r="C897" s="13" t="n"/>
      <c r="D897" s="13" t="n"/>
      <c r="E897" s="17" t="n"/>
      <c r="F897" s="17" t="n"/>
      <c r="G897" s="18">
        <f>IF(AND($E897="",$F897=""),"",N($E897)-N($F897))</f>
        <v/>
      </c>
    </row>
    <row r="898">
      <c r="A898" s="15" t="n"/>
      <c r="B898" s="16">
        <f>IF($A898="","",TEXT($A898,"mmm"))</f>
        <v/>
      </c>
      <c r="C898" s="13" t="n"/>
      <c r="D898" s="13" t="n"/>
      <c r="E898" s="17" t="n"/>
      <c r="F898" s="17" t="n"/>
      <c r="G898" s="18">
        <f>IF(AND($E898="",$F898=""),"",N($E898)-N($F898))</f>
        <v/>
      </c>
    </row>
    <row r="899">
      <c r="A899" s="15" t="n"/>
      <c r="B899" s="16">
        <f>IF($A899="","",TEXT($A899,"mmm"))</f>
        <v/>
      </c>
      <c r="C899" s="13" t="n"/>
      <c r="D899" s="13" t="n"/>
      <c r="E899" s="17" t="n"/>
      <c r="F899" s="17" t="n"/>
      <c r="G899" s="18">
        <f>IF(AND($E899="",$F899=""),"",N($E899)-N($F899))</f>
        <v/>
      </c>
    </row>
    <row r="900">
      <c r="A900" s="15" t="n"/>
      <c r="B900" s="16">
        <f>IF($A900="","",TEXT($A900,"mmm"))</f>
        <v/>
      </c>
      <c r="C900" s="13" t="n"/>
      <c r="D900" s="13" t="n"/>
      <c r="E900" s="17" t="n"/>
      <c r="F900" s="17" t="n"/>
      <c r="G900" s="18">
        <f>IF(AND($E900="",$F900=""),"",N($E900)-N($F900))</f>
        <v/>
      </c>
    </row>
    <row r="901">
      <c r="A901" s="15" t="n"/>
      <c r="B901" s="16">
        <f>IF($A901="","",TEXT($A901,"mmm"))</f>
        <v/>
      </c>
      <c r="C901" s="13" t="n"/>
      <c r="D901" s="13" t="n"/>
      <c r="E901" s="17" t="n"/>
      <c r="F901" s="17" t="n"/>
      <c r="G901" s="18">
        <f>IF(AND($E901="",$F901=""),"",N($E901)-N($F901))</f>
        <v/>
      </c>
    </row>
    <row r="902">
      <c r="A902" s="15" t="n"/>
      <c r="B902" s="16">
        <f>IF($A902="","",TEXT($A902,"mmm"))</f>
        <v/>
      </c>
      <c r="C902" s="13" t="n"/>
      <c r="D902" s="13" t="n"/>
      <c r="E902" s="17" t="n"/>
      <c r="F902" s="17" t="n"/>
      <c r="G902" s="18">
        <f>IF(AND($E902="",$F902=""),"",N($E902)-N($F902))</f>
        <v/>
      </c>
    </row>
    <row r="903">
      <c r="A903" s="15" t="n"/>
      <c r="B903" s="16">
        <f>IF($A903="","",TEXT($A903,"mmm"))</f>
        <v/>
      </c>
      <c r="C903" s="13" t="n"/>
      <c r="D903" s="13" t="n"/>
      <c r="E903" s="17" t="n"/>
      <c r="F903" s="17" t="n"/>
      <c r="G903" s="18">
        <f>IF(AND($E903="",$F903=""),"",N($E903)-N($F903))</f>
        <v/>
      </c>
    </row>
    <row r="904">
      <c r="A904" s="15" t="n"/>
      <c r="B904" s="16">
        <f>IF($A904="","",TEXT($A904,"mmm"))</f>
        <v/>
      </c>
      <c r="C904" s="13" t="n"/>
      <c r="D904" s="13" t="n"/>
      <c r="E904" s="17" t="n"/>
      <c r="F904" s="17" t="n"/>
      <c r="G904" s="18">
        <f>IF(AND($E904="",$F904=""),"",N($E904)-N($F904))</f>
        <v/>
      </c>
    </row>
    <row r="905">
      <c r="A905" s="15" t="n"/>
      <c r="B905" s="16">
        <f>IF($A905="","",TEXT($A905,"mmm"))</f>
        <v/>
      </c>
      <c r="C905" s="13" t="n"/>
      <c r="D905" s="13" t="n"/>
      <c r="E905" s="17" t="n"/>
      <c r="F905" s="17" t="n"/>
      <c r="G905" s="18">
        <f>IF(AND($E905="",$F905=""),"",N($E905)-N($F905))</f>
        <v/>
      </c>
    </row>
    <row r="906">
      <c r="A906" s="15" t="n"/>
      <c r="B906" s="16">
        <f>IF($A906="","",TEXT($A906,"mmm"))</f>
        <v/>
      </c>
      <c r="C906" s="13" t="n"/>
      <c r="D906" s="13" t="n"/>
      <c r="E906" s="17" t="n"/>
      <c r="F906" s="17" t="n"/>
      <c r="G906" s="18">
        <f>IF(AND($E906="",$F906=""),"",N($E906)-N($F906))</f>
        <v/>
      </c>
    </row>
    <row r="907">
      <c r="A907" s="15" t="n"/>
      <c r="B907" s="16">
        <f>IF($A907="","",TEXT($A907,"mmm"))</f>
        <v/>
      </c>
      <c r="C907" s="13" t="n"/>
      <c r="D907" s="13" t="n"/>
      <c r="E907" s="17" t="n"/>
      <c r="F907" s="17" t="n"/>
      <c r="G907" s="18">
        <f>IF(AND($E907="",$F907=""),"",N($E907)-N($F907))</f>
        <v/>
      </c>
    </row>
    <row r="908">
      <c r="A908" s="15" t="n"/>
      <c r="B908" s="16">
        <f>IF($A908="","",TEXT($A908,"mmm"))</f>
        <v/>
      </c>
      <c r="C908" s="13" t="n"/>
      <c r="D908" s="13" t="n"/>
      <c r="E908" s="17" t="n"/>
      <c r="F908" s="17" t="n"/>
      <c r="G908" s="18">
        <f>IF(AND($E908="",$F908=""),"",N($E908)-N($F908))</f>
        <v/>
      </c>
    </row>
    <row r="909">
      <c r="A909" s="15" t="n"/>
      <c r="B909" s="16">
        <f>IF($A909="","",TEXT($A909,"mmm"))</f>
        <v/>
      </c>
      <c r="C909" s="13" t="n"/>
      <c r="D909" s="13" t="n"/>
      <c r="E909" s="17" t="n"/>
      <c r="F909" s="17" t="n"/>
      <c r="G909" s="18">
        <f>IF(AND($E909="",$F909=""),"",N($E909)-N($F909))</f>
        <v/>
      </c>
    </row>
    <row r="910">
      <c r="A910" s="15" t="n"/>
      <c r="B910" s="16">
        <f>IF($A910="","",TEXT($A910,"mmm"))</f>
        <v/>
      </c>
      <c r="C910" s="13" t="n"/>
      <c r="D910" s="13" t="n"/>
      <c r="E910" s="17" t="n"/>
      <c r="F910" s="17" t="n"/>
      <c r="G910" s="18">
        <f>IF(AND($E910="",$F910=""),"",N($E910)-N($F910))</f>
        <v/>
      </c>
    </row>
    <row r="911">
      <c r="A911" s="15" t="n"/>
      <c r="B911" s="16">
        <f>IF($A911="","",TEXT($A911,"mmm"))</f>
        <v/>
      </c>
      <c r="C911" s="13" t="n"/>
      <c r="D911" s="13" t="n"/>
      <c r="E911" s="17" t="n"/>
      <c r="F911" s="17" t="n"/>
      <c r="G911" s="18">
        <f>IF(AND($E911="",$F911=""),"",N($E911)-N($F911))</f>
        <v/>
      </c>
    </row>
    <row r="912">
      <c r="A912" s="15" t="n"/>
      <c r="B912" s="16">
        <f>IF($A912="","",TEXT($A912,"mmm"))</f>
        <v/>
      </c>
      <c r="C912" s="13" t="n"/>
      <c r="D912" s="13" t="n"/>
      <c r="E912" s="17" t="n"/>
      <c r="F912" s="17" t="n"/>
      <c r="G912" s="18">
        <f>IF(AND($E912="",$F912=""),"",N($E912)-N($F912))</f>
        <v/>
      </c>
    </row>
    <row r="913">
      <c r="A913" s="15" t="n"/>
      <c r="B913" s="16">
        <f>IF($A913="","",TEXT($A913,"mmm"))</f>
        <v/>
      </c>
      <c r="C913" s="13" t="n"/>
      <c r="D913" s="13" t="n"/>
      <c r="E913" s="17" t="n"/>
      <c r="F913" s="17" t="n"/>
      <c r="G913" s="18">
        <f>IF(AND($E913="",$F913=""),"",N($E913)-N($F913))</f>
        <v/>
      </c>
    </row>
    <row r="914">
      <c r="A914" s="15" t="n"/>
      <c r="B914" s="16">
        <f>IF($A914="","",TEXT($A914,"mmm"))</f>
        <v/>
      </c>
      <c r="C914" s="13" t="n"/>
      <c r="D914" s="13" t="n"/>
      <c r="E914" s="17" t="n"/>
      <c r="F914" s="17" t="n"/>
      <c r="G914" s="18">
        <f>IF(AND($E914="",$F914=""),"",N($E914)-N($F914))</f>
        <v/>
      </c>
    </row>
    <row r="915">
      <c r="A915" s="15" t="n"/>
      <c r="B915" s="16">
        <f>IF($A915="","",TEXT($A915,"mmm"))</f>
        <v/>
      </c>
      <c r="C915" s="13" t="n"/>
      <c r="D915" s="13" t="n"/>
      <c r="E915" s="17" t="n"/>
      <c r="F915" s="17" t="n"/>
      <c r="G915" s="18">
        <f>IF(AND($E915="",$F915=""),"",N($E915)-N($F915))</f>
        <v/>
      </c>
    </row>
    <row r="916">
      <c r="A916" s="15" t="n"/>
      <c r="B916" s="16">
        <f>IF($A916="","",TEXT($A916,"mmm"))</f>
        <v/>
      </c>
      <c r="C916" s="13" t="n"/>
      <c r="D916" s="13" t="n"/>
      <c r="E916" s="17" t="n"/>
      <c r="F916" s="17" t="n"/>
      <c r="G916" s="18">
        <f>IF(AND($E916="",$F916=""),"",N($E916)-N($F916))</f>
        <v/>
      </c>
    </row>
    <row r="917">
      <c r="A917" s="15" t="n"/>
      <c r="B917" s="16">
        <f>IF($A917="","",TEXT($A917,"mmm"))</f>
        <v/>
      </c>
      <c r="C917" s="13" t="n"/>
      <c r="D917" s="13" t="n"/>
      <c r="E917" s="17" t="n"/>
      <c r="F917" s="17" t="n"/>
      <c r="G917" s="18">
        <f>IF(AND($E917="",$F917=""),"",N($E917)-N($F917))</f>
        <v/>
      </c>
    </row>
    <row r="918">
      <c r="A918" s="15" t="n"/>
      <c r="B918" s="16">
        <f>IF($A918="","",TEXT($A918,"mmm"))</f>
        <v/>
      </c>
      <c r="C918" s="13" t="n"/>
      <c r="D918" s="13" t="n"/>
      <c r="E918" s="17" t="n"/>
      <c r="F918" s="17" t="n"/>
      <c r="G918" s="18">
        <f>IF(AND($E918="",$F918=""),"",N($E918)-N($F918))</f>
        <v/>
      </c>
    </row>
    <row r="919">
      <c r="A919" s="15" t="n"/>
      <c r="B919" s="16">
        <f>IF($A919="","",TEXT($A919,"mmm"))</f>
        <v/>
      </c>
      <c r="C919" s="13" t="n"/>
      <c r="D919" s="13" t="n"/>
      <c r="E919" s="17" t="n"/>
      <c r="F919" s="17" t="n"/>
      <c r="G919" s="18">
        <f>IF(AND($E919="",$F919=""),"",N($E919)-N($F919))</f>
        <v/>
      </c>
    </row>
    <row r="920">
      <c r="A920" s="15" t="n"/>
      <c r="B920" s="16">
        <f>IF($A920="","",TEXT($A920,"mmm"))</f>
        <v/>
      </c>
      <c r="C920" s="13" t="n"/>
      <c r="D920" s="13" t="n"/>
      <c r="E920" s="17" t="n"/>
      <c r="F920" s="17" t="n"/>
      <c r="G920" s="18">
        <f>IF(AND($E920="",$F920=""),"",N($E920)-N($F920))</f>
        <v/>
      </c>
    </row>
    <row r="921">
      <c r="A921" s="15" t="n"/>
      <c r="B921" s="16">
        <f>IF($A921="","",TEXT($A921,"mmm"))</f>
        <v/>
      </c>
      <c r="C921" s="13" t="n"/>
      <c r="D921" s="13" t="n"/>
      <c r="E921" s="17" t="n"/>
      <c r="F921" s="17" t="n"/>
      <c r="G921" s="18">
        <f>IF(AND($E921="",$F921=""),"",N($E921)-N($F921))</f>
        <v/>
      </c>
    </row>
    <row r="922">
      <c r="A922" s="15" t="n"/>
      <c r="B922" s="16">
        <f>IF($A922="","",TEXT($A922,"mmm"))</f>
        <v/>
      </c>
      <c r="C922" s="13" t="n"/>
      <c r="D922" s="13" t="n"/>
      <c r="E922" s="17" t="n"/>
      <c r="F922" s="17" t="n"/>
      <c r="G922" s="18">
        <f>IF(AND($E922="",$F922=""),"",N($E922)-N($F922))</f>
        <v/>
      </c>
    </row>
    <row r="923">
      <c r="A923" s="15" t="n"/>
      <c r="B923" s="16">
        <f>IF($A923="","",TEXT($A923,"mmm"))</f>
        <v/>
      </c>
      <c r="C923" s="13" t="n"/>
      <c r="D923" s="13" t="n"/>
      <c r="E923" s="17" t="n"/>
      <c r="F923" s="17" t="n"/>
      <c r="G923" s="18">
        <f>IF(AND($E923="",$F923=""),"",N($E923)-N($F923))</f>
        <v/>
      </c>
    </row>
    <row r="924">
      <c r="A924" s="15" t="n"/>
      <c r="B924" s="16">
        <f>IF($A924="","",TEXT($A924,"mmm"))</f>
        <v/>
      </c>
      <c r="C924" s="13" t="n"/>
      <c r="D924" s="13" t="n"/>
      <c r="E924" s="17" t="n"/>
      <c r="F924" s="17" t="n"/>
      <c r="G924" s="18">
        <f>IF(AND($E924="",$F924=""),"",N($E924)-N($F924))</f>
        <v/>
      </c>
    </row>
    <row r="925">
      <c r="A925" s="15" t="n"/>
      <c r="B925" s="16">
        <f>IF($A925="","",TEXT($A925,"mmm"))</f>
        <v/>
      </c>
      <c r="C925" s="13" t="n"/>
      <c r="D925" s="13" t="n"/>
      <c r="E925" s="17" t="n"/>
      <c r="F925" s="17" t="n"/>
      <c r="G925" s="18">
        <f>IF(AND($E925="",$F925=""),"",N($E925)-N($F925))</f>
        <v/>
      </c>
    </row>
    <row r="926">
      <c r="A926" s="15" t="n"/>
      <c r="B926" s="16">
        <f>IF($A926="","",TEXT($A926,"mmm"))</f>
        <v/>
      </c>
      <c r="C926" s="13" t="n"/>
      <c r="D926" s="13" t="n"/>
      <c r="E926" s="17" t="n"/>
      <c r="F926" s="17" t="n"/>
      <c r="G926" s="18">
        <f>IF(AND($E926="",$F926=""),"",N($E926)-N($F926))</f>
        <v/>
      </c>
    </row>
    <row r="927">
      <c r="A927" s="15" t="n"/>
      <c r="B927" s="16">
        <f>IF($A927="","",TEXT($A927,"mmm"))</f>
        <v/>
      </c>
      <c r="C927" s="13" t="n"/>
      <c r="D927" s="13" t="n"/>
      <c r="E927" s="17" t="n"/>
      <c r="F927" s="17" t="n"/>
      <c r="G927" s="18">
        <f>IF(AND($E927="",$F927=""),"",N($E927)-N($F927))</f>
        <v/>
      </c>
    </row>
    <row r="928">
      <c r="A928" s="15" t="n"/>
      <c r="B928" s="16">
        <f>IF($A928="","",TEXT($A928,"mmm"))</f>
        <v/>
      </c>
      <c r="C928" s="13" t="n"/>
      <c r="D928" s="13" t="n"/>
      <c r="E928" s="17" t="n"/>
      <c r="F928" s="17" t="n"/>
      <c r="G928" s="18">
        <f>IF(AND($E928="",$F928=""),"",N($E928)-N($F928))</f>
        <v/>
      </c>
    </row>
    <row r="929">
      <c r="A929" s="15" t="n"/>
      <c r="B929" s="16">
        <f>IF($A929="","",TEXT($A929,"mmm"))</f>
        <v/>
      </c>
      <c r="C929" s="13" t="n"/>
      <c r="D929" s="13" t="n"/>
      <c r="E929" s="17" t="n"/>
      <c r="F929" s="17" t="n"/>
      <c r="G929" s="18">
        <f>IF(AND($E929="",$F929=""),"",N($E929)-N($F929))</f>
        <v/>
      </c>
    </row>
    <row r="930">
      <c r="A930" s="15" t="n"/>
      <c r="B930" s="16">
        <f>IF($A930="","",TEXT($A930,"mmm"))</f>
        <v/>
      </c>
      <c r="C930" s="13" t="n"/>
      <c r="D930" s="13" t="n"/>
      <c r="E930" s="17" t="n"/>
      <c r="F930" s="17" t="n"/>
      <c r="G930" s="18">
        <f>IF(AND($E930="",$F930=""),"",N($E930)-N($F930))</f>
        <v/>
      </c>
    </row>
    <row r="931">
      <c r="A931" s="15" t="n"/>
      <c r="B931" s="16">
        <f>IF($A931="","",TEXT($A931,"mmm"))</f>
        <v/>
      </c>
      <c r="C931" s="13" t="n"/>
      <c r="D931" s="13" t="n"/>
      <c r="E931" s="17" t="n"/>
      <c r="F931" s="17" t="n"/>
      <c r="G931" s="18">
        <f>IF(AND($E931="",$F931=""),"",N($E931)-N($F931))</f>
        <v/>
      </c>
    </row>
    <row r="932">
      <c r="A932" s="15" t="n"/>
      <c r="B932" s="16">
        <f>IF($A932="","",TEXT($A932,"mmm"))</f>
        <v/>
      </c>
      <c r="C932" s="13" t="n"/>
      <c r="D932" s="13" t="n"/>
      <c r="E932" s="17" t="n"/>
      <c r="F932" s="17" t="n"/>
      <c r="G932" s="18">
        <f>IF(AND($E932="",$F932=""),"",N($E932)-N($F932))</f>
        <v/>
      </c>
    </row>
    <row r="933">
      <c r="A933" s="15" t="n"/>
      <c r="B933" s="16">
        <f>IF($A933="","",TEXT($A933,"mmm"))</f>
        <v/>
      </c>
      <c r="C933" s="13" t="n"/>
      <c r="D933" s="13" t="n"/>
      <c r="E933" s="17" t="n"/>
      <c r="F933" s="17" t="n"/>
      <c r="G933" s="18">
        <f>IF(AND($E933="",$F933=""),"",N($E933)-N($F933))</f>
        <v/>
      </c>
    </row>
    <row r="934">
      <c r="A934" s="15" t="n"/>
      <c r="B934" s="16">
        <f>IF($A934="","",TEXT($A934,"mmm"))</f>
        <v/>
      </c>
      <c r="C934" s="13" t="n"/>
      <c r="D934" s="13" t="n"/>
      <c r="E934" s="17" t="n"/>
      <c r="F934" s="17" t="n"/>
      <c r="G934" s="18">
        <f>IF(AND($E934="",$F934=""),"",N($E934)-N($F934))</f>
        <v/>
      </c>
    </row>
    <row r="935">
      <c r="A935" s="15" t="n"/>
      <c r="B935" s="16">
        <f>IF($A935="","",TEXT($A935,"mmm"))</f>
        <v/>
      </c>
      <c r="C935" s="13" t="n"/>
      <c r="D935" s="13" t="n"/>
      <c r="E935" s="17" t="n"/>
      <c r="F935" s="17" t="n"/>
      <c r="G935" s="18">
        <f>IF(AND($E935="",$F935=""),"",N($E935)-N($F935))</f>
        <v/>
      </c>
    </row>
    <row r="936">
      <c r="A936" s="15" t="n"/>
      <c r="B936" s="16">
        <f>IF($A936="","",TEXT($A936,"mmm"))</f>
        <v/>
      </c>
      <c r="C936" s="13" t="n"/>
      <c r="D936" s="13" t="n"/>
      <c r="E936" s="17" t="n"/>
      <c r="F936" s="17" t="n"/>
      <c r="G936" s="18">
        <f>IF(AND($E936="",$F936=""),"",N($E936)-N($F936))</f>
        <v/>
      </c>
    </row>
    <row r="937">
      <c r="A937" s="15" t="n"/>
      <c r="B937" s="16">
        <f>IF($A937="","",TEXT($A937,"mmm"))</f>
        <v/>
      </c>
      <c r="C937" s="13" t="n"/>
      <c r="D937" s="13" t="n"/>
      <c r="E937" s="17" t="n"/>
      <c r="F937" s="17" t="n"/>
      <c r="G937" s="18">
        <f>IF(AND($E937="",$F937=""),"",N($E937)-N($F937))</f>
        <v/>
      </c>
    </row>
    <row r="938">
      <c r="A938" s="15" t="n"/>
      <c r="B938" s="16">
        <f>IF($A938="","",TEXT($A938,"mmm"))</f>
        <v/>
      </c>
      <c r="C938" s="13" t="n"/>
      <c r="D938" s="13" t="n"/>
      <c r="E938" s="17" t="n"/>
      <c r="F938" s="17" t="n"/>
      <c r="G938" s="18">
        <f>IF(AND($E938="",$F938=""),"",N($E938)-N($F938))</f>
        <v/>
      </c>
    </row>
    <row r="939">
      <c r="A939" s="15" t="n"/>
      <c r="B939" s="16">
        <f>IF($A939="","",TEXT($A939,"mmm"))</f>
        <v/>
      </c>
      <c r="C939" s="13" t="n"/>
      <c r="D939" s="13" t="n"/>
      <c r="E939" s="17" t="n"/>
      <c r="F939" s="17" t="n"/>
      <c r="G939" s="18">
        <f>IF(AND($E939="",$F939=""),"",N($E939)-N($F939))</f>
        <v/>
      </c>
    </row>
    <row r="940">
      <c r="A940" s="15" t="n"/>
      <c r="B940" s="16">
        <f>IF($A940="","",TEXT($A940,"mmm"))</f>
        <v/>
      </c>
      <c r="C940" s="13" t="n"/>
      <c r="D940" s="13" t="n"/>
      <c r="E940" s="17" t="n"/>
      <c r="F940" s="17" t="n"/>
      <c r="G940" s="18">
        <f>IF(AND($E940="",$F940=""),"",N($E940)-N($F940))</f>
        <v/>
      </c>
    </row>
    <row r="941">
      <c r="A941" s="15" t="n"/>
      <c r="B941" s="16">
        <f>IF($A941="","",TEXT($A941,"mmm"))</f>
        <v/>
      </c>
      <c r="C941" s="13" t="n"/>
      <c r="D941" s="13" t="n"/>
      <c r="E941" s="17" t="n"/>
      <c r="F941" s="17" t="n"/>
      <c r="G941" s="18">
        <f>IF(AND($E941="",$F941=""),"",N($E941)-N($F941))</f>
        <v/>
      </c>
    </row>
    <row r="942">
      <c r="A942" s="15" t="n"/>
      <c r="B942" s="16">
        <f>IF($A942="","",TEXT($A942,"mmm"))</f>
        <v/>
      </c>
      <c r="C942" s="13" t="n"/>
      <c r="D942" s="13" t="n"/>
      <c r="E942" s="17" t="n"/>
      <c r="F942" s="17" t="n"/>
      <c r="G942" s="18">
        <f>IF(AND($E942="",$F942=""),"",N($E942)-N($F942))</f>
        <v/>
      </c>
    </row>
    <row r="943">
      <c r="A943" s="15" t="n"/>
      <c r="B943" s="16">
        <f>IF($A943="","",TEXT($A943,"mmm"))</f>
        <v/>
      </c>
      <c r="C943" s="13" t="n"/>
      <c r="D943" s="13" t="n"/>
      <c r="E943" s="17" t="n"/>
      <c r="F943" s="17" t="n"/>
      <c r="G943" s="18">
        <f>IF(AND($E943="",$F943=""),"",N($E943)-N($F943))</f>
        <v/>
      </c>
    </row>
    <row r="944">
      <c r="A944" s="15" t="n"/>
      <c r="B944" s="16">
        <f>IF($A944="","",TEXT($A944,"mmm"))</f>
        <v/>
      </c>
      <c r="C944" s="13" t="n"/>
      <c r="D944" s="13" t="n"/>
      <c r="E944" s="17" t="n"/>
      <c r="F944" s="17" t="n"/>
      <c r="G944" s="18">
        <f>IF(AND($E944="",$F944=""),"",N($E944)-N($F944))</f>
        <v/>
      </c>
    </row>
    <row r="945">
      <c r="A945" s="15" t="n"/>
      <c r="B945" s="16">
        <f>IF($A945="","",TEXT($A945,"mmm"))</f>
        <v/>
      </c>
      <c r="C945" s="13" t="n"/>
      <c r="D945" s="13" t="n"/>
      <c r="E945" s="17" t="n"/>
      <c r="F945" s="17" t="n"/>
      <c r="G945" s="18">
        <f>IF(AND($E945="",$F945=""),"",N($E945)-N($F945))</f>
        <v/>
      </c>
    </row>
    <row r="946">
      <c r="A946" s="15" t="n"/>
      <c r="B946" s="16">
        <f>IF($A946="","",TEXT($A946,"mmm"))</f>
        <v/>
      </c>
      <c r="C946" s="13" t="n"/>
      <c r="D946" s="13" t="n"/>
      <c r="E946" s="17" t="n"/>
      <c r="F946" s="17" t="n"/>
      <c r="G946" s="18">
        <f>IF(AND($E946="",$F946=""),"",N($E946)-N($F946))</f>
        <v/>
      </c>
    </row>
    <row r="947">
      <c r="A947" s="15" t="n"/>
      <c r="B947" s="16">
        <f>IF($A947="","",TEXT($A947,"mmm"))</f>
        <v/>
      </c>
      <c r="C947" s="13" t="n"/>
      <c r="D947" s="13" t="n"/>
      <c r="E947" s="17" t="n"/>
      <c r="F947" s="17" t="n"/>
      <c r="G947" s="18">
        <f>IF(AND($E947="",$F947=""),"",N($E947)-N($F947))</f>
        <v/>
      </c>
    </row>
    <row r="948">
      <c r="A948" s="15" t="n"/>
      <c r="B948" s="16">
        <f>IF($A948="","",TEXT($A948,"mmm"))</f>
        <v/>
      </c>
      <c r="C948" s="13" t="n"/>
      <c r="D948" s="13" t="n"/>
      <c r="E948" s="17" t="n"/>
      <c r="F948" s="17" t="n"/>
      <c r="G948" s="18">
        <f>IF(AND($E948="",$F948=""),"",N($E948)-N($F948))</f>
        <v/>
      </c>
    </row>
    <row r="949">
      <c r="A949" s="15" t="n"/>
      <c r="B949" s="16">
        <f>IF($A949="","",TEXT($A949,"mmm"))</f>
        <v/>
      </c>
      <c r="C949" s="13" t="n"/>
      <c r="D949" s="13" t="n"/>
      <c r="E949" s="17" t="n"/>
      <c r="F949" s="17" t="n"/>
      <c r="G949" s="18">
        <f>IF(AND($E949="",$F949=""),"",N($E949)-N($F949))</f>
        <v/>
      </c>
    </row>
    <row r="950">
      <c r="A950" s="15" t="n"/>
      <c r="B950" s="16">
        <f>IF($A950="","",TEXT($A950,"mmm"))</f>
        <v/>
      </c>
      <c r="C950" s="13" t="n"/>
      <c r="D950" s="13" t="n"/>
      <c r="E950" s="17" t="n"/>
      <c r="F950" s="17" t="n"/>
      <c r="G950" s="18">
        <f>IF(AND($E950="",$F950=""),"",N($E950)-N($F950))</f>
        <v/>
      </c>
    </row>
    <row r="951">
      <c r="A951" s="15" t="n"/>
      <c r="B951" s="16">
        <f>IF($A951="","",TEXT($A951,"mmm"))</f>
        <v/>
      </c>
      <c r="C951" s="13" t="n"/>
      <c r="D951" s="13" t="n"/>
      <c r="E951" s="17" t="n"/>
      <c r="F951" s="17" t="n"/>
      <c r="G951" s="18">
        <f>IF(AND($E951="",$F951=""),"",N($E951)-N($F951))</f>
        <v/>
      </c>
    </row>
    <row r="952">
      <c r="A952" s="15" t="n"/>
      <c r="B952" s="16">
        <f>IF($A952="","",TEXT($A952,"mmm"))</f>
        <v/>
      </c>
      <c r="C952" s="13" t="n"/>
      <c r="D952" s="13" t="n"/>
      <c r="E952" s="17" t="n"/>
      <c r="F952" s="17" t="n"/>
      <c r="G952" s="18">
        <f>IF(AND($E952="",$F952=""),"",N($E952)-N($F952))</f>
        <v/>
      </c>
    </row>
    <row r="953">
      <c r="A953" s="15" t="n"/>
      <c r="B953" s="16">
        <f>IF($A953="","",TEXT($A953,"mmm"))</f>
        <v/>
      </c>
      <c r="C953" s="13" t="n"/>
      <c r="D953" s="13" t="n"/>
      <c r="E953" s="17" t="n"/>
      <c r="F953" s="17" t="n"/>
      <c r="G953" s="18">
        <f>IF(AND($E953="",$F953=""),"",N($E953)-N($F953))</f>
        <v/>
      </c>
    </row>
    <row r="954">
      <c r="A954" s="15" t="n"/>
      <c r="B954" s="16">
        <f>IF($A954="","",TEXT($A954,"mmm"))</f>
        <v/>
      </c>
      <c r="C954" s="13" t="n"/>
      <c r="D954" s="13" t="n"/>
      <c r="E954" s="17" t="n"/>
      <c r="F954" s="17" t="n"/>
      <c r="G954" s="18">
        <f>IF(AND($E954="",$F954=""),"",N($E954)-N($F954))</f>
        <v/>
      </c>
    </row>
    <row r="955">
      <c r="A955" s="15" t="n"/>
      <c r="B955" s="16">
        <f>IF($A955="","",TEXT($A955,"mmm"))</f>
        <v/>
      </c>
      <c r="C955" s="13" t="n"/>
      <c r="D955" s="13" t="n"/>
      <c r="E955" s="17" t="n"/>
      <c r="F955" s="17" t="n"/>
      <c r="G955" s="18">
        <f>IF(AND($E955="",$F955=""),"",N($E955)-N($F955))</f>
        <v/>
      </c>
    </row>
    <row r="956">
      <c r="A956" s="15" t="n"/>
      <c r="B956" s="16">
        <f>IF($A956="","",TEXT($A956,"mmm"))</f>
        <v/>
      </c>
      <c r="C956" s="13" t="n"/>
      <c r="D956" s="13" t="n"/>
      <c r="E956" s="17" t="n"/>
      <c r="F956" s="17" t="n"/>
      <c r="G956" s="18">
        <f>IF(AND($E956="",$F956=""),"",N($E956)-N($F956))</f>
        <v/>
      </c>
    </row>
    <row r="957">
      <c r="A957" s="15" t="n"/>
      <c r="B957" s="16">
        <f>IF($A957="","",TEXT($A957,"mmm"))</f>
        <v/>
      </c>
      <c r="C957" s="13" t="n"/>
      <c r="D957" s="13" t="n"/>
      <c r="E957" s="17" t="n"/>
      <c r="F957" s="17" t="n"/>
      <c r="G957" s="18">
        <f>IF(AND($E957="",$F957=""),"",N($E957)-N($F957))</f>
        <v/>
      </c>
    </row>
    <row r="958">
      <c r="A958" s="15" t="n"/>
      <c r="B958" s="16">
        <f>IF($A958="","",TEXT($A958,"mmm"))</f>
        <v/>
      </c>
      <c r="C958" s="13" t="n"/>
      <c r="D958" s="13" t="n"/>
      <c r="E958" s="17" t="n"/>
      <c r="F958" s="17" t="n"/>
      <c r="G958" s="18">
        <f>IF(AND($E958="",$F958=""),"",N($E958)-N($F958))</f>
        <v/>
      </c>
    </row>
    <row r="959">
      <c r="A959" s="15" t="n"/>
      <c r="B959" s="16">
        <f>IF($A959="","",TEXT($A959,"mmm"))</f>
        <v/>
      </c>
      <c r="C959" s="13" t="n"/>
      <c r="D959" s="13" t="n"/>
      <c r="E959" s="17" t="n"/>
      <c r="F959" s="17" t="n"/>
      <c r="G959" s="18">
        <f>IF(AND($E959="",$F959=""),"",N($E959)-N($F959))</f>
        <v/>
      </c>
    </row>
    <row r="960">
      <c r="A960" s="15" t="n"/>
      <c r="B960" s="16">
        <f>IF($A960="","",TEXT($A960,"mmm"))</f>
        <v/>
      </c>
      <c r="C960" s="13" t="n"/>
      <c r="D960" s="13" t="n"/>
      <c r="E960" s="17" t="n"/>
      <c r="F960" s="17" t="n"/>
      <c r="G960" s="18">
        <f>IF(AND($E960="",$F960=""),"",N($E960)-N($F960))</f>
        <v/>
      </c>
    </row>
    <row r="961">
      <c r="A961" s="15" t="n"/>
      <c r="B961" s="16">
        <f>IF($A961="","",TEXT($A961,"mmm"))</f>
        <v/>
      </c>
      <c r="C961" s="13" t="n"/>
      <c r="D961" s="13" t="n"/>
      <c r="E961" s="17" t="n"/>
      <c r="F961" s="17" t="n"/>
      <c r="G961" s="18">
        <f>IF(AND($E961="",$F961=""),"",N($E961)-N($F961))</f>
        <v/>
      </c>
    </row>
    <row r="962">
      <c r="A962" s="15" t="n"/>
      <c r="B962" s="16">
        <f>IF($A962="","",TEXT($A962,"mmm"))</f>
        <v/>
      </c>
      <c r="C962" s="13" t="n"/>
      <c r="D962" s="13" t="n"/>
      <c r="E962" s="17" t="n"/>
      <c r="F962" s="17" t="n"/>
      <c r="G962" s="18">
        <f>IF(AND($E962="",$F962=""),"",N($E962)-N($F962))</f>
        <v/>
      </c>
    </row>
    <row r="963">
      <c r="A963" s="15" t="n"/>
      <c r="B963" s="16">
        <f>IF($A963="","",TEXT($A963,"mmm"))</f>
        <v/>
      </c>
      <c r="C963" s="13" t="n"/>
      <c r="D963" s="13" t="n"/>
      <c r="E963" s="17" t="n"/>
      <c r="F963" s="17" t="n"/>
      <c r="G963" s="18">
        <f>IF(AND($E963="",$F963=""),"",N($E963)-N($F963))</f>
        <v/>
      </c>
    </row>
    <row r="964">
      <c r="A964" s="15" t="n"/>
      <c r="B964" s="16">
        <f>IF($A964="","",TEXT($A964,"mmm"))</f>
        <v/>
      </c>
      <c r="C964" s="13" t="n"/>
      <c r="D964" s="13" t="n"/>
      <c r="E964" s="17" t="n"/>
      <c r="F964" s="17" t="n"/>
      <c r="G964" s="18">
        <f>IF(AND($E964="",$F964=""),"",N($E964)-N($F964))</f>
        <v/>
      </c>
    </row>
    <row r="965">
      <c r="A965" s="15" t="n"/>
      <c r="B965" s="16">
        <f>IF($A965="","",TEXT($A965,"mmm"))</f>
        <v/>
      </c>
      <c r="C965" s="13" t="n"/>
      <c r="D965" s="13" t="n"/>
      <c r="E965" s="17" t="n"/>
      <c r="F965" s="17" t="n"/>
      <c r="G965" s="18">
        <f>IF(AND($E965="",$F965=""),"",N($E965)-N($F965))</f>
        <v/>
      </c>
    </row>
    <row r="966">
      <c r="A966" s="15" t="n"/>
      <c r="B966" s="16">
        <f>IF($A966="","",TEXT($A966,"mmm"))</f>
        <v/>
      </c>
      <c r="C966" s="13" t="n"/>
      <c r="D966" s="13" t="n"/>
      <c r="E966" s="17" t="n"/>
      <c r="F966" s="17" t="n"/>
      <c r="G966" s="18">
        <f>IF(AND($E966="",$F966=""),"",N($E966)-N($F966))</f>
        <v/>
      </c>
    </row>
    <row r="967">
      <c r="A967" s="15" t="n"/>
      <c r="B967" s="16">
        <f>IF($A967="","",TEXT($A967,"mmm"))</f>
        <v/>
      </c>
      <c r="C967" s="13" t="n"/>
      <c r="D967" s="13" t="n"/>
      <c r="E967" s="17" t="n"/>
      <c r="F967" s="17" t="n"/>
      <c r="G967" s="18">
        <f>IF(AND($E967="",$F967=""),"",N($E967)-N($F967))</f>
        <v/>
      </c>
    </row>
    <row r="968">
      <c r="A968" s="15" t="n"/>
      <c r="B968" s="16">
        <f>IF($A968="","",TEXT($A968,"mmm"))</f>
        <v/>
      </c>
      <c r="C968" s="13" t="n"/>
      <c r="D968" s="13" t="n"/>
      <c r="E968" s="17" t="n"/>
      <c r="F968" s="17" t="n"/>
      <c r="G968" s="18">
        <f>IF(AND($E968="",$F968=""),"",N($E968)-N($F968))</f>
        <v/>
      </c>
    </row>
    <row r="969">
      <c r="A969" s="15" t="n"/>
      <c r="B969" s="16">
        <f>IF($A969="","",TEXT($A969,"mmm"))</f>
        <v/>
      </c>
      <c r="C969" s="13" t="n"/>
      <c r="D969" s="13" t="n"/>
      <c r="E969" s="17" t="n"/>
      <c r="F969" s="17" t="n"/>
      <c r="G969" s="18">
        <f>IF(AND($E969="",$F969=""),"",N($E969)-N($F969))</f>
        <v/>
      </c>
    </row>
    <row r="970">
      <c r="A970" s="15" t="n"/>
      <c r="B970" s="16">
        <f>IF($A970="","",TEXT($A970,"mmm"))</f>
        <v/>
      </c>
      <c r="C970" s="13" t="n"/>
      <c r="D970" s="13" t="n"/>
      <c r="E970" s="17" t="n"/>
      <c r="F970" s="17" t="n"/>
      <c r="G970" s="18">
        <f>IF(AND($E970="",$F970=""),"",N($E970)-N($F970))</f>
        <v/>
      </c>
    </row>
    <row r="971">
      <c r="A971" s="15" t="n"/>
      <c r="B971" s="16">
        <f>IF($A971="","",TEXT($A971,"mmm"))</f>
        <v/>
      </c>
      <c r="C971" s="13" t="n"/>
      <c r="D971" s="13" t="n"/>
      <c r="E971" s="17" t="n"/>
      <c r="F971" s="17" t="n"/>
      <c r="G971" s="18">
        <f>IF(AND($E971="",$F971=""),"",N($E971)-N($F971))</f>
        <v/>
      </c>
    </row>
    <row r="972">
      <c r="A972" s="15" t="n"/>
      <c r="B972" s="16">
        <f>IF($A972="","",TEXT($A972,"mmm"))</f>
        <v/>
      </c>
      <c r="C972" s="13" t="n"/>
      <c r="D972" s="13" t="n"/>
      <c r="E972" s="17" t="n"/>
      <c r="F972" s="17" t="n"/>
      <c r="G972" s="18">
        <f>IF(AND($E972="",$F972=""),"",N($E972)-N($F972))</f>
        <v/>
      </c>
    </row>
    <row r="973">
      <c r="A973" s="15" t="n"/>
      <c r="B973" s="16">
        <f>IF($A973="","",TEXT($A973,"mmm"))</f>
        <v/>
      </c>
      <c r="C973" s="13" t="n"/>
      <c r="D973" s="13" t="n"/>
      <c r="E973" s="17" t="n"/>
      <c r="F973" s="17" t="n"/>
      <c r="G973" s="18">
        <f>IF(AND($E973="",$F973=""),"",N($E973)-N($F973))</f>
        <v/>
      </c>
    </row>
    <row r="974">
      <c r="A974" s="15" t="n"/>
      <c r="B974" s="16">
        <f>IF($A974="","",TEXT($A974,"mmm"))</f>
        <v/>
      </c>
      <c r="C974" s="13" t="n"/>
      <c r="D974" s="13" t="n"/>
      <c r="E974" s="17" t="n"/>
      <c r="F974" s="17" t="n"/>
      <c r="G974" s="18">
        <f>IF(AND($E974="",$F974=""),"",N($E974)-N($F974))</f>
        <v/>
      </c>
    </row>
    <row r="975">
      <c r="A975" s="15" t="n"/>
      <c r="B975" s="16">
        <f>IF($A975="","",TEXT($A975,"mmm"))</f>
        <v/>
      </c>
      <c r="C975" s="13" t="n"/>
      <c r="D975" s="13" t="n"/>
      <c r="E975" s="17" t="n"/>
      <c r="F975" s="17" t="n"/>
      <c r="G975" s="18">
        <f>IF(AND($E975="",$F975=""),"",N($E975)-N($F975))</f>
        <v/>
      </c>
    </row>
    <row r="976">
      <c r="A976" s="15" t="n"/>
      <c r="B976" s="16">
        <f>IF($A976="","",TEXT($A976,"mmm"))</f>
        <v/>
      </c>
      <c r="C976" s="13" t="n"/>
      <c r="D976" s="13" t="n"/>
      <c r="E976" s="17" t="n"/>
      <c r="F976" s="17" t="n"/>
      <c r="G976" s="18">
        <f>IF(AND($E976="",$F976=""),"",N($E976)-N($F976))</f>
        <v/>
      </c>
    </row>
    <row r="977">
      <c r="A977" s="15" t="n"/>
      <c r="B977" s="16">
        <f>IF($A977="","",TEXT($A977,"mmm"))</f>
        <v/>
      </c>
      <c r="C977" s="13" t="n"/>
      <c r="D977" s="13" t="n"/>
      <c r="E977" s="17" t="n"/>
      <c r="F977" s="17" t="n"/>
      <c r="G977" s="18">
        <f>IF(AND($E977="",$F977=""),"",N($E977)-N($F977))</f>
        <v/>
      </c>
    </row>
    <row r="978">
      <c r="A978" s="15" t="n"/>
      <c r="B978" s="16">
        <f>IF($A978="","",TEXT($A978,"mmm"))</f>
        <v/>
      </c>
      <c r="C978" s="13" t="n"/>
      <c r="D978" s="13" t="n"/>
      <c r="E978" s="17" t="n"/>
      <c r="F978" s="17" t="n"/>
      <c r="G978" s="18">
        <f>IF(AND($E978="",$F978=""),"",N($E978)-N($F978))</f>
        <v/>
      </c>
    </row>
    <row r="979">
      <c r="A979" s="15" t="n"/>
      <c r="B979" s="16">
        <f>IF($A979="","",TEXT($A979,"mmm"))</f>
        <v/>
      </c>
      <c r="C979" s="13" t="n"/>
      <c r="D979" s="13" t="n"/>
      <c r="E979" s="17" t="n"/>
      <c r="F979" s="17" t="n"/>
      <c r="G979" s="18">
        <f>IF(AND($E979="",$F979=""),"",N($E979)-N($F979))</f>
        <v/>
      </c>
    </row>
    <row r="980">
      <c r="A980" s="15" t="n"/>
      <c r="B980" s="16">
        <f>IF($A980="","",TEXT($A980,"mmm"))</f>
        <v/>
      </c>
      <c r="C980" s="13" t="n"/>
      <c r="D980" s="13" t="n"/>
      <c r="E980" s="17" t="n"/>
      <c r="F980" s="17" t="n"/>
      <c r="G980" s="18">
        <f>IF(AND($E980="",$F980=""),"",N($E980)-N($F980))</f>
        <v/>
      </c>
    </row>
    <row r="981">
      <c r="A981" s="15" t="n"/>
      <c r="B981" s="16">
        <f>IF($A981="","",TEXT($A981,"mmm"))</f>
        <v/>
      </c>
      <c r="C981" s="13" t="n"/>
      <c r="D981" s="13" t="n"/>
      <c r="E981" s="17" t="n"/>
      <c r="F981" s="17" t="n"/>
      <c r="G981" s="18">
        <f>IF(AND($E981="",$F981=""),"",N($E981)-N($F981))</f>
        <v/>
      </c>
    </row>
    <row r="982">
      <c r="A982" s="15" t="n"/>
      <c r="B982" s="16">
        <f>IF($A982="","",TEXT($A982,"mmm"))</f>
        <v/>
      </c>
      <c r="C982" s="13" t="n"/>
      <c r="D982" s="13" t="n"/>
      <c r="E982" s="17" t="n"/>
      <c r="F982" s="17" t="n"/>
      <c r="G982" s="18">
        <f>IF(AND($E982="",$F982=""),"",N($E982)-N($F982))</f>
        <v/>
      </c>
    </row>
    <row r="983">
      <c r="A983" s="15" t="n"/>
      <c r="B983" s="16">
        <f>IF($A983="","",TEXT($A983,"mmm"))</f>
        <v/>
      </c>
      <c r="C983" s="13" t="n"/>
      <c r="D983" s="13" t="n"/>
      <c r="E983" s="17" t="n"/>
      <c r="F983" s="17" t="n"/>
      <c r="G983" s="18">
        <f>IF(AND($E983="",$F983=""),"",N($E983)-N($F983))</f>
        <v/>
      </c>
    </row>
    <row r="984">
      <c r="A984" s="15" t="n"/>
      <c r="B984" s="16">
        <f>IF($A984="","",TEXT($A984,"mmm"))</f>
        <v/>
      </c>
      <c r="C984" s="13" t="n"/>
      <c r="D984" s="13" t="n"/>
      <c r="E984" s="17" t="n"/>
      <c r="F984" s="17" t="n"/>
      <c r="G984" s="18">
        <f>IF(AND($E984="",$F984=""),"",N($E984)-N($F984))</f>
        <v/>
      </c>
    </row>
    <row r="985">
      <c r="A985" s="15" t="n"/>
      <c r="B985" s="16">
        <f>IF($A985="","",TEXT($A985,"mmm"))</f>
        <v/>
      </c>
      <c r="C985" s="13" t="n"/>
      <c r="D985" s="13" t="n"/>
      <c r="E985" s="17" t="n"/>
      <c r="F985" s="17" t="n"/>
      <c r="G985" s="18">
        <f>IF(AND($E985="",$F985=""),"",N($E985)-N($F985))</f>
        <v/>
      </c>
    </row>
    <row r="986">
      <c r="A986" s="15" t="n"/>
      <c r="B986" s="16">
        <f>IF($A986="","",TEXT($A986,"mmm"))</f>
        <v/>
      </c>
      <c r="C986" s="13" t="n"/>
      <c r="D986" s="13" t="n"/>
      <c r="E986" s="17" t="n"/>
      <c r="F986" s="17" t="n"/>
      <c r="G986" s="18">
        <f>IF(AND($E986="",$F986=""),"",N($E986)-N($F986))</f>
        <v/>
      </c>
    </row>
    <row r="987">
      <c r="A987" s="15" t="n"/>
      <c r="B987" s="16">
        <f>IF($A987="","",TEXT($A987,"mmm"))</f>
        <v/>
      </c>
      <c r="C987" s="13" t="n"/>
      <c r="D987" s="13" t="n"/>
      <c r="E987" s="17" t="n"/>
      <c r="F987" s="17" t="n"/>
      <c r="G987" s="18">
        <f>IF(AND($E987="",$F987=""),"",N($E987)-N($F987))</f>
        <v/>
      </c>
    </row>
    <row r="988">
      <c r="A988" s="15" t="n"/>
      <c r="B988" s="16">
        <f>IF($A988="","",TEXT($A988,"mmm"))</f>
        <v/>
      </c>
      <c r="C988" s="13" t="n"/>
      <c r="D988" s="13" t="n"/>
      <c r="E988" s="17" t="n"/>
      <c r="F988" s="17" t="n"/>
      <c r="G988" s="18">
        <f>IF(AND($E988="",$F988=""),"",N($E988)-N($F988))</f>
        <v/>
      </c>
    </row>
    <row r="989">
      <c r="A989" s="15" t="n"/>
      <c r="B989" s="16">
        <f>IF($A989="","",TEXT($A989,"mmm"))</f>
        <v/>
      </c>
      <c r="C989" s="13" t="n"/>
      <c r="D989" s="13" t="n"/>
      <c r="E989" s="17" t="n"/>
      <c r="F989" s="17" t="n"/>
      <c r="G989" s="18">
        <f>IF(AND($E989="",$F989=""),"",N($E989)-N($F989))</f>
        <v/>
      </c>
    </row>
    <row r="990">
      <c r="A990" s="15" t="n"/>
      <c r="B990" s="16">
        <f>IF($A990="","",TEXT($A990,"mmm"))</f>
        <v/>
      </c>
      <c r="C990" s="13" t="n"/>
      <c r="D990" s="13" t="n"/>
      <c r="E990" s="17" t="n"/>
      <c r="F990" s="17" t="n"/>
      <c r="G990" s="18">
        <f>IF(AND($E990="",$F990=""),"",N($E990)-N($F990))</f>
        <v/>
      </c>
    </row>
    <row r="991">
      <c r="A991" s="15" t="n"/>
      <c r="B991" s="16">
        <f>IF($A991="","",TEXT($A991,"mmm"))</f>
        <v/>
      </c>
      <c r="C991" s="13" t="n"/>
      <c r="D991" s="13" t="n"/>
      <c r="E991" s="17" t="n"/>
      <c r="F991" s="17" t="n"/>
      <c r="G991" s="18">
        <f>IF(AND($E991="",$F991=""),"",N($E991)-N($F991))</f>
        <v/>
      </c>
    </row>
    <row r="992">
      <c r="A992" s="15" t="n"/>
      <c r="B992" s="16">
        <f>IF($A992="","",TEXT($A992,"mmm"))</f>
        <v/>
      </c>
      <c r="C992" s="13" t="n"/>
      <c r="D992" s="13" t="n"/>
      <c r="E992" s="17" t="n"/>
      <c r="F992" s="17" t="n"/>
      <c r="G992" s="18">
        <f>IF(AND($E992="",$F992=""),"",N($E992)-N($F992))</f>
        <v/>
      </c>
    </row>
    <row r="993">
      <c r="A993" s="15" t="n"/>
      <c r="B993" s="16">
        <f>IF($A993="","",TEXT($A993,"mmm"))</f>
        <v/>
      </c>
      <c r="C993" s="13" t="n"/>
      <c r="D993" s="13" t="n"/>
      <c r="E993" s="17" t="n"/>
      <c r="F993" s="17" t="n"/>
      <c r="G993" s="18">
        <f>IF(AND($E993="",$F993=""),"",N($E993)-N($F993))</f>
        <v/>
      </c>
    </row>
    <row r="994">
      <c r="A994" s="15" t="n"/>
      <c r="B994" s="16">
        <f>IF($A994="","",TEXT($A994,"mmm"))</f>
        <v/>
      </c>
      <c r="C994" s="13" t="n"/>
      <c r="D994" s="13" t="n"/>
      <c r="E994" s="17" t="n"/>
      <c r="F994" s="17" t="n"/>
      <c r="G994" s="18">
        <f>IF(AND($E994="",$F994=""),"",N($E994)-N($F994))</f>
        <v/>
      </c>
    </row>
    <row r="995">
      <c r="A995" s="15" t="n"/>
      <c r="B995" s="16">
        <f>IF($A995="","",TEXT($A995,"mmm"))</f>
        <v/>
      </c>
      <c r="C995" s="13" t="n"/>
      <c r="D995" s="13" t="n"/>
      <c r="E995" s="17" t="n"/>
      <c r="F995" s="17" t="n"/>
      <c r="G995" s="18">
        <f>IF(AND($E995="",$F995=""),"",N($E995)-N($F995))</f>
        <v/>
      </c>
    </row>
    <row r="996">
      <c r="A996" s="15" t="n"/>
      <c r="B996" s="16">
        <f>IF($A996="","",TEXT($A996,"mmm"))</f>
        <v/>
      </c>
      <c r="C996" s="13" t="n"/>
      <c r="D996" s="13" t="n"/>
      <c r="E996" s="17" t="n"/>
      <c r="F996" s="17" t="n"/>
      <c r="G996" s="18">
        <f>IF(AND($E996="",$F996=""),"",N($E996)-N($F996))</f>
        <v/>
      </c>
    </row>
    <row r="997">
      <c r="A997" s="15" t="n"/>
      <c r="B997" s="16">
        <f>IF($A997="","",TEXT($A997,"mmm"))</f>
        <v/>
      </c>
      <c r="C997" s="13" t="n"/>
      <c r="D997" s="13" t="n"/>
      <c r="E997" s="17" t="n"/>
      <c r="F997" s="17" t="n"/>
      <c r="G997" s="18">
        <f>IF(AND($E997="",$F997=""),"",N($E997)-N($F997))</f>
        <v/>
      </c>
    </row>
    <row r="998">
      <c r="A998" s="15" t="n"/>
      <c r="B998" s="16">
        <f>IF($A998="","",TEXT($A998,"mmm"))</f>
        <v/>
      </c>
      <c r="C998" s="13" t="n"/>
      <c r="D998" s="13" t="n"/>
      <c r="E998" s="17" t="n"/>
      <c r="F998" s="17" t="n"/>
      <c r="G998" s="18">
        <f>IF(AND($E998="",$F998=""),"",N($E998)-N($F998))</f>
        <v/>
      </c>
    </row>
    <row r="999">
      <c r="A999" s="15" t="n"/>
      <c r="B999" s="16">
        <f>IF($A999="","",TEXT($A999,"mmm"))</f>
        <v/>
      </c>
      <c r="C999" s="13" t="n"/>
      <c r="D999" s="13" t="n"/>
      <c r="E999" s="17" t="n"/>
      <c r="F999" s="17" t="n"/>
      <c r="G999" s="18">
        <f>IF(AND($E999="",$F999=""),"",N($E999)-N($F999))</f>
        <v/>
      </c>
    </row>
    <row r="1000">
      <c r="A1000" s="15" t="n"/>
      <c r="B1000" s="16">
        <f>IF($A1000="","",TEXT($A1000,"mmm"))</f>
        <v/>
      </c>
      <c r="C1000" s="13" t="n"/>
      <c r="D1000" s="13" t="n"/>
      <c r="E1000" s="17" t="n"/>
      <c r="F1000" s="17" t="n"/>
      <c r="G1000" s="18">
        <f>IF(AND($E1000="",$F1000=""),"",N($E1000)-N($F1000))</f>
        <v/>
      </c>
    </row>
    <row r="1001">
      <c r="A1001" s="15" t="n"/>
      <c r="B1001" s="16">
        <f>IF($A1001="","",TEXT($A1001,"mmm"))</f>
        <v/>
      </c>
      <c r="C1001" s="13" t="n"/>
      <c r="D1001" s="13" t="n"/>
      <c r="E1001" s="17" t="n"/>
      <c r="F1001" s="17" t="n"/>
      <c r="G1001" s="18">
        <f>IF(AND($E1001="",$F1001=""),"",N($E1001)-N($F1001))</f>
        <v/>
      </c>
    </row>
    <row r="1002">
      <c r="A1002" s="15" t="n"/>
      <c r="B1002" s="16">
        <f>IF($A1002="","",TEXT($A1002,"mmm"))</f>
        <v/>
      </c>
      <c r="C1002" s="13" t="n"/>
      <c r="D1002" s="13" t="n"/>
      <c r="E1002" s="17" t="n"/>
      <c r="F1002" s="17" t="n"/>
      <c r="G1002" s="18">
        <f>IF(AND($E1002="",$F1002=""),"",N($E1002)-N($F1002))</f>
        <v/>
      </c>
    </row>
    <row r="1003">
      <c r="A1003" s="15" t="n"/>
      <c r="B1003" s="16">
        <f>IF($A1003="","",TEXT($A1003,"mmm"))</f>
        <v/>
      </c>
      <c r="C1003" s="13" t="n"/>
      <c r="D1003" s="13" t="n"/>
      <c r="E1003" s="17" t="n"/>
      <c r="F1003" s="17" t="n"/>
      <c r="G1003" s="18">
        <f>IF(AND($E1003="",$F1003=""),"",N($E1003)-N($F1003))</f>
        <v/>
      </c>
    </row>
    <row r="1004">
      <c r="A1004" s="15" t="n"/>
      <c r="B1004" s="16">
        <f>IF($A1004="","",TEXT($A1004,"mmm"))</f>
        <v/>
      </c>
      <c r="C1004" s="13" t="n"/>
      <c r="D1004" s="13" t="n"/>
      <c r="E1004" s="17" t="n"/>
      <c r="F1004" s="17" t="n"/>
      <c r="G1004" s="18">
        <f>IF(AND($E1004="",$F1004=""),"",N($E1004)-N($F1004))</f>
        <v/>
      </c>
    </row>
    <row r="1005">
      <c r="A1005" s="15" t="n"/>
      <c r="B1005" s="16">
        <f>IF($A1005="","",TEXT($A1005,"mmm"))</f>
        <v/>
      </c>
      <c r="C1005" s="13" t="n"/>
      <c r="D1005" s="13" t="n"/>
      <c r="E1005" s="17" t="n"/>
      <c r="F1005" s="17" t="n"/>
      <c r="G1005" s="18">
        <f>IF(AND($E1005="",$F1005=""),"",N($E1005)-N($F1005))</f>
        <v/>
      </c>
    </row>
    <row r="1006">
      <c r="A1006" s="15" t="n"/>
      <c r="B1006" s="16">
        <f>IF($A1006="","",TEXT($A1006,"mmm"))</f>
        <v/>
      </c>
      <c r="C1006" s="13" t="n"/>
      <c r="D1006" s="13" t="n"/>
      <c r="E1006" s="17" t="n"/>
      <c r="F1006" s="17" t="n"/>
      <c r="G1006" s="18">
        <f>IF(AND($E1006="",$F1006=""),"",N($E1006)-N($F1006))</f>
        <v/>
      </c>
    </row>
    <row r="1007">
      <c r="A1007" s="15" t="n"/>
      <c r="B1007" s="16">
        <f>IF($A1007="","",TEXT($A1007,"mmm"))</f>
        <v/>
      </c>
      <c r="C1007" s="13" t="n"/>
      <c r="D1007" s="13" t="n"/>
      <c r="E1007" s="17" t="n"/>
      <c r="F1007" s="17" t="n"/>
      <c r="G1007" s="18">
        <f>IF(AND($E1007="",$F1007=""),"",N($E1007)-N($F1007))</f>
        <v/>
      </c>
    </row>
    <row r="1008">
      <c r="A1008" s="15" t="n"/>
      <c r="B1008" s="16">
        <f>IF($A1008="","",TEXT($A1008,"mmm"))</f>
        <v/>
      </c>
      <c r="C1008" s="13" t="n"/>
      <c r="D1008" s="13" t="n"/>
      <c r="E1008" s="17" t="n"/>
      <c r="F1008" s="17" t="n"/>
      <c r="G1008" s="18">
        <f>IF(AND($E1008="",$F1008=""),"",N($E1008)-N($F1008))</f>
        <v/>
      </c>
    </row>
    <row r="1009">
      <c r="A1009" s="15" t="n"/>
      <c r="B1009" s="16">
        <f>IF($A1009="","",TEXT($A1009,"mmm"))</f>
        <v/>
      </c>
      <c r="C1009" s="13" t="n"/>
      <c r="D1009" s="13" t="n"/>
      <c r="E1009" s="17" t="n"/>
      <c r="F1009" s="17" t="n"/>
      <c r="G1009" s="18">
        <f>IF(AND($E1009="",$F1009=""),"",N($E1009)-N($F1009))</f>
        <v/>
      </c>
    </row>
    <row r="1010">
      <c r="A1010" s="15" t="n"/>
      <c r="B1010" s="16">
        <f>IF($A1010="","",TEXT($A1010,"mmm"))</f>
        <v/>
      </c>
      <c r="C1010" s="13" t="n"/>
      <c r="D1010" s="13" t="n"/>
      <c r="E1010" s="17" t="n"/>
      <c r="F1010" s="17" t="n"/>
      <c r="G1010" s="18">
        <f>IF(AND($E1010="",$F1010=""),"",N($E1010)-N($F1010))</f>
        <v/>
      </c>
    </row>
    <row r="1011">
      <c r="A1011" s="15" t="n"/>
      <c r="B1011" s="16">
        <f>IF($A1011="","",TEXT($A1011,"mmm"))</f>
        <v/>
      </c>
      <c r="C1011" s="13" t="n"/>
      <c r="D1011" s="13" t="n"/>
      <c r="E1011" s="17" t="n"/>
      <c r="F1011" s="17" t="n"/>
      <c r="G1011" s="18">
        <f>IF(AND($E1011="",$F1011=""),"",N($E1011)-N($F1011))</f>
        <v/>
      </c>
    </row>
    <row r="1012">
      <c r="A1012" s="15" t="n"/>
      <c r="B1012" s="16">
        <f>IF($A1012="","",TEXT($A1012,"mmm"))</f>
        <v/>
      </c>
      <c r="C1012" s="13" t="n"/>
      <c r="D1012" s="13" t="n"/>
      <c r="E1012" s="17" t="n"/>
      <c r="F1012" s="17" t="n"/>
      <c r="G1012" s="18">
        <f>IF(AND($E1012="",$F1012=""),"",N($E1012)-N($F1012))</f>
        <v/>
      </c>
    </row>
    <row r="1013">
      <c r="A1013" s="15" t="n"/>
      <c r="B1013" s="16">
        <f>IF($A1013="","",TEXT($A1013,"mmm"))</f>
        <v/>
      </c>
      <c r="C1013" s="13" t="n"/>
      <c r="D1013" s="13" t="n"/>
      <c r="E1013" s="17" t="n"/>
      <c r="F1013" s="17" t="n"/>
      <c r="G1013" s="18">
        <f>IF(AND($E1013="",$F1013=""),"",N($E1013)-N($F1013))</f>
        <v/>
      </c>
    </row>
    <row r="1014">
      <c r="A1014" s="15" t="n"/>
      <c r="B1014" s="16">
        <f>IF($A1014="","",TEXT($A1014,"mmm"))</f>
        <v/>
      </c>
      <c r="C1014" s="13" t="n"/>
      <c r="D1014" s="13" t="n"/>
      <c r="E1014" s="17" t="n"/>
      <c r="F1014" s="17" t="n"/>
      <c r="G1014" s="18">
        <f>IF(AND($E1014="",$F1014=""),"",N($E1014)-N($F1014))</f>
        <v/>
      </c>
    </row>
    <row r="1015">
      <c r="A1015" s="15" t="n"/>
      <c r="B1015" s="16">
        <f>IF($A1015="","",TEXT($A1015,"mmm"))</f>
        <v/>
      </c>
      <c r="C1015" s="13" t="n"/>
      <c r="D1015" s="13" t="n"/>
      <c r="E1015" s="17" t="n"/>
      <c r="F1015" s="17" t="n"/>
      <c r="G1015" s="18">
        <f>IF(AND($E1015="",$F1015=""),"",N($E1015)-N($F1015))</f>
        <v/>
      </c>
    </row>
    <row r="1016">
      <c r="A1016" s="15" t="n"/>
      <c r="B1016" s="16">
        <f>IF($A1016="","",TEXT($A1016,"mmm"))</f>
        <v/>
      </c>
      <c r="C1016" s="13" t="n"/>
      <c r="D1016" s="13" t="n"/>
      <c r="E1016" s="17" t="n"/>
      <c r="F1016" s="17" t="n"/>
      <c r="G1016" s="18">
        <f>IF(AND($E1016="",$F1016=""),"",N($E1016)-N($F1016))</f>
        <v/>
      </c>
    </row>
    <row r="1017">
      <c r="A1017" s="15" t="n"/>
      <c r="B1017" s="16">
        <f>IF($A1017="","",TEXT($A1017,"mmm"))</f>
        <v/>
      </c>
      <c r="C1017" s="13" t="n"/>
      <c r="D1017" s="13" t="n"/>
      <c r="E1017" s="17" t="n"/>
      <c r="F1017" s="17" t="n"/>
      <c r="G1017" s="18">
        <f>IF(AND($E1017="",$F1017=""),"",N($E1017)-N($F1017))</f>
        <v/>
      </c>
    </row>
    <row r="1018">
      <c r="A1018" s="15" t="n"/>
      <c r="B1018" s="16">
        <f>IF($A1018="","",TEXT($A1018,"mmm"))</f>
        <v/>
      </c>
      <c r="C1018" s="13" t="n"/>
      <c r="D1018" s="13" t="n"/>
      <c r="E1018" s="17" t="n"/>
      <c r="F1018" s="17" t="n"/>
      <c r="G1018" s="18">
        <f>IF(AND($E1018="",$F1018=""),"",N($E1018)-N($F1018))</f>
        <v/>
      </c>
    </row>
    <row r="1019">
      <c r="A1019" s="15" t="n"/>
      <c r="B1019" s="16">
        <f>IF($A1019="","",TEXT($A1019,"mmm"))</f>
        <v/>
      </c>
      <c r="C1019" s="13" t="n"/>
      <c r="D1019" s="13" t="n"/>
      <c r="E1019" s="17" t="n"/>
      <c r="F1019" s="17" t="n"/>
      <c r="G1019" s="18">
        <f>IF(AND($E1019="",$F1019=""),"",N($E1019)-N($F1019))</f>
        <v/>
      </c>
    </row>
    <row r="1020">
      <c r="A1020" s="15" t="n"/>
      <c r="B1020" s="16">
        <f>IF($A1020="","",TEXT($A1020,"mmm"))</f>
        <v/>
      </c>
      <c r="C1020" s="13" t="n"/>
      <c r="D1020" s="13" t="n"/>
      <c r="E1020" s="17" t="n"/>
      <c r="F1020" s="17" t="n"/>
      <c r="G1020" s="18">
        <f>IF(AND($E1020="",$F1020=""),"",N($E1020)-N($F1020))</f>
        <v/>
      </c>
    </row>
    <row r="1021">
      <c r="A1021" s="15" t="n"/>
      <c r="B1021" s="16">
        <f>IF($A1021="","",TEXT($A1021,"mmm"))</f>
        <v/>
      </c>
      <c r="C1021" s="13" t="n"/>
      <c r="D1021" s="13" t="n"/>
      <c r="E1021" s="17" t="n"/>
      <c r="F1021" s="17" t="n"/>
      <c r="G1021" s="18">
        <f>IF(AND($E1021="",$F1021=""),"",N($E1021)-N($F1021))</f>
        <v/>
      </c>
    </row>
    <row r="1022">
      <c r="A1022" s="15" t="n"/>
      <c r="B1022" s="16">
        <f>IF($A1022="","",TEXT($A1022,"mmm"))</f>
        <v/>
      </c>
      <c r="C1022" s="13" t="n"/>
      <c r="D1022" s="13" t="n"/>
      <c r="E1022" s="17" t="n"/>
      <c r="F1022" s="17" t="n"/>
      <c r="G1022" s="18">
        <f>IF(AND($E1022="",$F1022=""),"",N($E1022)-N($F1022))</f>
        <v/>
      </c>
    </row>
    <row r="1023">
      <c r="A1023" s="15" t="n"/>
      <c r="B1023" s="16">
        <f>IF($A1023="","",TEXT($A1023,"mmm"))</f>
        <v/>
      </c>
      <c r="C1023" s="13" t="n"/>
      <c r="D1023" s="13" t="n"/>
      <c r="E1023" s="17" t="n"/>
      <c r="F1023" s="17" t="n"/>
      <c r="G1023" s="18">
        <f>IF(AND($E1023="",$F1023=""),"",N($E1023)-N($F1023))</f>
        <v/>
      </c>
    </row>
    <row r="1024">
      <c r="A1024" s="15" t="n"/>
      <c r="B1024" s="16">
        <f>IF($A1024="","",TEXT($A1024,"mmm"))</f>
        <v/>
      </c>
      <c r="C1024" s="13" t="n"/>
      <c r="D1024" s="13" t="n"/>
      <c r="E1024" s="17" t="n"/>
      <c r="F1024" s="17" t="n"/>
      <c r="G1024" s="18">
        <f>IF(AND($E1024="",$F1024=""),"",N($E1024)-N($F1024))</f>
        <v/>
      </c>
    </row>
    <row r="1025">
      <c r="A1025" s="15" t="n"/>
      <c r="B1025" s="16">
        <f>IF($A1025="","",TEXT($A1025,"mmm"))</f>
        <v/>
      </c>
      <c r="C1025" s="13" t="n"/>
      <c r="D1025" s="13" t="n"/>
      <c r="E1025" s="17" t="n"/>
      <c r="F1025" s="17" t="n"/>
      <c r="G1025" s="18">
        <f>IF(AND($E1025="",$F1025=""),"",N($E1025)-N($F1025))</f>
        <v/>
      </c>
    </row>
    <row r="1026">
      <c r="A1026" s="15" t="n"/>
      <c r="B1026" s="16">
        <f>IF($A1026="","",TEXT($A1026,"mmm"))</f>
        <v/>
      </c>
      <c r="C1026" s="13" t="n"/>
      <c r="D1026" s="13" t="n"/>
      <c r="E1026" s="17" t="n"/>
      <c r="F1026" s="17" t="n"/>
      <c r="G1026" s="18">
        <f>IF(AND($E1026="",$F1026=""),"",N($E1026)-N($F1026))</f>
        <v/>
      </c>
    </row>
    <row r="1027">
      <c r="A1027" s="15" t="n"/>
      <c r="B1027" s="16">
        <f>IF($A1027="","",TEXT($A1027,"mmm"))</f>
        <v/>
      </c>
      <c r="C1027" s="13" t="n"/>
      <c r="D1027" s="13" t="n"/>
      <c r="E1027" s="17" t="n"/>
      <c r="F1027" s="17" t="n"/>
      <c r="G1027" s="18">
        <f>IF(AND($E1027="",$F1027=""),"",N($E1027)-N($F1027))</f>
        <v/>
      </c>
    </row>
    <row r="1028">
      <c r="A1028" s="15" t="n"/>
      <c r="B1028" s="16">
        <f>IF($A1028="","",TEXT($A1028,"mmm"))</f>
        <v/>
      </c>
      <c r="C1028" s="13" t="n"/>
      <c r="D1028" s="13" t="n"/>
      <c r="E1028" s="17" t="n"/>
      <c r="F1028" s="17" t="n"/>
      <c r="G1028" s="18">
        <f>IF(AND($E1028="",$F1028=""),"",N($E1028)-N($F1028))</f>
        <v/>
      </c>
    </row>
    <row r="1029">
      <c r="A1029" s="15" t="n"/>
      <c r="B1029" s="16">
        <f>IF($A1029="","",TEXT($A1029,"mmm"))</f>
        <v/>
      </c>
      <c r="C1029" s="13" t="n"/>
      <c r="D1029" s="13" t="n"/>
      <c r="E1029" s="17" t="n"/>
      <c r="F1029" s="17" t="n"/>
      <c r="G1029" s="18">
        <f>IF(AND($E1029="",$F1029=""),"",N($E1029)-N($F1029))</f>
        <v/>
      </c>
    </row>
    <row r="1030">
      <c r="A1030" s="15" t="n"/>
      <c r="B1030" s="16">
        <f>IF($A1030="","",TEXT($A1030,"mmm"))</f>
        <v/>
      </c>
      <c r="C1030" s="13" t="n"/>
      <c r="D1030" s="13" t="n"/>
      <c r="E1030" s="17" t="n"/>
      <c r="F1030" s="17" t="n"/>
      <c r="G1030" s="18">
        <f>IF(AND($E1030="",$F1030=""),"",N($E1030)-N($F1030))</f>
        <v/>
      </c>
    </row>
    <row r="1031">
      <c r="A1031" s="15" t="n"/>
      <c r="B1031" s="16">
        <f>IF($A1031="","",TEXT($A1031,"mmm"))</f>
        <v/>
      </c>
      <c r="C1031" s="13" t="n"/>
      <c r="D1031" s="13" t="n"/>
      <c r="E1031" s="17" t="n"/>
      <c r="F1031" s="17" t="n"/>
      <c r="G1031" s="18">
        <f>IF(AND($E1031="",$F1031=""),"",N($E1031)-N($F1031))</f>
        <v/>
      </c>
    </row>
    <row r="1032">
      <c r="A1032" s="15" t="n"/>
      <c r="B1032" s="16">
        <f>IF($A1032="","",TEXT($A1032,"mmm"))</f>
        <v/>
      </c>
      <c r="C1032" s="13" t="n"/>
      <c r="D1032" s="13" t="n"/>
      <c r="E1032" s="17" t="n"/>
      <c r="F1032" s="17" t="n"/>
      <c r="G1032" s="18">
        <f>IF(AND($E1032="",$F1032=""),"",N($E1032)-N($F1032))</f>
        <v/>
      </c>
    </row>
    <row r="1033">
      <c r="A1033" s="15" t="n"/>
      <c r="B1033" s="16">
        <f>IF($A1033="","",TEXT($A1033,"mmm"))</f>
        <v/>
      </c>
      <c r="C1033" s="13" t="n"/>
      <c r="D1033" s="13" t="n"/>
      <c r="E1033" s="17" t="n"/>
      <c r="F1033" s="17" t="n"/>
      <c r="G1033" s="18">
        <f>IF(AND($E1033="",$F1033=""),"",N($E1033)-N($F1033))</f>
        <v/>
      </c>
    </row>
    <row r="1034">
      <c r="A1034" s="15" t="n"/>
      <c r="B1034" s="16">
        <f>IF($A1034="","",TEXT($A1034,"mmm"))</f>
        <v/>
      </c>
      <c r="C1034" s="13" t="n"/>
      <c r="D1034" s="13" t="n"/>
      <c r="E1034" s="17" t="n"/>
      <c r="F1034" s="17" t="n"/>
      <c r="G1034" s="18">
        <f>IF(AND($E1034="",$F1034=""),"",N($E1034)-N($F1034))</f>
        <v/>
      </c>
    </row>
    <row r="1035">
      <c r="A1035" s="15" t="n"/>
      <c r="B1035" s="16">
        <f>IF($A1035="","",TEXT($A1035,"mmm"))</f>
        <v/>
      </c>
      <c r="C1035" s="13" t="n"/>
      <c r="D1035" s="13" t="n"/>
      <c r="E1035" s="17" t="n"/>
      <c r="F1035" s="17" t="n"/>
      <c r="G1035" s="18">
        <f>IF(AND($E1035="",$F1035=""),"",N($E1035)-N($F1035))</f>
        <v/>
      </c>
    </row>
    <row r="1036">
      <c r="A1036" s="15" t="n"/>
      <c r="B1036" s="16">
        <f>IF($A1036="","",TEXT($A1036,"mmm"))</f>
        <v/>
      </c>
      <c r="C1036" s="13" t="n"/>
      <c r="D1036" s="13" t="n"/>
      <c r="E1036" s="17" t="n"/>
      <c r="F1036" s="17" t="n"/>
      <c r="G1036" s="18">
        <f>IF(AND($E1036="",$F1036=""),"",N($E1036)-N($F1036))</f>
        <v/>
      </c>
    </row>
    <row r="1037">
      <c r="A1037" s="15" t="n"/>
      <c r="B1037" s="16">
        <f>IF($A1037="","",TEXT($A1037,"mmm"))</f>
        <v/>
      </c>
      <c r="C1037" s="13" t="n"/>
      <c r="D1037" s="13" t="n"/>
      <c r="E1037" s="17" t="n"/>
      <c r="F1037" s="17" t="n"/>
      <c r="G1037" s="18">
        <f>IF(AND($E1037="",$F1037=""),"",N($E1037)-N($F1037))</f>
        <v/>
      </c>
    </row>
    <row r="1038">
      <c r="A1038" s="15" t="n"/>
      <c r="B1038" s="16">
        <f>IF($A1038="","",TEXT($A1038,"mmm"))</f>
        <v/>
      </c>
      <c r="C1038" s="13" t="n"/>
      <c r="D1038" s="13" t="n"/>
      <c r="E1038" s="17" t="n"/>
      <c r="F1038" s="17" t="n"/>
      <c r="G1038" s="18">
        <f>IF(AND($E1038="",$F1038=""),"",N($E1038)-N($F1038))</f>
        <v/>
      </c>
    </row>
    <row r="1039">
      <c r="A1039" s="15" t="n"/>
      <c r="B1039" s="16">
        <f>IF($A1039="","",TEXT($A1039,"mmm"))</f>
        <v/>
      </c>
      <c r="C1039" s="13" t="n"/>
      <c r="D1039" s="13" t="n"/>
      <c r="E1039" s="17" t="n"/>
      <c r="F1039" s="17" t="n"/>
      <c r="G1039" s="18">
        <f>IF(AND($E1039="",$F1039=""),"",N($E1039)-N($F1039))</f>
        <v/>
      </c>
    </row>
    <row r="1040">
      <c r="A1040" s="15" t="n"/>
      <c r="B1040" s="16">
        <f>IF($A1040="","",TEXT($A1040,"mmm"))</f>
        <v/>
      </c>
      <c r="C1040" s="13" t="n"/>
      <c r="D1040" s="13" t="n"/>
      <c r="E1040" s="17" t="n"/>
      <c r="F1040" s="17" t="n"/>
      <c r="G1040" s="18">
        <f>IF(AND($E1040="",$F1040=""),"",N($E1040)-N($F1040))</f>
        <v/>
      </c>
    </row>
    <row r="1041">
      <c r="A1041" s="15" t="n"/>
      <c r="B1041" s="16">
        <f>IF($A1041="","",TEXT($A1041,"mmm"))</f>
        <v/>
      </c>
      <c r="C1041" s="13" t="n"/>
      <c r="D1041" s="13" t="n"/>
      <c r="E1041" s="17" t="n"/>
      <c r="F1041" s="17" t="n"/>
      <c r="G1041" s="18">
        <f>IF(AND($E1041="",$F1041=""),"",N($E1041)-N($F1041))</f>
        <v/>
      </c>
    </row>
    <row r="1042">
      <c r="A1042" s="15" t="n"/>
      <c r="B1042" s="16">
        <f>IF($A1042="","",TEXT($A1042,"mmm"))</f>
        <v/>
      </c>
      <c r="C1042" s="13" t="n"/>
      <c r="D1042" s="13" t="n"/>
      <c r="E1042" s="17" t="n"/>
      <c r="F1042" s="17" t="n"/>
      <c r="G1042" s="18">
        <f>IF(AND($E1042="",$F1042=""),"",N($E1042)-N($F1042))</f>
        <v/>
      </c>
    </row>
    <row r="1043">
      <c r="A1043" s="15" t="n"/>
      <c r="B1043" s="16">
        <f>IF($A1043="","",TEXT($A1043,"mmm"))</f>
        <v/>
      </c>
      <c r="C1043" s="13" t="n"/>
      <c r="D1043" s="13" t="n"/>
      <c r="E1043" s="17" t="n"/>
      <c r="F1043" s="17" t="n"/>
      <c r="G1043" s="18">
        <f>IF(AND($E1043="",$F1043=""),"",N($E1043)-N($F1043))</f>
        <v/>
      </c>
    </row>
    <row r="1044">
      <c r="A1044" s="15" t="n"/>
      <c r="B1044" s="16">
        <f>IF($A1044="","",TEXT($A1044,"mmm"))</f>
        <v/>
      </c>
      <c r="C1044" s="13" t="n"/>
      <c r="D1044" s="13" t="n"/>
      <c r="E1044" s="17" t="n"/>
      <c r="F1044" s="17" t="n"/>
      <c r="G1044" s="18">
        <f>IF(AND($E1044="",$F1044=""),"",N($E1044)-N($F1044))</f>
        <v/>
      </c>
    </row>
    <row r="1045">
      <c r="A1045" s="15" t="n"/>
      <c r="B1045" s="16">
        <f>IF($A1045="","",TEXT($A1045,"mmm"))</f>
        <v/>
      </c>
      <c r="C1045" s="13" t="n"/>
      <c r="D1045" s="13" t="n"/>
      <c r="E1045" s="17" t="n"/>
      <c r="F1045" s="17" t="n"/>
      <c r="G1045" s="18">
        <f>IF(AND($E1045="",$F1045=""),"",N($E1045)-N($F1045))</f>
        <v/>
      </c>
    </row>
    <row r="1046">
      <c r="A1046" s="15" t="n"/>
      <c r="B1046" s="16">
        <f>IF($A1046="","",TEXT($A1046,"mmm"))</f>
        <v/>
      </c>
      <c r="C1046" s="13" t="n"/>
      <c r="D1046" s="13" t="n"/>
      <c r="E1046" s="17" t="n"/>
      <c r="F1046" s="17" t="n"/>
      <c r="G1046" s="18">
        <f>IF(AND($E1046="",$F1046=""),"",N($E1046)-N($F1046))</f>
        <v/>
      </c>
    </row>
    <row r="1047">
      <c r="A1047" s="15" t="n"/>
      <c r="B1047" s="16">
        <f>IF($A1047="","",TEXT($A1047,"mmm"))</f>
        <v/>
      </c>
      <c r="C1047" s="13" t="n"/>
      <c r="D1047" s="13" t="n"/>
      <c r="E1047" s="17" t="n"/>
      <c r="F1047" s="17" t="n"/>
      <c r="G1047" s="18">
        <f>IF(AND($E1047="",$F1047=""),"",N($E1047)-N($F1047))</f>
        <v/>
      </c>
    </row>
    <row r="1048">
      <c r="A1048" s="15" t="n"/>
      <c r="B1048" s="16">
        <f>IF($A1048="","",TEXT($A1048,"mmm"))</f>
        <v/>
      </c>
      <c r="C1048" s="13" t="n"/>
      <c r="D1048" s="13" t="n"/>
      <c r="E1048" s="17" t="n"/>
      <c r="F1048" s="17" t="n"/>
      <c r="G1048" s="18">
        <f>IF(AND($E1048="",$F1048=""),"",N($E1048)-N($F1048))</f>
        <v/>
      </c>
    </row>
    <row r="1049">
      <c r="A1049" s="15" t="n"/>
      <c r="B1049" s="16">
        <f>IF($A1049="","",TEXT($A1049,"mmm"))</f>
        <v/>
      </c>
      <c r="C1049" s="13" t="n"/>
      <c r="D1049" s="13" t="n"/>
      <c r="E1049" s="17" t="n"/>
      <c r="F1049" s="17" t="n"/>
      <c r="G1049" s="18">
        <f>IF(AND($E1049="",$F1049=""),"",N($E1049)-N($F1049))</f>
        <v/>
      </c>
    </row>
    <row r="1050">
      <c r="A1050" s="15" t="n"/>
      <c r="B1050" s="16">
        <f>IF($A1050="","",TEXT($A1050,"mmm"))</f>
        <v/>
      </c>
      <c r="C1050" s="13" t="n"/>
      <c r="D1050" s="13" t="n"/>
      <c r="E1050" s="17" t="n"/>
      <c r="F1050" s="17" t="n"/>
      <c r="G1050" s="18">
        <f>IF(AND($E1050="",$F1050=""),"",N($E1050)-N($F1050))</f>
        <v/>
      </c>
    </row>
    <row r="1051">
      <c r="A1051" s="15" t="n"/>
      <c r="B1051" s="16">
        <f>IF($A1051="","",TEXT($A1051,"mmm"))</f>
        <v/>
      </c>
      <c r="C1051" s="13" t="n"/>
      <c r="D1051" s="13" t="n"/>
      <c r="E1051" s="17" t="n"/>
      <c r="F1051" s="17" t="n"/>
      <c r="G1051" s="18">
        <f>IF(AND($E1051="",$F1051=""),"",N($E1051)-N($F1051))</f>
        <v/>
      </c>
    </row>
    <row r="1052">
      <c r="A1052" s="15" t="n"/>
      <c r="B1052" s="16">
        <f>IF($A1052="","",TEXT($A1052,"mmm"))</f>
        <v/>
      </c>
      <c r="C1052" s="13" t="n"/>
      <c r="D1052" s="13" t="n"/>
      <c r="E1052" s="17" t="n"/>
      <c r="F1052" s="17" t="n"/>
      <c r="G1052" s="18">
        <f>IF(AND($E1052="",$F1052=""),"",N($E1052)-N($F1052))</f>
        <v/>
      </c>
    </row>
    <row r="1053">
      <c r="A1053" s="15" t="n"/>
      <c r="B1053" s="16">
        <f>IF($A1053="","",TEXT($A1053,"mmm"))</f>
        <v/>
      </c>
      <c r="C1053" s="13" t="n"/>
      <c r="D1053" s="13" t="n"/>
      <c r="E1053" s="17" t="n"/>
      <c r="F1053" s="17" t="n"/>
      <c r="G1053" s="18">
        <f>IF(AND($E1053="",$F1053=""),"",N($E1053)-N($F1053))</f>
        <v/>
      </c>
    </row>
    <row r="1054">
      <c r="A1054" s="15" t="n"/>
      <c r="B1054" s="16">
        <f>IF($A1054="","",TEXT($A1054,"mmm"))</f>
        <v/>
      </c>
      <c r="C1054" s="13" t="n"/>
      <c r="D1054" s="13" t="n"/>
      <c r="E1054" s="17" t="n"/>
      <c r="F1054" s="17" t="n"/>
      <c r="G1054" s="18">
        <f>IF(AND($E1054="",$F1054=""),"",N($E1054)-N($F1054))</f>
        <v/>
      </c>
    </row>
    <row r="1055">
      <c r="A1055" s="15" t="n"/>
      <c r="B1055" s="16">
        <f>IF($A1055="","",TEXT($A1055,"mmm"))</f>
        <v/>
      </c>
      <c r="C1055" s="13" t="n"/>
      <c r="D1055" s="13" t="n"/>
      <c r="E1055" s="17" t="n"/>
      <c r="F1055" s="17" t="n"/>
      <c r="G1055" s="18">
        <f>IF(AND($E1055="",$F1055=""),"",N($E1055)-N($F1055))</f>
        <v/>
      </c>
    </row>
    <row r="1056">
      <c r="A1056" s="15" t="n"/>
      <c r="B1056" s="16">
        <f>IF($A1056="","",TEXT($A1056,"mmm"))</f>
        <v/>
      </c>
      <c r="C1056" s="13" t="n"/>
      <c r="D1056" s="13" t="n"/>
      <c r="E1056" s="17" t="n"/>
      <c r="F1056" s="17" t="n"/>
      <c r="G1056" s="18">
        <f>IF(AND($E1056="",$F1056=""),"",N($E1056)-N($F1056))</f>
        <v/>
      </c>
    </row>
    <row r="1057">
      <c r="A1057" s="15" t="n"/>
      <c r="B1057" s="16">
        <f>IF($A1057="","",TEXT($A1057,"mmm"))</f>
        <v/>
      </c>
      <c r="C1057" s="13" t="n"/>
      <c r="D1057" s="13" t="n"/>
      <c r="E1057" s="17" t="n"/>
      <c r="F1057" s="17" t="n"/>
      <c r="G1057" s="18">
        <f>IF(AND($E1057="",$F1057=""),"",N($E1057)-N($F1057))</f>
        <v/>
      </c>
    </row>
    <row r="1058">
      <c r="A1058" s="15" t="n"/>
      <c r="B1058" s="16">
        <f>IF($A1058="","",TEXT($A1058,"mmm"))</f>
        <v/>
      </c>
      <c r="C1058" s="13" t="n"/>
      <c r="D1058" s="13" t="n"/>
      <c r="E1058" s="17" t="n"/>
      <c r="F1058" s="17" t="n"/>
      <c r="G1058" s="18">
        <f>IF(AND($E1058="",$F1058=""),"",N($E1058)-N($F1058))</f>
        <v/>
      </c>
    </row>
    <row r="1059">
      <c r="A1059" s="15" t="n"/>
      <c r="B1059" s="16">
        <f>IF($A1059="","",TEXT($A1059,"mmm"))</f>
        <v/>
      </c>
      <c r="C1059" s="13" t="n"/>
      <c r="D1059" s="13" t="n"/>
      <c r="E1059" s="17" t="n"/>
      <c r="F1059" s="17" t="n"/>
      <c r="G1059" s="18">
        <f>IF(AND($E1059="",$F1059=""),"",N($E1059)-N($F1059))</f>
        <v/>
      </c>
    </row>
    <row r="1060">
      <c r="A1060" s="15" t="n"/>
      <c r="B1060" s="16">
        <f>IF($A1060="","",TEXT($A1060,"mmm"))</f>
        <v/>
      </c>
      <c r="C1060" s="13" t="n"/>
      <c r="D1060" s="13" t="n"/>
      <c r="E1060" s="17" t="n"/>
      <c r="F1060" s="17" t="n"/>
      <c r="G1060" s="18">
        <f>IF(AND($E1060="",$F1060=""),"",N($E1060)-N($F1060))</f>
        <v/>
      </c>
    </row>
    <row r="1061">
      <c r="A1061" s="15" t="n"/>
      <c r="B1061" s="16">
        <f>IF($A1061="","",TEXT($A1061,"mmm"))</f>
        <v/>
      </c>
      <c r="C1061" s="13" t="n"/>
      <c r="D1061" s="13" t="n"/>
      <c r="E1061" s="17" t="n"/>
      <c r="F1061" s="17" t="n"/>
      <c r="G1061" s="18">
        <f>IF(AND($E1061="",$F1061=""),"",N($E1061)-N($F1061))</f>
        <v/>
      </c>
    </row>
    <row r="1062">
      <c r="A1062" s="15" t="n"/>
      <c r="B1062" s="16">
        <f>IF($A1062="","",TEXT($A1062,"mmm"))</f>
        <v/>
      </c>
      <c r="C1062" s="13" t="n"/>
      <c r="D1062" s="13" t="n"/>
      <c r="E1062" s="17" t="n"/>
      <c r="F1062" s="17" t="n"/>
      <c r="G1062" s="18">
        <f>IF(AND($E1062="",$F1062=""),"",N($E1062)-N($F1062))</f>
        <v/>
      </c>
    </row>
    <row r="1063">
      <c r="A1063" s="15" t="n"/>
      <c r="B1063" s="16">
        <f>IF($A1063="","",TEXT($A1063,"mmm"))</f>
        <v/>
      </c>
      <c r="C1063" s="13" t="n"/>
      <c r="D1063" s="13" t="n"/>
      <c r="E1063" s="17" t="n"/>
      <c r="F1063" s="17" t="n"/>
      <c r="G1063" s="18">
        <f>IF(AND($E1063="",$F1063=""),"",N($E1063)-N($F1063))</f>
        <v/>
      </c>
    </row>
    <row r="1064">
      <c r="A1064" s="15" t="n"/>
      <c r="B1064" s="16">
        <f>IF($A1064="","",TEXT($A1064,"mmm"))</f>
        <v/>
      </c>
      <c r="C1064" s="13" t="n"/>
      <c r="D1064" s="13" t="n"/>
      <c r="E1064" s="17" t="n"/>
      <c r="F1064" s="17" t="n"/>
      <c r="G1064" s="18">
        <f>IF(AND($E1064="",$F1064=""),"",N($E1064)-N($F1064))</f>
        <v/>
      </c>
    </row>
    <row r="1065">
      <c r="A1065" s="15" t="n"/>
      <c r="B1065" s="16">
        <f>IF($A1065="","",TEXT($A1065,"mmm"))</f>
        <v/>
      </c>
      <c r="C1065" s="13" t="n"/>
      <c r="D1065" s="13" t="n"/>
      <c r="E1065" s="17" t="n"/>
      <c r="F1065" s="17" t="n"/>
      <c r="G1065" s="18">
        <f>IF(AND($E1065="",$F1065=""),"",N($E1065)-N($F1065))</f>
        <v/>
      </c>
    </row>
    <row r="1066">
      <c r="A1066" s="15" t="n"/>
      <c r="B1066" s="16">
        <f>IF($A1066="","",TEXT($A1066,"mmm"))</f>
        <v/>
      </c>
      <c r="C1066" s="13" t="n"/>
      <c r="D1066" s="13" t="n"/>
      <c r="E1066" s="17" t="n"/>
      <c r="F1066" s="17" t="n"/>
      <c r="G1066" s="18">
        <f>IF(AND($E1066="",$F1066=""),"",N($E1066)-N($F1066))</f>
        <v/>
      </c>
    </row>
    <row r="1067">
      <c r="A1067" s="15" t="n"/>
      <c r="B1067" s="16">
        <f>IF($A1067="","",TEXT($A1067,"mmm"))</f>
        <v/>
      </c>
      <c r="C1067" s="13" t="n"/>
      <c r="D1067" s="13" t="n"/>
      <c r="E1067" s="17" t="n"/>
      <c r="F1067" s="17" t="n"/>
      <c r="G1067" s="18">
        <f>IF(AND($E1067="",$F1067=""),"",N($E1067)-N($F1067))</f>
        <v/>
      </c>
    </row>
    <row r="1068">
      <c r="A1068" s="15" t="n"/>
      <c r="B1068" s="16">
        <f>IF($A1068="","",TEXT($A1068,"mmm"))</f>
        <v/>
      </c>
      <c r="C1068" s="13" t="n"/>
      <c r="D1068" s="13" t="n"/>
      <c r="E1068" s="17" t="n"/>
      <c r="F1068" s="17" t="n"/>
      <c r="G1068" s="18">
        <f>IF(AND($E1068="",$F1068=""),"",N($E1068)-N($F1068))</f>
        <v/>
      </c>
    </row>
    <row r="1069">
      <c r="A1069" s="15" t="n"/>
      <c r="B1069" s="16">
        <f>IF($A1069="","",TEXT($A1069,"mmm"))</f>
        <v/>
      </c>
      <c r="C1069" s="13" t="n"/>
      <c r="D1069" s="13" t="n"/>
      <c r="E1069" s="17" t="n"/>
      <c r="F1069" s="17" t="n"/>
      <c r="G1069" s="18">
        <f>IF(AND($E1069="",$F1069=""),"",N($E1069)-N($F1069))</f>
        <v/>
      </c>
    </row>
    <row r="1070">
      <c r="A1070" s="15" t="n"/>
      <c r="B1070" s="16">
        <f>IF($A1070="","",TEXT($A1070,"mmm"))</f>
        <v/>
      </c>
      <c r="C1070" s="13" t="n"/>
      <c r="D1070" s="13" t="n"/>
      <c r="E1070" s="17" t="n"/>
      <c r="F1070" s="17" t="n"/>
      <c r="G1070" s="18">
        <f>IF(AND($E1070="",$F1070=""),"",N($E1070)-N($F1070))</f>
        <v/>
      </c>
    </row>
    <row r="1071">
      <c r="A1071" s="15" t="n"/>
      <c r="B1071" s="16">
        <f>IF($A1071="","",TEXT($A1071,"mmm"))</f>
        <v/>
      </c>
      <c r="C1071" s="13" t="n"/>
      <c r="D1071" s="13" t="n"/>
      <c r="E1071" s="17" t="n"/>
      <c r="F1071" s="17" t="n"/>
      <c r="G1071" s="18">
        <f>IF(AND($E1071="",$F1071=""),"",N($E1071)-N($F1071))</f>
        <v/>
      </c>
    </row>
    <row r="1072">
      <c r="A1072" s="15" t="n"/>
      <c r="B1072" s="16">
        <f>IF($A1072="","",TEXT($A1072,"mmm"))</f>
        <v/>
      </c>
      <c r="C1072" s="13" t="n"/>
      <c r="D1072" s="13" t="n"/>
      <c r="E1072" s="17" t="n"/>
      <c r="F1072" s="17" t="n"/>
      <c r="G1072" s="18">
        <f>IF(AND($E1072="",$F1072=""),"",N($E1072)-N($F1072))</f>
        <v/>
      </c>
    </row>
    <row r="1073">
      <c r="A1073" s="15" t="n"/>
      <c r="B1073" s="16">
        <f>IF($A1073="","",TEXT($A1073,"mmm"))</f>
        <v/>
      </c>
      <c r="C1073" s="13" t="n"/>
      <c r="D1073" s="13" t="n"/>
      <c r="E1073" s="17" t="n"/>
      <c r="F1073" s="17" t="n"/>
      <c r="G1073" s="18">
        <f>IF(AND($E1073="",$F1073=""),"",N($E1073)-N($F1073))</f>
        <v/>
      </c>
    </row>
    <row r="1074">
      <c r="A1074" s="15" t="n"/>
      <c r="B1074" s="16">
        <f>IF($A1074="","",TEXT($A1074,"mmm"))</f>
        <v/>
      </c>
      <c r="C1074" s="13" t="n"/>
      <c r="D1074" s="13" t="n"/>
      <c r="E1074" s="17" t="n"/>
      <c r="F1074" s="17" t="n"/>
      <c r="G1074" s="18">
        <f>IF(AND($E1074="",$F1074=""),"",N($E1074)-N($F1074))</f>
        <v/>
      </c>
    </row>
    <row r="1075">
      <c r="A1075" s="15" t="n"/>
      <c r="B1075" s="16">
        <f>IF($A1075="","",TEXT($A1075,"mmm"))</f>
        <v/>
      </c>
      <c r="C1075" s="13" t="n"/>
      <c r="D1075" s="13" t="n"/>
      <c r="E1075" s="17" t="n"/>
      <c r="F1075" s="17" t="n"/>
      <c r="G1075" s="18">
        <f>IF(AND($E1075="",$F1075=""),"",N($E1075)-N($F1075))</f>
        <v/>
      </c>
    </row>
    <row r="1076">
      <c r="A1076" s="15" t="n"/>
      <c r="B1076" s="16">
        <f>IF($A1076="","",TEXT($A1076,"mmm"))</f>
        <v/>
      </c>
      <c r="C1076" s="13" t="n"/>
      <c r="D1076" s="13" t="n"/>
      <c r="E1076" s="17" t="n"/>
      <c r="F1076" s="17" t="n"/>
      <c r="G1076" s="18">
        <f>IF(AND($E1076="",$F1076=""),"",N($E1076)-N($F1076))</f>
        <v/>
      </c>
    </row>
    <row r="1077">
      <c r="A1077" s="15" t="n"/>
      <c r="B1077" s="16">
        <f>IF($A1077="","",TEXT($A1077,"mmm"))</f>
        <v/>
      </c>
      <c r="C1077" s="13" t="n"/>
      <c r="D1077" s="13" t="n"/>
      <c r="E1077" s="17" t="n"/>
      <c r="F1077" s="17" t="n"/>
      <c r="G1077" s="18">
        <f>IF(AND($E1077="",$F1077=""),"",N($E1077)-N($F1077))</f>
        <v/>
      </c>
    </row>
    <row r="1078">
      <c r="A1078" s="15" t="n"/>
      <c r="B1078" s="16">
        <f>IF($A1078="","",TEXT($A1078,"mmm"))</f>
        <v/>
      </c>
      <c r="C1078" s="13" t="n"/>
      <c r="D1078" s="13" t="n"/>
      <c r="E1078" s="17" t="n"/>
      <c r="F1078" s="17" t="n"/>
      <c r="G1078" s="18">
        <f>IF(AND($E1078="",$F1078=""),"",N($E1078)-N($F1078))</f>
        <v/>
      </c>
    </row>
    <row r="1079">
      <c r="A1079" s="15" t="n"/>
      <c r="B1079" s="16">
        <f>IF($A1079="","",TEXT($A1079,"mmm"))</f>
        <v/>
      </c>
      <c r="C1079" s="13" t="n"/>
      <c r="D1079" s="13" t="n"/>
      <c r="E1079" s="17" t="n"/>
      <c r="F1079" s="17" t="n"/>
      <c r="G1079" s="18">
        <f>IF(AND($E1079="",$F1079=""),"",N($E1079)-N($F1079))</f>
        <v/>
      </c>
    </row>
    <row r="1080">
      <c r="A1080" s="15" t="n"/>
      <c r="B1080" s="16">
        <f>IF($A1080="","",TEXT($A1080,"mmm"))</f>
        <v/>
      </c>
      <c r="C1080" s="13" t="n"/>
      <c r="D1080" s="13" t="n"/>
      <c r="E1080" s="17" t="n"/>
      <c r="F1080" s="17" t="n"/>
      <c r="G1080" s="18">
        <f>IF(AND($E1080="",$F1080=""),"",N($E1080)-N($F1080))</f>
        <v/>
      </c>
    </row>
    <row r="1081">
      <c r="A1081" s="15" t="n"/>
      <c r="B1081" s="16">
        <f>IF($A1081="","",TEXT($A1081,"mmm"))</f>
        <v/>
      </c>
      <c r="C1081" s="13" t="n"/>
      <c r="D1081" s="13" t="n"/>
      <c r="E1081" s="17" t="n"/>
      <c r="F1081" s="17" t="n"/>
      <c r="G1081" s="18">
        <f>IF(AND($E1081="",$F1081=""),"",N($E1081)-N($F1081))</f>
        <v/>
      </c>
    </row>
    <row r="1082">
      <c r="A1082" s="15" t="n"/>
      <c r="B1082" s="16">
        <f>IF($A1082="","",TEXT($A1082,"mmm"))</f>
        <v/>
      </c>
      <c r="C1082" s="13" t="n"/>
      <c r="D1082" s="13" t="n"/>
      <c r="E1082" s="17" t="n"/>
      <c r="F1082" s="17" t="n"/>
      <c r="G1082" s="18">
        <f>IF(AND($E1082="",$F1082=""),"",N($E1082)-N($F1082))</f>
        <v/>
      </c>
    </row>
    <row r="1083">
      <c r="A1083" s="15" t="n"/>
      <c r="B1083" s="16">
        <f>IF($A1083="","",TEXT($A1083,"mmm"))</f>
        <v/>
      </c>
      <c r="C1083" s="13" t="n"/>
      <c r="D1083" s="13" t="n"/>
      <c r="E1083" s="17" t="n"/>
      <c r="F1083" s="17" t="n"/>
      <c r="G1083" s="18">
        <f>IF(AND($E1083="",$F1083=""),"",N($E1083)-N($F1083))</f>
        <v/>
      </c>
    </row>
    <row r="1084">
      <c r="A1084" s="15" t="n"/>
      <c r="B1084" s="16">
        <f>IF($A1084="","",TEXT($A1084,"mmm"))</f>
        <v/>
      </c>
      <c r="C1084" s="13" t="n"/>
      <c r="D1084" s="13" t="n"/>
      <c r="E1084" s="17" t="n"/>
      <c r="F1084" s="17" t="n"/>
      <c r="G1084" s="18">
        <f>IF(AND($E1084="",$F1084=""),"",N($E1084)-N($F1084))</f>
        <v/>
      </c>
    </row>
    <row r="1085">
      <c r="A1085" s="15" t="n"/>
      <c r="B1085" s="16">
        <f>IF($A1085="","",TEXT($A1085,"mmm"))</f>
        <v/>
      </c>
      <c r="C1085" s="13" t="n"/>
      <c r="D1085" s="13" t="n"/>
      <c r="E1085" s="17" t="n"/>
      <c r="F1085" s="17" t="n"/>
      <c r="G1085" s="18">
        <f>IF(AND($E1085="",$F1085=""),"",N($E1085)-N($F1085))</f>
        <v/>
      </c>
    </row>
    <row r="1086">
      <c r="A1086" s="15" t="n"/>
      <c r="B1086" s="16">
        <f>IF($A1086="","",TEXT($A1086,"mmm"))</f>
        <v/>
      </c>
      <c r="C1086" s="13" t="n"/>
      <c r="D1086" s="13" t="n"/>
      <c r="E1086" s="17" t="n"/>
      <c r="F1086" s="17" t="n"/>
      <c r="G1086" s="18">
        <f>IF(AND($E1086="",$F1086=""),"",N($E1086)-N($F1086))</f>
        <v/>
      </c>
    </row>
    <row r="1087">
      <c r="A1087" s="15" t="n"/>
      <c r="B1087" s="16">
        <f>IF($A1087="","",TEXT($A1087,"mmm"))</f>
        <v/>
      </c>
      <c r="C1087" s="13" t="n"/>
      <c r="D1087" s="13" t="n"/>
      <c r="E1087" s="17" t="n"/>
      <c r="F1087" s="17" t="n"/>
      <c r="G1087" s="18">
        <f>IF(AND($E1087="",$F1087=""),"",N($E1087)-N($F1087))</f>
        <v/>
      </c>
    </row>
    <row r="1088">
      <c r="A1088" s="15" t="n"/>
      <c r="B1088" s="16">
        <f>IF($A1088="","",TEXT($A1088,"mmm"))</f>
        <v/>
      </c>
      <c r="C1088" s="13" t="n"/>
      <c r="D1088" s="13" t="n"/>
      <c r="E1088" s="17" t="n"/>
      <c r="F1088" s="17" t="n"/>
      <c r="G1088" s="18">
        <f>IF(AND($E1088="",$F1088=""),"",N($E1088)-N($F1088))</f>
        <v/>
      </c>
    </row>
    <row r="1089">
      <c r="A1089" s="15" t="n"/>
      <c r="B1089" s="16">
        <f>IF($A1089="","",TEXT($A1089,"mmm"))</f>
        <v/>
      </c>
      <c r="C1089" s="13" t="n"/>
      <c r="D1089" s="13" t="n"/>
      <c r="E1089" s="17" t="n"/>
      <c r="F1089" s="17" t="n"/>
      <c r="G1089" s="18">
        <f>IF(AND($E1089="",$F1089=""),"",N($E1089)-N($F1089))</f>
        <v/>
      </c>
    </row>
    <row r="1090">
      <c r="A1090" s="15" t="n"/>
      <c r="B1090" s="16">
        <f>IF($A1090="","",TEXT($A1090,"mmm"))</f>
        <v/>
      </c>
      <c r="C1090" s="13" t="n"/>
      <c r="D1090" s="13" t="n"/>
      <c r="E1090" s="17" t="n"/>
      <c r="F1090" s="17" t="n"/>
      <c r="G1090" s="18">
        <f>IF(AND($E1090="",$F1090=""),"",N($E1090)-N($F1090))</f>
        <v/>
      </c>
    </row>
    <row r="1091">
      <c r="A1091" s="15" t="n"/>
      <c r="B1091" s="16">
        <f>IF($A1091="","",TEXT($A1091,"mmm"))</f>
        <v/>
      </c>
      <c r="C1091" s="13" t="n"/>
      <c r="D1091" s="13" t="n"/>
      <c r="E1091" s="17" t="n"/>
      <c r="F1091" s="17" t="n"/>
      <c r="G1091" s="18">
        <f>IF(AND($E1091="",$F1091=""),"",N($E1091)-N($F1091))</f>
        <v/>
      </c>
    </row>
    <row r="1092">
      <c r="A1092" s="15" t="n"/>
      <c r="B1092" s="16">
        <f>IF($A1092="","",TEXT($A1092,"mmm"))</f>
        <v/>
      </c>
      <c r="C1092" s="13" t="n"/>
      <c r="D1092" s="13" t="n"/>
      <c r="E1092" s="17" t="n"/>
      <c r="F1092" s="17" t="n"/>
      <c r="G1092" s="18">
        <f>IF(AND($E1092="",$F1092=""),"",N($E1092)-N($F1092))</f>
        <v/>
      </c>
    </row>
    <row r="1093">
      <c r="A1093" s="15" t="n"/>
      <c r="B1093" s="16">
        <f>IF($A1093="","",TEXT($A1093,"mmm"))</f>
        <v/>
      </c>
      <c r="C1093" s="13" t="n"/>
      <c r="D1093" s="13" t="n"/>
      <c r="E1093" s="17" t="n"/>
      <c r="F1093" s="17" t="n"/>
      <c r="G1093" s="18">
        <f>IF(AND($E1093="",$F1093=""),"",N($E1093)-N($F1093))</f>
        <v/>
      </c>
    </row>
    <row r="1094">
      <c r="A1094" s="15" t="n"/>
      <c r="B1094" s="16">
        <f>IF($A1094="","",TEXT($A1094,"mmm"))</f>
        <v/>
      </c>
      <c r="C1094" s="13" t="n"/>
      <c r="D1094" s="13" t="n"/>
      <c r="E1094" s="17" t="n"/>
      <c r="F1094" s="17" t="n"/>
      <c r="G1094" s="18">
        <f>IF(AND($E1094="",$F1094=""),"",N($E1094)-N($F1094))</f>
        <v/>
      </c>
    </row>
    <row r="1095">
      <c r="A1095" s="15" t="n"/>
      <c r="B1095" s="16">
        <f>IF($A1095="","",TEXT($A1095,"mmm"))</f>
        <v/>
      </c>
      <c r="C1095" s="13" t="n"/>
      <c r="D1095" s="13" t="n"/>
      <c r="E1095" s="17" t="n"/>
      <c r="F1095" s="17" t="n"/>
      <c r="G1095" s="18">
        <f>IF(AND($E1095="",$F1095=""),"",N($E1095)-N($F1095))</f>
        <v/>
      </c>
    </row>
    <row r="1096">
      <c r="A1096" s="15" t="n"/>
      <c r="B1096" s="16">
        <f>IF($A1096="","",TEXT($A1096,"mmm"))</f>
        <v/>
      </c>
      <c r="C1096" s="13" t="n"/>
      <c r="D1096" s="13" t="n"/>
      <c r="E1096" s="17" t="n"/>
      <c r="F1096" s="17" t="n"/>
      <c r="G1096" s="18">
        <f>IF(AND($E1096="",$F1096=""),"",N($E1096)-N($F1096))</f>
        <v/>
      </c>
    </row>
    <row r="1097">
      <c r="A1097" s="15" t="n"/>
      <c r="B1097" s="16">
        <f>IF($A1097="","",TEXT($A1097,"mmm"))</f>
        <v/>
      </c>
      <c r="C1097" s="13" t="n"/>
      <c r="D1097" s="13" t="n"/>
      <c r="E1097" s="17" t="n"/>
      <c r="F1097" s="17" t="n"/>
      <c r="G1097" s="18">
        <f>IF(AND($E1097="",$F1097=""),"",N($E1097)-N($F1097))</f>
        <v/>
      </c>
    </row>
    <row r="1098">
      <c r="A1098" s="15" t="n"/>
      <c r="B1098" s="16">
        <f>IF($A1098="","",TEXT($A1098,"mmm"))</f>
        <v/>
      </c>
      <c r="C1098" s="13" t="n"/>
      <c r="D1098" s="13" t="n"/>
      <c r="E1098" s="17" t="n"/>
      <c r="F1098" s="17" t="n"/>
      <c r="G1098" s="18">
        <f>IF(AND($E1098="",$F1098=""),"",N($E1098)-N($F1098))</f>
        <v/>
      </c>
    </row>
    <row r="1099">
      <c r="A1099" s="15" t="n"/>
      <c r="B1099" s="16">
        <f>IF($A1099="","",TEXT($A1099,"mmm"))</f>
        <v/>
      </c>
      <c r="C1099" s="13" t="n"/>
      <c r="D1099" s="13" t="n"/>
      <c r="E1099" s="17" t="n"/>
      <c r="F1099" s="17" t="n"/>
      <c r="G1099" s="18">
        <f>IF(AND($E1099="",$F1099=""),"",N($E1099)-N($F1099))</f>
        <v/>
      </c>
    </row>
    <row r="1100">
      <c r="A1100" s="15" t="n"/>
      <c r="B1100" s="16">
        <f>IF($A1100="","",TEXT($A1100,"mmm"))</f>
        <v/>
      </c>
      <c r="C1100" s="13" t="n"/>
      <c r="D1100" s="13" t="n"/>
      <c r="E1100" s="17" t="n"/>
      <c r="F1100" s="17" t="n"/>
      <c r="G1100" s="18">
        <f>IF(AND($E1100="",$F1100=""),"",N($E1100)-N($F1100))</f>
        <v/>
      </c>
    </row>
    <row r="1101">
      <c r="A1101" s="15" t="n"/>
      <c r="B1101" s="16">
        <f>IF($A1101="","",TEXT($A1101,"mmm"))</f>
        <v/>
      </c>
      <c r="C1101" s="13" t="n"/>
      <c r="D1101" s="13" t="n"/>
      <c r="E1101" s="17" t="n"/>
      <c r="F1101" s="17" t="n"/>
      <c r="G1101" s="18">
        <f>IF(AND($E1101="",$F1101=""),"",N($E1101)-N($F1101))</f>
        <v/>
      </c>
    </row>
    <row r="1102">
      <c r="A1102" s="15" t="n"/>
      <c r="B1102" s="16">
        <f>IF($A1102="","",TEXT($A1102,"mmm"))</f>
        <v/>
      </c>
      <c r="C1102" s="13" t="n"/>
      <c r="D1102" s="13" t="n"/>
      <c r="E1102" s="17" t="n"/>
      <c r="F1102" s="17" t="n"/>
      <c r="G1102" s="18">
        <f>IF(AND($E1102="",$F1102=""),"",N($E1102)-N($F1102))</f>
        <v/>
      </c>
    </row>
    <row r="1103">
      <c r="A1103" s="15" t="n"/>
      <c r="B1103" s="16">
        <f>IF($A1103="","",TEXT($A1103,"mmm"))</f>
        <v/>
      </c>
      <c r="C1103" s="13" t="n"/>
      <c r="D1103" s="13" t="n"/>
      <c r="E1103" s="17" t="n"/>
      <c r="F1103" s="17" t="n"/>
      <c r="G1103" s="18">
        <f>IF(AND($E1103="",$F1103=""),"",N($E1103)-N($F1103))</f>
        <v/>
      </c>
    </row>
    <row r="1104">
      <c r="A1104" s="15" t="n"/>
      <c r="B1104" s="16">
        <f>IF($A1104="","",TEXT($A1104,"mmm"))</f>
        <v/>
      </c>
      <c r="C1104" s="13" t="n"/>
      <c r="D1104" s="13" t="n"/>
      <c r="E1104" s="17" t="n"/>
      <c r="F1104" s="17" t="n"/>
      <c r="G1104" s="18">
        <f>IF(AND($E1104="",$F1104=""),"",N($E1104)-N($F1104))</f>
        <v/>
      </c>
    </row>
    <row r="1105">
      <c r="A1105" s="15" t="n"/>
      <c r="B1105" s="16">
        <f>IF($A1105="","",TEXT($A1105,"mmm"))</f>
        <v/>
      </c>
      <c r="C1105" s="13" t="n"/>
      <c r="D1105" s="13" t="n"/>
      <c r="E1105" s="17" t="n"/>
      <c r="F1105" s="17" t="n"/>
      <c r="G1105" s="18">
        <f>IF(AND($E1105="",$F1105=""),"",N($E1105)-N($F1105))</f>
        <v/>
      </c>
    </row>
    <row r="1106">
      <c r="A1106" s="15" t="n"/>
      <c r="B1106" s="16">
        <f>IF($A1106="","",TEXT($A1106,"mmm"))</f>
        <v/>
      </c>
      <c r="C1106" s="13" t="n"/>
      <c r="D1106" s="13" t="n"/>
      <c r="E1106" s="17" t="n"/>
      <c r="F1106" s="17" t="n"/>
      <c r="G1106" s="18">
        <f>IF(AND($E1106="",$F1106=""),"",N($E1106)-N($F1106))</f>
        <v/>
      </c>
    </row>
    <row r="1107">
      <c r="A1107" s="15" t="n"/>
      <c r="B1107" s="16">
        <f>IF($A1107="","",TEXT($A1107,"mmm"))</f>
        <v/>
      </c>
      <c r="C1107" s="13" t="n"/>
      <c r="D1107" s="13" t="n"/>
      <c r="E1107" s="17" t="n"/>
      <c r="F1107" s="17" t="n"/>
      <c r="G1107" s="18">
        <f>IF(AND($E1107="",$F1107=""),"",N($E1107)-N($F1107))</f>
        <v/>
      </c>
    </row>
    <row r="1108">
      <c r="A1108" s="15" t="n"/>
      <c r="B1108" s="16">
        <f>IF($A1108="","",TEXT($A1108,"mmm"))</f>
        <v/>
      </c>
      <c r="C1108" s="13" t="n"/>
      <c r="D1108" s="13" t="n"/>
      <c r="E1108" s="17" t="n"/>
      <c r="F1108" s="17" t="n"/>
      <c r="G1108" s="18">
        <f>IF(AND($E1108="",$F1108=""),"",N($E1108)-N($F1108))</f>
        <v/>
      </c>
    </row>
    <row r="1109">
      <c r="A1109" s="15" t="n"/>
      <c r="B1109" s="16">
        <f>IF($A1109="","",TEXT($A1109,"mmm"))</f>
        <v/>
      </c>
      <c r="C1109" s="13" t="n"/>
      <c r="D1109" s="13" t="n"/>
      <c r="E1109" s="17" t="n"/>
      <c r="F1109" s="17" t="n"/>
      <c r="G1109" s="18">
        <f>IF(AND($E1109="",$F1109=""),"",N($E1109)-N($F1109))</f>
        <v/>
      </c>
    </row>
    <row r="1110">
      <c r="A1110" s="15" t="n"/>
      <c r="B1110" s="16">
        <f>IF($A1110="","",TEXT($A1110,"mmm"))</f>
        <v/>
      </c>
      <c r="C1110" s="13" t="n"/>
      <c r="D1110" s="13" t="n"/>
      <c r="E1110" s="17" t="n"/>
      <c r="F1110" s="17" t="n"/>
      <c r="G1110" s="18">
        <f>IF(AND($E1110="",$F1110=""),"",N($E1110)-N($F1110))</f>
        <v/>
      </c>
    </row>
    <row r="1111">
      <c r="A1111" s="15" t="n"/>
      <c r="B1111" s="16">
        <f>IF($A1111="","",TEXT($A1111,"mmm"))</f>
        <v/>
      </c>
      <c r="C1111" s="13" t="n"/>
      <c r="D1111" s="13" t="n"/>
      <c r="E1111" s="17" t="n"/>
      <c r="F1111" s="17" t="n"/>
      <c r="G1111" s="18">
        <f>IF(AND($E1111="",$F1111=""),"",N($E1111)-N($F1111))</f>
        <v/>
      </c>
    </row>
    <row r="1112">
      <c r="A1112" s="15" t="n"/>
      <c r="B1112" s="16">
        <f>IF($A1112="","",TEXT($A1112,"mmm"))</f>
        <v/>
      </c>
      <c r="C1112" s="13" t="n"/>
      <c r="D1112" s="13" t="n"/>
      <c r="E1112" s="17" t="n"/>
      <c r="F1112" s="17" t="n"/>
      <c r="G1112" s="18">
        <f>IF(AND($E1112="",$F1112=""),"",N($E1112)-N($F1112))</f>
        <v/>
      </c>
    </row>
    <row r="1113">
      <c r="A1113" s="15" t="n"/>
      <c r="B1113" s="16">
        <f>IF($A1113="","",TEXT($A1113,"mmm"))</f>
        <v/>
      </c>
      <c r="C1113" s="13" t="n"/>
      <c r="D1113" s="13" t="n"/>
      <c r="E1113" s="17" t="n"/>
      <c r="F1113" s="17" t="n"/>
      <c r="G1113" s="18">
        <f>IF(AND($E1113="",$F1113=""),"",N($E1113)-N($F1113))</f>
        <v/>
      </c>
    </row>
    <row r="1114">
      <c r="A1114" s="15" t="n"/>
      <c r="B1114" s="16">
        <f>IF($A1114="","",TEXT($A1114,"mmm"))</f>
        <v/>
      </c>
      <c r="C1114" s="13" t="n"/>
      <c r="D1114" s="13" t="n"/>
      <c r="E1114" s="17" t="n"/>
      <c r="F1114" s="17" t="n"/>
      <c r="G1114" s="18">
        <f>IF(AND($E1114="",$F1114=""),"",N($E1114)-N($F1114))</f>
        <v/>
      </c>
    </row>
    <row r="1115">
      <c r="A1115" s="15" t="n"/>
      <c r="B1115" s="16">
        <f>IF($A1115="","",TEXT($A1115,"mmm"))</f>
        <v/>
      </c>
      <c r="C1115" s="13" t="n"/>
      <c r="D1115" s="13" t="n"/>
      <c r="E1115" s="17" t="n"/>
      <c r="F1115" s="17" t="n"/>
      <c r="G1115" s="18">
        <f>IF(AND($E1115="",$F1115=""),"",N($E1115)-N($F1115))</f>
        <v/>
      </c>
    </row>
    <row r="1116">
      <c r="A1116" s="15" t="n"/>
      <c r="B1116" s="16">
        <f>IF($A1116="","",TEXT($A1116,"mmm"))</f>
        <v/>
      </c>
      <c r="C1116" s="13" t="n"/>
      <c r="D1116" s="13" t="n"/>
      <c r="E1116" s="17" t="n"/>
      <c r="F1116" s="17" t="n"/>
      <c r="G1116" s="18">
        <f>IF(AND($E1116="",$F1116=""),"",N($E1116)-N($F1116))</f>
        <v/>
      </c>
    </row>
    <row r="1117">
      <c r="A1117" s="15" t="n"/>
      <c r="B1117" s="16">
        <f>IF($A1117="","",TEXT($A1117,"mmm"))</f>
        <v/>
      </c>
      <c r="C1117" s="13" t="n"/>
      <c r="D1117" s="13" t="n"/>
      <c r="E1117" s="17" t="n"/>
      <c r="F1117" s="17" t="n"/>
      <c r="G1117" s="18">
        <f>IF(AND($E1117="",$F1117=""),"",N($E1117)-N($F1117))</f>
        <v/>
      </c>
    </row>
    <row r="1118">
      <c r="A1118" s="15" t="n"/>
      <c r="B1118" s="16">
        <f>IF($A1118="","",TEXT($A1118,"mmm"))</f>
        <v/>
      </c>
      <c r="C1118" s="13" t="n"/>
      <c r="D1118" s="13" t="n"/>
      <c r="E1118" s="17" t="n"/>
      <c r="F1118" s="17" t="n"/>
      <c r="G1118" s="18">
        <f>IF(AND($E1118="",$F1118=""),"",N($E1118)-N($F1118))</f>
        <v/>
      </c>
    </row>
    <row r="1119">
      <c r="A1119" s="15" t="n"/>
      <c r="B1119" s="16">
        <f>IF($A1119="","",TEXT($A1119,"mmm"))</f>
        <v/>
      </c>
      <c r="C1119" s="13" t="n"/>
      <c r="D1119" s="13" t="n"/>
      <c r="E1119" s="17" t="n"/>
      <c r="F1119" s="17" t="n"/>
      <c r="G1119" s="18">
        <f>IF(AND($E1119="",$F1119=""),"",N($E1119)-N($F1119))</f>
        <v/>
      </c>
    </row>
    <row r="1120">
      <c r="A1120" s="15" t="n"/>
      <c r="B1120" s="16">
        <f>IF($A1120="","",TEXT($A1120,"mmm"))</f>
        <v/>
      </c>
      <c r="C1120" s="13" t="n"/>
      <c r="D1120" s="13" t="n"/>
      <c r="E1120" s="17" t="n"/>
      <c r="F1120" s="17" t="n"/>
      <c r="G1120" s="18">
        <f>IF(AND($E1120="",$F1120=""),"",N($E1120)-N($F1120))</f>
        <v/>
      </c>
    </row>
    <row r="1121">
      <c r="A1121" s="15" t="n"/>
      <c r="B1121" s="16">
        <f>IF($A1121="","",TEXT($A1121,"mmm"))</f>
        <v/>
      </c>
      <c r="C1121" s="13" t="n"/>
      <c r="D1121" s="13" t="n"/>
      <c r="E1121" s="17" t="n"/>
      <c r="F1121" s="17" t="n"/>
      <c r="G1121" s="18">
        <f>IF(AND($E1121="",$F1121=""),"",N($E1121)-N($F1121))</f>
        <v/>
      </c>
    </row>
    <row r="1122">
      <c r="A1122" s="15" t="n"/>
      <c r="B1122" s="16">
        <f>IF($A1122="","",TEXT($A1122,"mmm"))</f>
        <v/>
      </c>
      <c r="C1122" s="13" t="n"/>
      <c r="D1122" s="13" t="n"/>
      <c r="E1122" s="17" t="n"/>
      <c r="F1122" s="17" t="n"/>
      <c r="G1122" s="18">
        <f>IF(AND($E1122="",$F1122=""),"",N($E1122)-N($F1122))</f>
        <v/>
      </c>
    </row>
    <row r="1123">
      <c r="A1123" s="15" t="n"/>
      <c r="B1123" s="16">
        <f>IF($A1123="","",TEXT($A1123,"mmm"))</f>
        <v/>
      </c>
      <c r="C1123" s="13" t="n"/>
      <c r="D1123" s="13" t="n"/>
      <c r="E1123" s="17" t="n"/>
      <c r="F1123" s="17" t="n"/>
      <c r="G1123" s="18">
        <f>IF(AND($E1123="",$F1123=""),"",N($E1123)-N($F1123))</f>
        <v/>
      </c>
    </row>
    <row r="1124">
      <c r="A1124" s="15" t="n"/>
      <c r="B1124" s="16">
        <f>IF($A1124="","",TEXT($A1124,"mmm"))</f>
        <v/>
      </c>
      <c r="C1124" s="13" t="n"/>
      <c r="D1124" s="13" t="n"/>
      <c r="E1124" s="17" t="n"/>
      <c r="F1124" s="17" t="n"/>
      <c r="G1124" s="18">
        <f>IF(AND($E1124="",$F1124=""),"",N($E1124)-N($F1124))</f>
        <v/>
      </c>
    </row>
    <row r="1125">
      <c r="A1125" s="15" t="n"/>
      <c r="B1125" s="16">
        <f>IF($A1125="","",TEXT($A1125,"mmm"))</f>
        <v/>
      </c>
      <c r="C1125" s="13" t="n"/>
      <c r="D1125" s="13" t="n"/>
      <c r="E1125" s="17" t="n"/>
      <c r="F1125" s="17" t="n"/>
      <c r="G1125" s="18">
        <f>IF(AND($E1125="",$F1125=""),"",N($E1125)-N($F1125))</f>
        <v/>
      </c>
    </row>
    <row r="1126">
      <c r="A1126" s="15" t="n"/>
      <c r="B1126" s="16">
        <f>IF($A1126="","",TEXT($A1126,"mmm"))</f>
        <v/>
      </c>
      <c r="C1126" s="13" t="n"/>
      <c r="D1126" s="13" t="n"/>
      <c r="E1126" s="17" t="n"/>
      <c r="F1126" s="17" t="n"/>
      <c r="G1126" s="18">
        <f>IF(AND($E1126="",$F1126=""),"",N($E1126)-N($F1126))</f>
        <v/>
      </c>
    </row>
    <row r="1127">
      <c r="A1127" s="15" t="n"/>
      <c r="B1127" s="16">
        <f>IF($A1127="","",TEXT($A1127,"mmm"))</f>
        <v/>
      </c>
      <c r="C1127" s="13" t="n"/>
      <c r="D1127" s="13" t="n"/>
      <c r="E1127" s="17" t="n"/>
      <c r="F1127" s="17" t="n"/>
      <c r="G1127" s="18">
        <f>IF(AND($E1127="",$F1127=""),"",N($E1127)-N($F1127))</f>
        <v/>
      </c>
    </row>
    <row r="1128">
      <c r="A1128" s="15" t="n"/>
      <c r="B1128" s="16">
        <f>IF($A1128="","",TEXT($A1128,"mmm"))</f>
        <v/>
      </c>
      <c r="C1128" s="13" t="n"/>
      <c r="D1128" s="13" t="n"/>
      <c r="E1128" s="17" t="n"/>
      <c r="F1128" s="17" t="n"/>
      <c r="G1128" s="18">
        <f>IF(AND($E1128="",$F1128=""),"",N($E1128)-N($F1128))</f>
        <v/>
      </c>
    </row>
    <row r="1129">
      <c r="A1129" s="15" t="n"/>
      <c r="B1129" s="16">
        <f>IF($A1129="","",TEXT($A1129,"mmm"))</f>
        <v/>
      </c>
      <c r="C1129" s="13" t="n"/>
      <c r="D1129" s="13" t="n"/>
      <c r="E1129" s="17" t="n"/>
      <c r="F1129" s="17" t="n"/>
      <c r="G1129" s="18">
        <f>IF(AND($E1129="",$F1129=""),"",N($E1129)-N($F1129))</f>
        <v/>
      </c>
    </row>
    <row r="1130">
      <c r="A1130" s="15" t="n"/>
      <c r="B1130" s="16">
        <f>IF($A1130="","",TEXT($A1130,"mmm"))</f>
        <v/>
      </c>
      <c r="C1130" s="13" t="n"/>
      <c r="D1130" s="13" t="n"/>
      <c r="E1130" s="17" t="n"/>
      <c r="F1130" s="17" t="n"/>
      <c r="G1130" s="18">
        <f>IF(AND($E1130="",$F1130=""),"",N($E1130)-N($F1130))</f>
        <v/>
      </c>
    </row>
    <row r="1131">
      <c r="A1131" s="15" t="n"/>
      <c r="B1131" s="16">
        <f>IF($A1131="","",TEXT($A1131,"mmm"))</f>
        <v/>
      </c>
      <c r="C1131" s="13" t="n"/>
      <c r="D1131" s="13" t="n"/>
      <c r="E1131" s="17" t="n"/>
      <c r="F1131" s="17" t="n"/>
      <c r="G1131" s="18">
        <f>IF(AND($E1131="",$F1131=""),"",N($E1131)-N($F1131))</f>
        <v/>
      </c>
    </row>
    <row r="1132">
      <c r="A1132" s="15" t="n"/>
      <c r="B1132" s="16">
        <f>IF($A1132="","",TEXT($A1132,"mmm"))</f>
        <v/>
      </c>
      <c r="C1132" s="13" t="n"/>
      <c r="D1132" s="13" t="n"/>
      <c r="E1132" s="17" t="n"/>
      <c r="F1132" s="17" t="n"/>
      <c r="G1132" s="18">
        <f>IF(AND($E1132="",$F1132=""),"",N($E1132)-N($F1132))</f>
        <v/>
      </c>
    </row>
    <row r="1133">
      <c r="A1133" s="15" t="n"/>
      <c r="B1133" s="16">
        <f>IF($A1133="","",TEXT($A1133,"mmm"))</f>
        <v/>
      </c>
      <c r="C1133" s="13" t="n"/>
      <c r="D1133" s="13" t="n"/>
      <c r="E1133" s="17" t="n"/>
      <c r="F1133" s="17" t="n"/>
      <c r="G1133" s="18">
        <f>IF(AND($E1133="",$F1133=""),"",N($E1133)-N($F1133))</f>
        <v/>
      </c>
    </row>
    <row r="1134">
      <c r="A1134" s="15" t="n"/>
      <c r="B1134" s="16">
        <f>IF($A1134="","",TEXT($A1134,"mmm"))</f>
        <v/>
      </c>
      <c r="C1134" s="13" t="n"/>
      <c r="D1134" s="13" t="n"/>
      <c r="E1134" s="17" t="n"/>
      <c r="F1134" s="17" t="n"/>
      <c r="G1134" s="18">
        <f>IF(AND($E1134="",$F1134=""),"",N($E1134)-N($F1134))</f>
        <v/>
      </c>
    </row>
    <row r="1135">
      <c r="A1135" s="15" t="n"/>
      <c r="B1135" s="16">
        <f>IF($A1135="","",TEXT($A1135,"mmm"))</f>
        <v/>
      </c>
      <c r="C1135" s="13" t="n"/>
      <c r="D1135" s="13" t="n"/>
      <c r="E1135" s="17" t="n"/>
      <c r="F1135" s="17" t="n"/>
      <c r="G1135" s="18">
        <f>IF(AND($E1135="",$F1135=""),"",N($E1135)-N($F1135))</f>
        <v/>
      </c>
    </row>
    <row r="1136">
      <c r="A1136" s="15" t="n"/>
      <c r="B1136" s="16">
        <f>IF($A1136="","",TEXT($A1136,"mmm"))</f>
        <v/>
      </c>
      <c r="C1136" s="13" t="n"/>
      <c r="D1136" s="13" t="n"/>
      <c r="E1136" s="17" t="n"/>
      <c r="F1136" s="17" t="n"/>
      <c r="G1136" s="18">
        <f>IF(AND($E1136="",$F1136=""),"",N($E1136)-N($F1136))</f>
        <v/>
      </c>
    </row>
    <row r="1137">
      <c r="A1137" s="15" t="n"/>
      <c r="B1137" s="16">
        <f>IF($A1137="","",TEXT($A1137,"mmm"))</f>
        <v/>
      </c>
      <c r="C1137" s="13" t="n"/>
      <c r="D1137" s="13" t="n"/>
      <c r="E1137" s="17" t="n"/>
      <c r="F1137" s="17" t="n"/>
      <c r="G1137" s="18">
        <f>IF(AND($E1137="",$F1137=""),"",N($E1137)-N($F1137))</f>
        <v/>
      </c>
    </row>
    <row r="1138">
      <c r="A1138" s="15" t="n"/>
      <c r="B1138" s="16">
        <f>IF($A1138="","",TEXT($A1138,"mmm"))</f>
        <v/>
      </c>
      <c r="C1138" s="13" t="n"/>
      <c r="D1138" s="13" t="n"/>
      <c r="E1138" s="17" t="n"/>
      <c r="F1138" s="17" t="n"/>
      <c r="G1138" s="18">
        <f>IF(AND($E1138="",$F1138=""),"",N($E1138)-N($F1138))</f>
        <v/>
      </c>
    </row>
    <row r="1139">
      <c r="A1139" s="15" t="n"/>
      <c r="B1139" s="16">
        <f>IF($A1139="","",TEXT($A1139,"mmm"))</f>
        <v/>
      </c>
      <c r="C1139" s="13" t="n"/>
      <c r="D1139" s="13" t="n"/>
      <c r="E1139" s="17" t="n"/>
      <c r="F1139" s="17" t="n"/>
      <c r="G1139" s="18">
        <f>IF(AND($E1139="",$F1139=""),"",N($E1139)-N($F1139))</f>
        <v/>
      </c>
    </row>
    <row r="1140">
      <c r="A1140" s="15" t="n"/>
      <c r="B1140" s="16">
        <f>IF($A1140="","",TEXT($A1140,"mmm"))</f>
        <v/>
      </c>
      <c r="C1140" s="13" t="n"/>
      <c r="D1140" s="13" t="n"/>
      <c r="E1140" s="17" t="n"/>
      <c r="F1140" s="17" t="n"/>
      <c r="G1140" s="18">
        <f>IF(AND($E1140="",$F1140=""),"",N($E1140)-N($F1140))</f>
        <v/>
      </c>
    </row>
    <row r="1141">
      <c r="A1141" s="15" t="n"/>
      <c r="B1141" s="16">
        <f>IF($A1141="","",TEXT($A1141,"mmm"))</f>
        <v/>
      </c>
      <c r="C1141" s="13" t="n"/>
      <c r="D1141" s="13" t="n"/>
      <c r="E1141" s="17" t="n"/>
      <c r="F1141" s="17" t="n"/>
      <c r="G1141" s="18">
        <f>IF(AND($E1141="",$F1141=""),"",N($E1141)-N($F1141))</f>
        <v/>
      </c>
    </row>
    <row r="1142">
      <c r="A1142" s="15" t="n"/>
      <c r="B1142" s="16">
        <f>IF($A1142="","",TEXT($A1142,"mmm"))</f>
        <v/>
      </c>
      <c r="C1142" s="13" t="n"/>
      <c r="D1142" s="13" t="n"/>
      <c r="E1142" s="17" t="n"/>
      <c r="F1142" s="17" t="n"/>
      <c r="G1142" s="18">
        <f>IF(AND($E1142="",$F1142=""),"",N($E1142)-N($F1142))</f>
        <v/>
      </c>
    </row>
    <row r="1143">
      <c r="A1143" s="15" t="n"/>
      <c r="B1143" s="16">
        <f>IF($A1143="","",TEXT($A1143,"mmm"))</f>
        <v/>
      </c>
      <c r="C1143" s="13" t="n"/>
      <c r="D1143" s="13" t="n"/>
      <c r="E1143" s="17" t="n"/>
      <c r="F1143" s="17" t="n"/>
      <c r="G1143" s="18">
        <f>IF(AND($E1143="",$F1143=""),"",N($E1143)-N($F1143))</f>
        <v/>
      </c>
    </row>
    <row r="1144">
      <c r="A1144" s="15" t="n"/>
      <c r="B1144" s="16">
        <f>IF($A1144="","",TEXT($A1144,"mmm"))</f>
        <v/>
      </c>
      <c r="C1144" s="13" t="n"/>
      <c r="D1144" s="13" t="n"/>
      <c r="E1144" s="17" t="n"/>
      <c r="F1144" s="17" t="n"/>
      <c r="G1144" s="18">
        <f>IF(AND($E1144="",$F1144=""),"",N($E1144)-N($F1144))</f>
        <v/>
      </c>
    </row>
    <row r="1145">
      <c r="A1145" s="15" t="n"/>
      <c r="B1145" s="16">
        <f>IF($A1145="","",TEXT($A1145,"mmm"))</f>
        <v/>
      </c>
      <c r="C1145" s="13" t="n"/>
      <c r="D1145" s="13" t="n"/>
      <c r="E1145" s="17" t="n"/>
      <c r="F1145" s="17" t="n"/>
      <c r="G1145" s="18">
        <f>IF(AND($E1145="",$F1145=""),"",N($E1145)-N($F1145))</f>
        <v/>
      </c>
    </row>
    <row r="1146">
      <c r="A1146" s="15" t="n"/>
      <c r="B1146" s="16">
        <f>IF($A1146="","",TEXT($A1146,"mmm"))</f>
        <v/>
      </c>
      <c r="C1146" s="13" t="n"/>
      <c r="D1146" s="13" t="n"/>
      <c r="E1146" s="17" t="n"/>
      <c r="F1146" s="17" t="n"/>
      <c r="G1146" s="18">
        <f>IF(AND($E1146="",$F1146=""),"",N($E1146)-N($F1146))</f>
        <v/>
      </c>
    </row>
    <row r="1147">
      <c r="A1147" s="15" t="n"/>
      <c r="B1147" s="16">
        <f>IF($A1147="","",TEXT($A1147,"mmm"))</f>
        <v/>
      </c>
      <c r="C1147" s="13" t="n"/>
      <c r="D1147" s="13" t="n"/>
      <c r="E1147" s="17" t="n"/>
      <c r="F1147" s="17" t="n"/>
      <c r="G1147" s="18">
        <f>IF(AND($E1147="",$F1147=""),"",N($E1147)-N($F1147))</f>
        <v/>
      </c>
    </row>
    <row r="1148">
      <c r="A1148" s="15" t="n"/>
      <c r="B1148" s="16">
        <f>IF($A1148="","",TEXT($A1148,"mmm"))</f>
        <v/>
      </c>
      <c r="C1148" s="13" t="n"/>
      <c r="D1148" s="13" t="n"/>
      <c r="E1148" s="17" t="n"/>
      <c r="F1148" s="17" t="n"/>
      <c r="G1148" s="18">
        <f>IF(AND($E1148="",$F1148=""),"",N($E1148)-N($F1148))</f>
        <v/>
      </c>
    </row>
    <row r="1149">
      <c r="A1149" s="15" t="n"/>
      <c r="B1149" s="16">
        <f>IF($A1149="","",TEXT($A1149,"mmm"))</f>
        <v/>
      </c>
      <c r="C1149" s="13" t="n"/>
      <c r="D1149" s="13" t="n"/>
      <c r="E1149" s="17" t="n"/>
      <c r="F1149" s="17" t="n"/>
      <c r="G1149" s="18">
        <f>IF(AND($E1149="",$F1149=""),"",N($E1149)-N($F1149))</f>
        <v/>
      </c>
    </row>
    <row r="1150">
      <c r="A1150" s="15" t="n"/>
      <c r="B1150" s="16">
        <f>IF($A1150="","",TEXT($A1150,"mmm"))</f>
        <v/>
      </c>
      <c r="C1150" s="13" t="n"/>
      <c r="D1150" s="13" t="n"/>
      <c r="E1150" s="17" t="n"/>
      <c r="F1150" s="17" t="n"/>
      <c r="G1150" s="18">
        <f>IF(AND($E1150="",$F1150=""),"",N($E1150)-N($F1150))</f>
        <v/>
      </c>
    </row>
    <row r="1151">
      <c r="A1151" s="15" t="n"/>
      <c r="B1151" s="16">
        <f>IF($A1151="","",TEXT($A1151,"mmm"))</f>
        <v/>
      </c>
      <c r="C1151" s="13" t="n"/>
      <c r="D1151" s="13" t="n"/>
      <c r="E1151" s="17" t="n"/>
      <c r="F1151" s="17" t="n"/>
      <c r="G1151" s="18">
        <f>IF(AND($E1151="",$F1151=""),"",N($E1151)-N($F1151))</f>
        <v/>
      </c>
    </row>
    <row r="1152">
      <c r="A1152" s="15" t="n"/>
      <c r="B1152" s="16">
        <f>IF($A1152="","",TEXT($A1152,"mmm"))</f>
        <v/>
      </c>
      <c r="C1152" s="13" t="n"/>
      <c r="D1152" s="13" t="n"/>
      <c r="E1152" s="17" t="n"/>
      <c r="F1152" s="17" t="n"/>
      <c r="G1152" s="18">
        <f>IF(AND($E1152="",$F1152=""),"",N($E1152)-N($F1152))</f>
        <v/>
      </c>
    </row>
    <row r="1153">
      <c r="A1153" s="15" t="n"/>
      <c r="B1153" s="16">
        <f>IF($A1153="","",TEXT($A1153,"mmm"))</f>
        <v/>
      </c>
      <c r="C1153" s="13" t="n"/>
      <c r="D1153" s="13" t="n"/>
      <c r="E1153" s="17" t="n"/>
      <c r="F1153" s="17" t="n"/>
      <c r="G1153" s="18">
        <f>IF(AND($E1153="",$F1153=""),"",N($E1153)-N($F1153))</f>
        <v/>
      </c>
    </row>
    <row r="1154">
      <c r="A1154" s="15" t="n"/>
      <c r="B1154" s="16">
        <f>IF($A1154="","",TEXT($A1154,"mmm"))</f>
        <v/>
      </c>
      <c r="C1154" s="13" t="n"/>
      <c r="D1154" s="13" t="n"/>
      <c r="E1154" s="17" t="n"/>
      <c r="F1154" s="17" t="n"/>
      <c r="G1154" s="18">
        <f>IF(AND($E1154="",$F1154=""),"",N($E1154)-N($F1154))</f>
        <v/>
      </c>
    </row>
    <row r="1155">
      <c r="A1155" s="15" t="n"/>
      <c r="B1155" s="16">
        <f>IF($A1155="","",TEXT($A1155,"mmm"))</f>
        <v/>
      </c>
      <c r="C1155" s="13" t="n"/>
      <c r="D1155" s="13" t="n"/>
      <c r="E1155" s="17" t="n"/>
      <c r="F1155" s="17" t="n"/>
      <c r="G1155" s="18">
        <f>IF(AND($E1155="",$F1155=""),"",N($E1155)-N($F1155))</f>
        <v/>
      </c>
    </row>
    <row r="1156">
      <c r="A1156" s="15" t="n"/>
      <c r="B1156" s="16">
        <f>IF($A1156="","",TEXT($A1156,"mmm"))</f>
        <v/>
      </c>
      <c r="C1156" s="13" t="n"/>
      <c r="D1156" s="13" t="n"/>
      <c r="E1156" s="17" t="n"/>
      <c r="F1156" s="17" t="n"/>
      <c r="G1156" s="18">
        <f>IF(AND($E1156="",$F1156=""),"",N($E1156)-N($F1156))</f>
        <v/>
      </c>
    </row>
    <row r="1157">
      <c r="A1157" s="15" t="n"/>
      <c r="B1157" s="16">
        <f>IF($A1157="","",TEXT($A1157,"mmm"))</f>
        <v/>
      </c>
      <c r="C1157" s="13" t="n"/>
      <c r="D1157" s="13" t="n"/>
      <c r="E1157" s="17" t="n"/>
      <c r="F1157" s="17" t="n"/>
      <c r="G1157" s="18">
        <f>IF(AND($E1157="",$F1157=""),"",N($E1157)-N($F1157))</f>
        <v/>
      </c>
    </row>
    <row r="1158">
      <c r="A1158" s="15" t="n"/>
      <c r="B1158" s="16">
        <f>IF($A1158="","",TEXT($A1158,"mmm"))</f>
        <v/>
      </c>
      <c r="C1158" s="13" t="n"/>
      <c r="D1158" s="13" t="n"/>
      <c r="E1158" s="17" t="n"/>
      <c r="F1158" s="17" t="n"/>
      <c r="G1158" s="18">
        <f>IF(AND($E1158="",$F1158=""),"",N($E1158)-N($F1158))</f>
        <v/>
      </c>
    </row>
    <row r="1159">
      <c r="A1159" s="15" t="n"/>
      <c r="B1159" s="16">
        <f>IF($A1159="","",TEXT($A1159,"mmm"))</f>
        <v/>
      </c>
      <c r="C1159" s="13" t="n"/>
      <c r="D1159" s="13" t="n"/>
      <c r="E1159" s="17" t="n"/>
      <c r="F1159" s="17" t="n"/>
      <c r="G1159" s="18">
        <f>IF(AND($E1159="",$F1159=""),"",N($E1159)-N($F1159))</f>
        <v/>
      </c>
    </row>
    <row r="1160">
      <c r="A1160" s="15" t="n"/>
      <c r="B1160" s="16">
        <f>IF($A1160="","",TEXT($A1160,"mmm"))</f>
        <v/>
      </c>
      <c r="C1160" s="13" t="n"/>
      <c r="D1160" s="13" t="n"/>
      <c r="E1160" s="17" t="n"/>
      <c r="F1160" s="17" t="n"/>
      <c r="G1160" s="18">
        <f>IF(AND($E1160="",$F1160=""),"",N($E1160)-N($F1160))</f>
        <v/>
      </c>
    </row>
    <row r="1161">
      <c r="A1161" s="15" t="n"/>
      <c r="B1161" s="16">
        <f>IF($A1161="","",TEXT($A1161,"mmm"))</f>
        <v/>
      </c>
      <c r="C1161" s="13" t="n"/>
      <c r="D1161" s="13" t="n"/>
      <c r="E1161" s="17" t="n"/>
      <c r="F1161" s="17" t="n"/>
      <c r="G1161" s="18">
        <f>IF(AND($E1161="",$F1161=""),"",N($E1161)-N($F1161))</f>
        <v/>
      </c>
    </row>
    <row r="1162">
      <c r="A1162" s="15" t="n"/>
      <c r="B1162" s="16">
        <f>IF($A1162="","",TEXT($A1162,"mmm"))</f>
        <v/>
      </c>
      <c r="C1162" s="13" t="n"/>
      <c r="D1162" s="13" t="n"/>
      <c r="E1162" s="17" t="n"/>
      <c r="F1162" s="17" t="n"/>
      <c r="G1162" s="18">
        <f>IF(AND($E1162="",$F1162=""),"",N($E1162)-N($F1162))</f>
        <v/>
      </c>
    </row>
    <row r="1163">
      <c r="A1163" s="15" t="n"/>
      <c r="B1163" s="16">
        <f>IF($A1163="","",TEXT($A1163,"mmm"))</f>
        <v/>
      </c>
      <c r="C1163" s="13" t="n"/>
      <c r="D1163" s="13" t="n"/>
      <c r="E1163" s="17" t="n"/>
      <c r="F1163" s="17" t="n"/>
      <c r="G1163" s="18">
        <f>IF(AND($E1163="",$F1163=""),"",N($E1163)-N($F1163))</f>
        <v/>
      </c>
    </row>
    <row r="1164">
      <c r="A1164" s="15" t="n"/>
      <c r="B1164" s="16">
        <f>IF($A1164="","",TEXT($A1164,"mmm"))</f>
        <v/>
      </c>
      <c r="C1164" s="13" t="n"/>
      <c r="D1164" s="13" t="n"/>
      <c r="E1164" s="17" t="n"/>
      <c r="F1164" s="17" t="n"/>
      <c r="G1164" s="18">
        <f>IF(AND($E1164="",$F1164=""),"",N($E1164)-N($F1164))</f>
        <v/>
      </c>
    </row>
    <row r="1165">
      <c r="A1165" s="15" t="n"/>
      <c r="B1165" s="16">
        <f>IF($A1165="","",TEXT($A1165,"mmm"))</f>
        <v/>
      </c>
      <c r="C1165" s="13" t="n"/>
      <c r="D1165" s="13" t="n"/>
      <c r="E1165" s="17" t="n"/>
      <c r="F1165" s="17" t="n"/>
      <c r="G1165" s="18">
        <f>IF(AND($E1165="",$F1165=""),"",N($E1165)-N($F1165))</f>
        <v/>
      </c>
    </row>
    <row r="1166">
      <c r="A1166" s="15" t="n"/>
      <c r="B1166" s="16">
        <f>IF($A1166="","",TEXT($A1166,"mmm"))</f>
        <v/>
      </c>
      <c r="C1166" s="13" t="n"/>
      <c r="D1166" s="13" t="n"/>
      <c r="E1166" s="17" t="n"/>
      <c r="F1166" s="17" t="n"/>
      <c r="G1166" s="18">
        <f>IF(AND($E1166="",$F1166=""),"",N($E1166)-N($F1166))</f>
        <v/>
      </c>
    </row>
    <row r="1167">
      <c r="A1167" s="15" t="n"/>
      <c r="B1167" s="16">
        <f>IF($A1167="","",TEXT($A1167,"mmm"))</f>
        <v/>
      </c>
      <c r="C1167" s="13" t="n"/>
      <c r="D1167" s="13" t="n"/>
      <c r="E1167" s="17" t="n"/>
      <c r="F1167" s="17" t="n"/>
      <c r="G1167" s="18">
        <f>IF(AND($E1167="",$F1167=""),"",N($E1167)-N($F1167))</f>
        <v/>
      </c>
    </row>
    <row r="1168">
      <c r="A1168" s="15" t="n"/>
      <c r="B1168" s="16">
        <f>IF($A1168="","",TEXT($A1168,"mmm"))</f>
        <v/>
      </c>
      <c r="C1168" s="13" t="n"/>
      <c r="D1168" s="13" t="n"/>
      <c r="E1168" s="17" t="n"/>
      <c r="F1168" s="17" t="n"/>
      <c r="G1168" s="18">
        <f>IF(AND($E1168="",$F1168=""),"",N($E1168)-N($F1168))</f>
        <v/>
      </c>
    </row>
    <row r="1169">
      <c r="A1169" s="15" t="n"/>
      <c r="B1169" s="16">
        <f>IF($A1169="","",TEXT($A1169,"mmm"))</f>
        <v/>
      </c>
      <c r="C1169" s="13" t="n"/>
      <c r="D1169" s="13" t="n"/>
      <c r="E1169" s="17" t="n"/>
      <c r="F1169" s="17" t="n"/>
      <c r="G1169" s="18">
        <f>IF(AND($E1169="",$F1169=""),"",N($E1169)-N($F1169))</f>
        <v/>
      </c>
    </row>
    <row r="1170">
      <c r="A1170" s="15" t="n"/>
      <c r="B1170" s="16">
        <f>IF($A1170="","",TEXT($A1170,"mmm"))</f>
        <v/>
      </c>
      <c r="C1170" s="13" t="n"/>
      <c r="D1170" s="13" t="n"/>
      <c r="E1170" s="17" t="n"/>
      <c r="F1170" s="17" t="n"/>
      <c r="G1170" s="18">
        <f>IF(AND($E1170="",$F1170=""),"",N($E1170)-N($F1170))</f>
        <v/>
      </c>
    </row>
    <row r="1171">
      <c r="A1171" s="15" t="n"/>
      <c r="B1171" s="16">
        <f>IF($A1171="","",TEXT($A1171,"mmm"))</f>
        <v/>
      </c>
      <c r="C1171" s="13" t="n"/>
      <c r="D1171" s="13" t="n"/>
      <c r="E1171" s="17" t="n"/>
      <c r="F1171" s="17" t="n"/>
      <c r="G1171" s="18">
        <f>IF(AND($E1171="",$F1171=""),"",N($E1171)-N($F1171))</f>
        <v/>
      </c>
    </row>
    <row r="1172">
      <c r="A1172" s="15" t="n"/>
      <c r="B1172" s="16">
        <f>IF($A1172="","",TEXT($A1172,"mmm"))</f>
        <v/>
      </c>
      <c r="C1172" s="13" t="n"/>
      <c r="D1172" s="13" t="n"/>
      <c r="E1172" s="17" t="n"/>
      <c r="F1172" s="17" t="n"/>
      <c r="G1172" s="18">
        <f>IF(AND($E1172="",$F1172=""),"",N($E1172)-N($F1172))</f>
        <v/>
      </c>
    </row>
    <row r="1173">
      <c r="A1173" s="15" t="n"/>
      <c r="B1173" s="16">
        <f>IF($A1173="","",TEXT($A1173,"mmm"))</f>
        <v/>
      </c>
      <c r="C1173" s="13" t="n"/>
      <c r="D1173" s="13" t="n"/>
      <c r="E1173" s="17" t="n"/>
      <c r="F1173" s="17" t="n"/>
      <c r="G1173" s="18">
        <f>IF(AND($E1173="",$F1173=""),"",N($E1173)-N($F1173))</f>
        <v/>
      </c>
    </row>
    <row r="1174">
      <c r="A1174" s="15" t="n"/>
      <c r="B1174" s="16">
        <f>IF($A1174="","",TEXT($A1174,"mmm"))</f>
        <v/>
      </c>
      <c r="C1174" s="13" t="n"/>
      <c r="D1174" s="13" t="n"/>
      <c r="E1174" s="17" t="n"/>
      <c r="F1174" s="17" t="n"/>
      <c r="G1174" s="18">
        <f>IF(AND($E1174="",$F1174=""),"",N($E1174)-N($F1174))</f>
        <v/>
      </c>
    </row>
    <row r="1175">
      <c r="A1175" s="15" t="n"/>
      <c r="B1175" s="16">
        <f>IF($A1175="","",TEXT($A1175,"mmm"))</f>
        <v/>
      </c>
      <c r="C1175" s="13" t="n"/>
      <c r="D1175" s="13" t="n"/>
      <c r="E1175" s="17" t="n"/>
      <c r="F1175" s="17" t="n"/>
      <c r="G1175" s="18">
        <f>IF(AND($E1175="",$F1175=""),"",N($E1175)-N($F1175))</f>
        <v/>
      </c>
    </row>
    <row r="1176">
      <c r="A1176" s="15" t="n"/>
      <c r="B1176" s="16">
        <f>IF($A1176="","",TEXT($A1176,"mmm"))</f>
        <v/>
      </c>
      <c r="C1176" s="13" t="n"/>
      <c r="D1176" s="13" t="n"/>
      <c r="E1176" s="17" t="n"/>
      <c r="F1176" s="17" t="n"/>
      <c r="G1176" s="18">
        <f>IF(AND($E1176="",$F1176=""),"",N($E1176)-N($F1176))</f>
        <v/>
      </c>
    </row>
    <row r="1177">
      <c r="A1177" s="15" t="n"/>
      <c r="B1177" s="16">
        <f>IF($A1177="","",TEXT($A1177,"mmm"))</f>
        <v/>
      </c>
      <c r="C1177" s="13" t="n"/>
      <c r="D1177" s="13" t="n"/>
      <c r="E1177" s="17" t="n"/>
      <c r="F1177" s="17" t="n"/>
      <c r="G1177" s="18">
        <f>IF(AND($E1177="",$F1177=""),"",N($E1177)-N($F1177))</f>
        <v/>
      </c>
    </row>
    <row r="1178">
      <c r="A1178" s="15" t="n"/>
      <c r="B1178" s="16">
        <f>IF($A1178="","",TEXT($A1178,"mmm"))</f>
        <v/>
      </c>
      <c r="C1178" s="13" t="n"/>
      <c r="D1178" s="13" t="n"/>
      <c r="E1178" s="17" t="n"/>
      <c r="F1178" s="17" t="n"/>
      <c r="G1178" s="18">
        <f>IF(AND($E1178="",$F1178=""),"",N($E1178)-N($F1178))</f>
        <v/>
      </c>
    </row>
    <row r="1179">
      <c r="A1179" s="15" t="n"/>
      <c r="B1179" s="16">
        <f>IF($A1179="","",TEXT($A1179,"mmm"))</f>
        <v/>
      </c>
      <c r="C1179" s="13" t="n"/>
      <c r="D1179" s="13" t="n"/>
      <c r="E1179" s="17" t="n"/>
      <c r="F1179" s="17" t="n"/>
      <c r="G1179" s="18">
        <f>IF(AND($E1179="",$F1179=""),"",N($E1179)-N($F1179))</f>
        <v/>
      </c>
    </row>
    <row r="1180">
      <c r="A1180" s="15" t="n"/>
      <c r="B1180" s="16">
        <f>IF($A1180="","",TEXT($A1180,"mmm"))</f>
        <v/>
      </c>
      <c r="C1180" s="13" t="n"/>
      <c r="D1180" s="13" t="n"/>
      <c r="E1180" s="17" t="n"/>
      <c r="F1180" s="17" t="n"/>
      <c r="G1180" s="18">
        <f>IF(AND($E1180="",$F1180=""),"",N($E1180)-N($F1180))</f>
        <v/>
      </c>
    </row>
    <row r="1181">
      <c r="A1181" s="15" t="n"/>
      <c r="B1181" s="16">
        <f>IF($A1181="","",TEXT($A1181,"mmm"))</f>
        <v/>
      </c>
      <c r="C1181" s="13" t="n"/>
      <c r="D1181" s="13" t="n"/>
      <c r="E1181" s="17" t="n"/>
      <c r="F1181" s="17" t="n"/>
      <c r="G1181" s="18">
        <f>IF(AND($E1181="",$F1181=""),"",N($E1181)-N($F1181))</f>
        <v/>
      </c>
    </row>
    <row r="1182">
      <c r="A1182" s="15" t="n"/>
      <c r="B1182" s="16">
        <f>IF($A1182="","",TEXT($A1182,"mmm"))</f>
        <v/>
      </c>
      <c r="C1182" s="13" t="n"/>
      <c r="D1182" s="13" t="n"/>
      <c r="E1182" s="17" t="n"/>
      <c r="F1182" s="17" t="n"/>
      <c r="G1182" s="18">
        <f>IF(AND($E1182="",$F1182=""),"",N($E1182)-N($F1182))</f>
        <v/>
      </c>
    </row>
    <row r="1183">
      <c r="A1183" s="15" t="n"/>
      <c r="B1183" s="16">
        <f>IF($A1183="","",TEXT($A1183,"mmm"))</f>
        <v/>
      </c>
      <c r="C1183" s="13" t="n"/>
      <c r="D1183" s="13" t="n"/>
      <c r="E1183" s="17" t="n"/>
      <c r="F1183" s="17" t="n"/>
      <c r="G1183" s="18">
        <f>IF(AND($E1183="",$F1183=""),"",N($E1183)-N($F1183))</f>
        <v/>
      </c>
    </row>
    <row r="1184">
      <c r="A1184" s="15" t="n"/>
      <c r="B1184" s="16">
        <f>IF($A1184="","",TEXT($A1184,"mmm"))</f>
        <v/>
      </c>
      <c r="C1184" s="13" t="n"/>
      <c r="D1184" s="13" t="n"/>
      <c r="E1184" s="17" t="n"/>
      <c r="F1184" s="17" t="n"/>
      <c r="G1184" s="18">
        <f>IF(AND($E1184="",$F1184=""),"",N($E1184)-N($F1184))</f>
        <v/>
      </c>
    </row>
    <row r="1185">
      <c r="A1185" s="15" t="n"/>
      <c r="B1185" s="16">
        <f>IF($A1185="","",TEXT($A1185,"mmm"))</f>
        <v/>
      </c>
      <c r="C1185" s="13" t="n"/>
      <c r="D1185" s="13" t="n"/>
      <c r="E1185" s="17" t="n"/>
      <c r="F1185" s="17" t="n"/>
      <c r="G1185" s="18">
        <f>IF(AND($E1185="",$F1185=""),"",N($E1185)-N($F1185))</f>
        <v/>
      </c>
    </row>
    <row r="1186">
      <c r="A1186" s="15" t="n"/>
      <c r="B1186" s="16">
        <f>IF($A1186="","",TEXT($A1186,"mmm"))</f>
        <v/>
      </c>
      <c r="C1186" s="13" t="n"/>
      <c r="D1186" s="13" t="n"/>
      <c r="E1186" s="17" t="n"/>
      <c r="F1186" s="17" t="n"/>
      <c r="G1186" s="18">
        <f>IF(AND($E1186="",$F1186=""),"",N($E1186)-N($F1186))</f>
        <v/>
      </c>
    </row>
    <row r="1187">
      <c r="A1187" s="15" t="n"/>
      <c r="B1187" s="16">
        <f>IF($A1187="","",TEXT($A1187,"mmm"))</f>
        <v/>
      </c>
      <c r="C1187" s="13" t="n"/>
      <c r="D1187" s="13" t="n"/>
      <c r="E1187" s="17" t="n"/>
      <c r="F1187" s="17" t="n"/>
      <c r="G1187" s="18">
        <f>IF(AND($E1187="",$F1187=""),"",N($E1187)-N($F1187))</f>
        <v/>
      </c>
    </row>
    <row r="1188">
      <c r="A1188" s="15" t="n"/>
      <c r="B1188" s="16">
        <f>IF($A1188="","",TEXT($A1188,"mmm"))</f>
        <v/>
      </c>
      <c r="C1188" s="13" t="n"/>
      <c r="D1188" s="13" t="n"/>
      <c r="E1188" s="17" t="n"/>
      <c r="F1188" s="17" t="n"/>
      <c r="G1188" s="18">
        <f>IF(AND($E1188="",$F1188=""),"",N($E1188)-N($F1188))</f>
        <v/>
      </c>
    </row>
    <row r="1189">
      <c r="A1189" s="15" t="n"/>
      <c r="B1189" s="16">
        <f>IF($A1189="","",TEXT($A1189,"mmm"))</f>
        <v/>
      </c>
      <c r="C1189" s="13" t="n"/>
      <c r="D1189" s="13" t="n"/>
      <c r="E1189" s="17" t="n"/>
      <c r="F1189" s="17" t="n"/>
      <c r="G1189" s="18">
        <f>IF(AND($E1189="",$F1189=""),"",N($E1189)-N($F1189))</f>
        <v/>
      </c>
    </row>
    <row r="1190">
      <c r="A1190" s="15" t="n"/>
      <c r="B1190" s="16">
        <f>IF($A1190="","",TEXT($A1190,"mmm"))</f>
        <v/>
      </c>
      <c r="C1190" s="13" t="n"/>
      <c r="D1190" s="13" t="n"/>
      <c r="E1190" s="17" t="n"/>
      <c r="F1190" s="17" t="n"/>
      <c r="G1190" s="18">
        <f>IF(AND($E1190="",$F1190=""),"",N($E1190)-N($F1190))</f>
        <v/>
      </c>
    </row>
    <row r="1191">
      <c r="A1191" s="15" t="n"/>
      <c r="B1191" s="16">
        <f>IF($A1191="","",TEXT($A1191,"mmm"))</f>
        <v/>
      </c>
      <c r="C1191" s="13" t="n"/>
      <c r="D1191" s="13" t="n"/>
      <c r="E1191" s="17" t="n"/>
      <c r="F1191" s="17" t="n"/>
      <c r="G1191" s="18">
        <f>IF(AND($E1191="",$F1191=""),"",N($E1191)-N($F1191))</f>
        <v/>
      </c>
    </row>
    <row r="1192">
      <c r="A1192" s="15" t="n"/>
      <c r="B1192" s="16">
        <f>IF($A1192="","",TEXT($A1192,"mmm"))</f>
        <v/>
      </c>
      <c r="C1192" s="13" t="n"/>
      <c r="D1192" s="13" t="n"/>
      <c r="E1192" s="17" t="n"/>
      <c r="F1192" s="17" t="n"/>
      <c r="G1192" s="18">
        <f>IF(AND($E1192="",$F1192=""),"",N($E1192)-N($F1192))</f>
        <v/>
      </c>
    </row>
    <row r="1193">
      <c r="A1193" s="15" t="n"/>
      <c r="B1193" s="16">
        <f>IF($A1193="","",TEXT($A1193,"mmm"))</f>
        <v/>
      </c>
      <c r="C1193" s="13" t="n"/>
      <c r="D1193" s="13" t="n"/>
      <c r="E1193" s="17" t="n"/>
      <c r="F1193" s="17" t="n"/>
      <c r="G1193" s="18">
        <f>IF(AND($E1193="",$F1193=""),"",N($E1193)-N($F1193))</f>
        <v/>
      </c>
    </row>
    <row r="1194">
      <c r="A1194" s="15" t="n"/>
      <c r="B1194" s="16">
        <f>IF($A1194="","",TEXT($A1194,"mmm"))</f>
        <v/>
      </c>
      <c r="C1194" s="13" t="n"/>
      <c r="D1194" s="13" t="n"/>
      <c r="E1194" s="17" t="n"/>
      <c r="F1194" s="17" t="n"/>
      <c r="G1194" s="18">
        <f>IF(AND($E1194="",$F1194=""),"",N($E1194)-N($F1194))</f>
        <v/>
      </c>
    </row>
    <row r="1195">
      <c r="A1195" s="15" t="n"/>
      <c r="B1195" s="16">
        <f>IF($A1195="","",TEXT($A1195,"mmm"))</f>
        <v/>
      </c>
      <c r="C1195" s="13" t="n"/>
      <c r="D1195" s="13" t="n"/>
      <c r="E1195" s="17" t="n"/>
      <c r="F1195" s="17" t="n"/>
      <c r="G1195" s="18">
        <f>IF(AND($E1195="",$F1195=""),"",N($E1195)-N($F1195))</f>
        <v/>
      </c>
    </row>
    <row r="1196">
      <c r="A1196" s="15" t="n"/>
      <c r="B1196" s="16">
        <f>IF($A1196="","",TEXT($A1196,"mmm"))</f>
        <v/>
      </c>
      <c r="C1196" s="13" t="n"/>
      <c r="D1196" s="13" t="n"/>
      <c r="E1196" s="17" t="n"/>
      <c r="F1196" s="17" t="n"/>
      <c r="G1196" s="18">
        <f>IF(AND($E1196="",$F1196=""),"",N($E1196)-N($F1196))</f>
        <v/>
      </c>
    </row>
    <row r="1197">
      <c r="A1197" s="15" t="n"/>
      <c r="B1197" s="16">
        <f>IF($A1197="","",TEXT($A1197,"mmm"))</f>
        <v/>
      </c>
      <c r="C1197" s="13" t="n"/>
      <c r="D1197" s="13" t="n"/>
      <c r="E1197" s="17" t="n"/>
      <c r="F1197" s="17" t="n"/>
      <c r="G1197" s="18">
        <f>IF(AND($E1197="",$F1197=""),"",N($E1197)-N($F1197))</f>
        <v/>
      </c>
    </row>
    <row r="1198">
      <c r="A1198" s="15" t="n"/>
      <c r="B1198" s="16">
        <f>IF($A1198="","",TEXT($A1198,"mmm"))</f>
        <v/>
      </c>
      <c r="C1198" s="13" t="n"/>
      <c r="D1198" s="13" t="n"/>
      <c r="E1198" s="17" t="n"/>
      <c r="F1198" s="17" t="n"/>
      <c r="G1198" s="18">
        <f>IF(AND($E1198="",$F1198=""),"",N($E1198)-N($F1198))</f>
        <v/>
      </c>
    </row>
    <row r="1199">
      <c r="A1199" s="15" t="n"/>
      <c r="B1199" s="16">
        <f>IF($A1199="","",TEXT($A1199,"mmm"))</f>
        <v/>
      </c>
      <c r="C1199" s="13" t="n"/>
      <c r="D1199" s="13" t="n"/>
      <c r="E1199" s="17" t="n"/>
      <c r="F1199" s="17" t="n"/>
      <c r="G1199" s="18">
        <f>IF(AND($E1199="",$F1199=""),"",N($E1199)-N($F1199))</f>
        <v/>
      </c>
    </row>
    <row r="1200">
      <c r="A1200" s="15" t="n"/>
      <c r="B1200" s="16">
        <f>IF($A1200="","",TEXT($A1200,"mmm"))</f>
        <v/>
      </c>
      <c r="C1200" s="13" t="n"/>
      <c r="D1200" s="13" t="n"/>
      <c r="E1200" s="17" t="n"/>
      <c r="F1200" s="17" t="n"/>
      <c r="G1200" s="18">
        <f>IF(AND($E1200="",$F1200=""),"",N($E1200)-N($F1200))</f>
        <v/>
      </c>
    </row>
    <row r="1201">
      <c r="A1201" s="15" t="n"/>
      <c r="B1201" s="16">
        <f>IF($A1201="","",TEXT($A1201,"mmm"))</f>
        <v/>
      </c>
      <c r="C1201" s="13" t="n"/>
      <c r="D1201" s="13" t="n"/>
      <c r="E1201" s="17" t="n"/>
      <c r="F1201" s="17" t="n"/>
      <c r="G1201" s="18">
        <f>IF(AND($E1201="",$F1201=""),"",N($E1201)-N($F1201))</f>
        <v/>
      </c>
    </row>
    <row r="1202">
      <c r="A1202" s="15" t="n"/>
      <c r="B1202" s="16">
        <f>IF($A1202="","",TEXT($A1202,"mmm"))</f>
        <v/>
      </c>
      <c r="C1202" s="13" t="n"/>
      <c r="D1202" s="13" t="n"/>
      <c r="E1202" s="17" t="n"/>
      <c r="F1202" s="17" t="n"/>
      <c r="G1202" s="18">
        <f>IF(AND($E1202="",$F1202=""),"",N($E1202)-N($F1202))</f>
        <v/>
      </c>
    </row>
    <row r="1203">
      <c r="A1203" s="15" t="n"/>
      <c r="B1203" s="16">
        <f>IF($A1203="","",TEXT($A1203,"mmm"))</f>
        <v/>
      </c>
      <c r="C1203" s="13" t="n"/>
      <c r="D1203" s="13" t="n"/>
      <c r="E1203" s="17" t="n"/>
      <c r="F1203" s="17" t="n"/>
      <c r="G1203" s="18">
        <f>IF(AND($E1203="",$F1203=""),"",N($E1203)-N($F1203))</f>
        <v/>
      </c>
    </row>
    <row r="1204">
      <c r="A1204" s="15" t="n"/>
      <c r="B1204" s="16">
        <f>IF($A1204="","",TEXT($A1204,"mmm"))</f>
        <v/>
      </c>
      <c r="C1204" s="13" t="n"/>
      <c r="D1204" s="13" t="n"/>
      <c r="E1204" s="17" t="n"/>
      <c r="F1204" s="17" t="n"/>
      <c r="G1204" s="18">
        <f>IF(AND($E1204="",$F1204=""),"",N($E1204)-N($F1204))</f>
        <v/>
      </c>
    </row>
  </sheetData>
  <dataValidations count="1">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C507 C508 C509 C510 C511 C512 C513 C514 C515 C516 C517 C518 C519 C520 C521 C522 C523 C524 C525 C526 C527 C528 C529 C530 C531 C532 C533 C534 C535 C536 C537 C538 C539 C540 C541 C542 C543 C544 C545 C546 C547 C548 C549 C550 C551 C552 C553 C554 C555 C556 C557 C558 C559 C560 C561 C562 C563 C564 C565 C566 C567 C568 C569 C570 C571 C572 C573 C574 C575 C576 C577 C578 C579 C580 C581 C582 C583 C584 C585 C586 C587 C588 C589 C590 C591 C592 C593 C594 C595 C596 C597 C598 C599 C600 C601 C602 C603 C604 C605 C606 C607 C608 C609 C610 C611 C612 C613 C614 C615 C616 C617 C618 C619 C620 C621 C622 C623 C624 C625 C626 C627 C628 C629 C630 C631 C632 C633 C634 C635 C636 C637 C638 C639 C640 C641 C642 C643 C644 C645 C646 C647 C648 C649 C650 C651 C652 C653 C654 C655 C656 C657 C658 C659 C660 C661 C662 C663 C664 C665 C666 C667 C668 C669 C670 C671 C672 C673 C674 C675 C676 C677 C678 C679 C680 C681 C682 C683 C684 C685 C686 C687 C688 C689 C690 C691 C692 C693 C694 C695 C696 C697 C698 C699 C700 C701 C702 C703 C704 C705 C706 C707 C708 C709 C710 C711 C712 C713 C714 C715 C716 C717 C718 C719 C720 C721 C722 C723 C724 C725 C726 C727 C728 C729 C730 C731 C732 C733 C734 C735 C736 C737 C738 C739 C740 C741 C742 C743 C744 C745 C746 C747 C748 C749 C750 C751 C752 C753 C754 C755 C756 C757 C758 C759 C760 C761 C762 C763 C764 C765 C766 C767 C768 C769 C770 C771 C772 C773 C774 C775 C776 C777 C778 C779 C780 C781 C782 C783 C784 C785 C786 C787 C788 C789 C790 C791 C792 C793 C794 C795 C796 C797 C798 C799 C800 C801 C802 C803 C804 C805 C806 C807 C808 C809 C810 C811 C812 C813 C814 C815 C816 C817 C818 C819 C820 C821 C822 C823 C824 C825 C826 C827 C828 C829 C830 C831 C832 C833 C834 C835 C836 C837 C838 C839 C840 C841 C842 C843 C844 C845 C846 C847 C848 C849 C850 C851 C852 C853 C854 C855 C856 C857 C858 C859 C860 C861 C862 C863 C864 C865 C866 C867 C868 C869 C870 C871 C872 C873 C874 C875 C876 C877 C878 C879 C880 C881 C882 C883 C884 C885 C886 C887 C888 C889 C890 C891 C892 C893 C894 C895 C896 C897 C898 C899 C900 C901 C902 C903 C904 C905 C906 C907 C908 C909 C910 C911 C912 C913 C914 C915 C916 C917 C918 C919 C920 C921 C922 C923 C924 C925 C926 C927 C928 C929 C930 C931 C932 C933 C934 C935 C936 C937 C938 C939 C940 C941 C942 C943 C944 C945 C946 C947 C948 C949 C950 C951 C952 C953 C954 C955 C956 C957 C958 C959 C960 C961 C962 C963 C964 C965 C966 C967 C968 C969 C970 C971 C972 C973 C974 C975 C976 C977 C978 C979 C980 C981 C982 C983 C984 C985 C986 C987 C988 C989 C990 C991 C992 C993 C994 C995 C996 C997 C998 C999 C1000 C1001 C1002 C1003 C1004 C1005 C1006 C1007 C1008 C1009 C1010 C1011 C1012 C1013 C1014 C1015 C1016 C1017 C1018 C1019 C1020 C1021 C1022 C1023 C1024 C1025 C1026 C1027 C1028 C1029 C1030 C1031 C1032 C1033 C1034 C1035 C1036 C1037 C1038 C1039 C1040 C1041 C1042 C1043 C1044 C1045 C1046 C1047 C1048 C1049 C1050 C1051 C1052 C1053 C1054 C1055 C1056 C1057 C1058 C1059 C1060 C1061 C1062 C1063 C1064 C1065 C1066 C1067 C1068 C1069 C1070 C1071 C1072 C1073 C1074 C1075 C1076 C1077 C1078 C1079 C1080 C1081 C1082 C1083 C1084 C1085 C1086 C1087 C1088 C1089 C1090 C1091 C1092 C1093 C1094 C1095 C1096 C1097 C1098 C1099 C1100 C1101 C1102 C1103 C1104 C1105 C1106 C1107 C1108 C1109 C1110 C1111 C1112 C1113 C1114 C1115 C1116 C1117 C1118 C1119 C1120 C1121 C1122 C1123 C1124 C1125 C1126 C1127 C1128 C1129 C1130 C1131 C1132 C1133 C1134 C1135 C1136 C1137 C1138 C1139 C1140 C1141 C1142 C1143 C1144 C1145 C1146 C1147 C1148 C1149 C1150 C1151 C1152 C1153 C1154 C1155 C1156 C1157 C1158 C1159 C1160 C1161 C1162 C1163 C1164 C1165 C1166 C1167 C1168 C1169 C1170 C1171 C1172 C1173 C1174 C1175 C1176 C1177 C1178 C1179 C1180 C1181 C1182 C1183 C1184 C1185 C1186 C1187 C1188 C1189 C1190 C1191 C1192 C1193 C1194 C1195 C1196 C1197 C1198 C1199 C1200 C1201 C1202 C1203 C1204" showDropDown="0" showInputMessage="0" showErrorMessage="0" allowBlank="1" type="list">
      <formula1>=Categories!$B$5:$B$42</formula1>
    </dataValidation>
  </dataValidations>
  <pageMargins left="0.75" right="0.75" top="1" bottom="1" header="0.5" footer="0.5"/>
</worksheet>
</file>

<file path=xl/worksheets/sheet4.xml><?xml version="1.0" encoding="utf-8"?>
<worksheet xmlns="http://schemas.openxmlformats.org/spreadsheetml/2006/main">
  <sheetPr>
    <tabColor rgb="0000B4A6"/>
    <outlinePr summaryBelow="1" summaryRight="1"/>
    <pageSetUpPr/>
  </sheetPr>
  <dimension ref="A1:P4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3" customWidth="1" min="14" max="14"/>
    <col width="13" customWidth="1" min="15" max="15"/>
    <col width="12" customWidth="1" min="16" max="16"/>
  </cols>
  <sheetData>
    <row r="1" ht="30" customHeight="1">
      <c r="A1" s="1" t="inlineStr">
        <is>
          <t>Budget vs Actual</t>
        </is>
      </c>
      <c r="B1" s="2" t="n"/>
      <c r="C1" s="2" t="n"/>
      <c r="D1" s="2" t="n"/>
      <c r="E1" s="2" t="n"/>
      <c r="F1" s="2" t="n"/>
      <c r="G1" s="2" t="n"/>
      <c r="H1" s="2" t="n"/>
      <c r="I1" s="2" t="n"/>
      <c r="J1" s="2" t="n"/>
      <c r="K1" s="2" t="n"/>
      <c r="L1" s="2" t="n"/>
      <c r="M1" s="2" t="n"/>
      <c r="N1" s="2" t="n"/>
      <c r="O1" s="2" t="n"/>
      <c r="P1" s="2" t="n"/>
    </row>
    <row r="2" ht="18" customHeight="1">
      <c r="A2" s="3" t="inlineStr">
        <is>
          <t>Type your monthly plan. Actuals pull straight from the Transactions tab.</t>
        </is>
      </c>
      <c r="B2" s="2" t="n"/>
      <c r="C2" s="2" t="n"/>
      <c r="D2" s="2" t="n"/>
      <c r="E2" s="2" t="n"/>
      <c r="F2" s="2" t="n"/>
      <c r="G2" s="2" t="n"/>
      <c r="H2" s="2" t="n"/>
      <c r="I2" s="2" t="n"/>
      <c r="J2" s="2" t="n"/>
      <c r="K2" s="2" t="n"/>
      <c r="L2" s="2" t="n"/>
      <c r="M2" s="2" t="n"/>
      <c r="N2" s="2" t="n"/>
      <c r="O2" s="2" t="n"/>
      <c r="P2" s="2" t="n"/>
    </row>
    <row r="4" ht="28" customHeight="1">
      <c r="A4" s="11" t="inlineStr">
        <is>
          <t>Category</t>
        </is>
      </c>
      <c r="B4" s="11" t="inlineStr">
        <is>
          <t>Jan</t>
        </is>
      </c>
      <c r="C4" s="11" t="inlineStr">
        <is>
          <t>Feb</t>
        </is>
      </c>
      <c r="D4" s="11" t="inlineStr">
        <is>
          <t>Mar</t>
        </is>
      </c>
      <c r="E4" s="11" t="inlineStr">
        <is>
          <t>Apr</t>
        </is>
      </c>
      <c r="F4" s="11" t="inlineStr">
        <is>
          <t>May</t>
        </is>
      </c>
      <c r="G4" s="11" t="inlineStr">
        <is>
          <t>Jun</t>
        </is>
      </c>
      <c r="H4" s="11" t="inlineStr">
        <is>
          <t>Jul</t>
        </is>
      </c>
      <c r="I4" s="11" t="inlineStr">
        <is>
          <t>Aug</t>
        </is>
      </c>
      <c r="J4" s="11" t="inlineStr">
        <is>
          <t>Sep</t>
        </is>
      </c>
      <c r="K4" s="11" t="inlineStr">
        <is>
          <t>Oct</t>
        </is>
      </c>
      <c r="L4" s="11" t="inlineStr">
        <is>
          <t>Nov</t>
        </is>
      </c>
      <c r="M4" s="11" t="inlineStr">
        <is>
          <t>Dec</t>
        </is>
      </c>
      <c r="N4" s="11" t="inlineStr">
        <is>
          <t>Budget Total</t>
        </is>
      </c>
      <c r="O4" s="11" t="inlineStr">
        <is>
          <t>Actual Total</t>
        </is>
      </c>
      <c r="P4" s="11" t="inlineStr">
        <is>
          <t>Variance</t>
        </is>
      </c>
    </row>
    <row r="5">
      <c r="A5" s="12">
        <f>Categories!B5</f>
        <v/>
      </c>
      <c r="B5" s="19" t="n">
        <v>0</v>
      </c>
      <c r="C5" s="19" t="n">
        <v>0</v>
      </c>
      <c r="D5" s="19" t="n">
        <v>0</v>
      </c>
      <c r="E5" s="19" t="n">
        <v>0</v>
      </c>
      <c r="F5" s="19" t="n">
        <v>0</v>
      </c>
      <c r="G5" s="19" t="n">
        <v>0</v>
      </c>
      <c r="H5" s="19" t="n">
        <v>0</v>
      </c>
      <c r="I5" s="19" t="n">
        <v>0</v>
      </c>
      <c r="J5" s="19" t="n">
        <v>0</v>
      </c>
      <c r="K5" s="19" t="n">
        <v>0</v>
      </c>
      <c r="L5" s="19" t="n">
        <v>0</v>
      </c>
      <c r="M5" s="19" t="n">
        <v>0</v>
      </c>
      <c r="N5" s="20">
        <f>SUM(B5:M5)</f>
        <v/>
      </c>
      <c r="O5" s="20">
        <f>SUMIFS(Transactions!$E$5:$E$1204,Transactions!$C$5:$C$1204,$A5)+SUMIFS(Transactions!$F$5:$F$1204,Transactions!$C$5:$C$1204,$A5)</f>
        <v/>
      </c>
      <c r="P5" s="21">
        <f>N5-O5</f>
        <v/>
      </c>
    </row>
    <row r="6">
      <c r="A6" s="12">
        <f>Categories!B6</f>
        <v/>
      </c>
      <c r="B6" s="19" t="n">
        <v>0</v>
      </c>
      <c r="C6" s="19" t="n">
        <v>0</v>
      </c>
      <c r="D6" s="19" t="n">
        <v>0</v>
      </c>
      <c r="E6" s="19" t="n">
        <v>0</v>
      </c>
      <c r="F6" s="19" t="n">
        <v>0</v>
      </c>
      <c r="G6" s="19" t="n">
        <v>0</v>
      </c>
      <c r="H6" s="19" t="n">
        <v>0</v>
      </c>
      <c r="I6" s="19" t="n">
        <v>0</v>
      </c>
      <c r="J6" s="19" t="n">
        <v>0</v>
      </c>
      <c r="K6" s="19" t="n">
        <v>0</v>
      </c>
      <c r="L6" s="19" t="n">
        <v>0</v>
      </c>
      <c r="M6" s="19" t="n">
        <v>0</v>
      </c>
      <c r="N6" s="20">
        <f>SUM(B6:M6)</f>
        <v/>
      </c>
      <c r="O6" s="20">
        <f>SUMIFS(Transactions!$E$5:$E$1204,Transactions!$C$5:$C$1204,$A6)+SUMIFS(Transactions!$F$5:$F$1204,Transactions!$C$5:$C$1204,$A6)</f>
        <v/>
      </c>
      <c r="P6" s="21">
        <f>N6-O6</f>
        <v/>
      </c>
    </row>
    <row r="7">
      <c r="A7" s="12">
        <f>Categories!B7</f>
        <v/>
      </c>
      <c r="B7" s="19" t="n">
        <v>0</v>
      </c>
      <c r="C7" s="19" t="n">
        <v>0</v>
      </c>
      <c r="D7" s="19" t="n">
        <v>0</v>
      </c>
      <c r="E7" s="19" t="n">
        <v>0</v>
      </c>
      <c r="F7" s="19" t="n">
        <v>0</v>
      </c>
      <c r="G7" s="19" t="n">
        <v>0</v>
      </c>
      <c r="H7" s="19" t="n">
        <v>0</v>
      </c>
      <c r="I7" s="19" t="n">
        <v>0</v>
      </c>
      <c r="J7" s="19" t="n">
        <v>0</v>
      </c>
      <c r="K7" s="19" t="n">
        <v>0</v>
      </c>
      <c r="L7" s="19" t="n">
        <v>0</v>
      </c>
      <c r="M7" s="19" t="n">
        <v>0</v>
      </c>
      <c r="N7" s="20">
        <f>SUM(B7:M7)</f>
        <v/>
      </c>
      <c r="O7" s="20">
        <f>SUMIFS(Transactions!$E$5:$E$1204,Transactions!$C$5:$C$1204,$A7)+SUMIFS(Transactions!$F$5:$F$1204,Transactions!$C$5:$C$1204,$A7)</f>
        <v/>
      </c>
      <c r="P7" s="21">
        <f>N7-O7</f>
        <v/>
      </c>
    </row>
    <row r="8">
      <c r="A8" s="12">
        <f>Categories!B8</f>
        <v/>
      </c>
      <c r="B8" s="19" t="n">
        <v>0</v>
      </c>
      <c r="C8" s="19" t="n">
        <v>0</v>
      </c>
      <c r="D8" s="19" t="n">
        <v>0</v>
      </c>
      <c r="E8" s="19" t="n">
        <v>0</v>
      </c>
      <c r="F8" s="19" t="n">
        <v>0</v>
      </c>
      <c r="G8" s="19" t="n">
        <v>0</v>
      </c>
      <c r="H8" s="19" t="n">
        <v>0</v>
      </c>
      <c r="I8" s="19" t="n">
        <v>0</v>
      </c>
      <c r="J8" s="19" t="n">
        <v>0</v>
      </c>
      <c r="K8" s="19" t="n">
        <v>0</v>
      </c>
      <c r="L8" s="19" t="n">
        <v>0</v>
      </c>
      <c r="M8" s="19" t="n">
        <v>0</v>
      </c>
      <c r="N8" s="20">
        <f>SUM(B8:M8)</f>
        <v/>
      </c>
      <c r="O8" s="20">
        <f>SUMIFS(Transactions!$E$5:$E$1204,Transactions!$C$5:$C$1204,$A8)+SUMIFS(Transactions!$F$5:$F$1204,Transactions!$C$5:$C$1204,$A8)</f>
        <v/>
      </c>
      <c r="P8" s="21">
        <f>N8-O8</f>
        <v/>
      </c>
    </row>
    <row r="9">
      <c r="A9" s="12">
        <f>Categories!B9</f>
        <v/>
      </c>
      <c r="B9" s="19" t="n">
        <v>0</v>
      </c>
      <c r="C9" s="19" t="n">
        <v>0</v>
      </c>
      <c r="D9" s="19" t="n">
        <v>0</v>
      </c>
      <c r="E9" s="19" t="n">
        <v>0</v>
      </c>
      <c r="F9" s="19" t="n">
        <v>0</v>
      </c>
      <c r="G9" s="19" t="n">
        <v>0</v>
      </c>
      <c r="H9" s="19" t="n">
        <v>0</v>
      </c>
      <c r="I9" s="19" t="n">
        <v>0</v>
      </c>
      <c r="J9" s="19" t="n">
        <v>0</v>
      </c>
      <c r="K9" s="19" t="n">
        <v>0</v>
      </c>
      <c r="L9" s="19" t="n">
        <v>0</v>
      </c>
      <c r="M9" s="19" t="n">
        <v>0</v>
      </c>
      <c r="N9" s="20">
        <f>SUM(B9:M9)</f>
        <v/>
      </c>
      <c r="O9" s="20">
        <f>SUMIFS(Transactions!$E$5:$E$1204,Transactions!$C$5:$C$1204,$A9)+SUMIFS(Transactions!$F$5:$F$1204,Transactions!$C$5:$C$1204,$A9)</f>
        <v/>
      </c>
      <c r="P9" s="21">
        <f>N9-O9</f>
        <v/>
      </c>
    </row>
    <row r="10">
      <c r="A10" s="12">
        <f>Categories!B10</f>
        <v/>
      </c>
      <c r="B10" s="19" t="n">
        <v>0</v>
      </c>
      <c r="C10" s="19" t="n">
        <v>0</v>
      </c>
      <c r="D10" s="19" t="n">
        <v>0</v>
      </c>
      <c r="E10" s="19" t="n">
        <v>0</v>
      </c>
      <c r="F10" s="19" t="n">
        <v>0</v>
      </c>
      <c r="G10" s="19" t="n">
        <v>0</v>
      </c>
      <c r="H10" s="19" t="n">
        <v>0</v>
      </c>
      <c r="I10" s="19" t="n">
        <v>0</v>
      </c>
      <c r="J10" s="19" t="n">
        <v>0</v>
      </c>
      <c r="K10" s="19" t="n">
        <v>0</v>
      </c>
      <c r="L10" s="19" t="n">
        <v>0</v>
      </c>
      <c r="M10" s="19" t="n">
        <v>0</v>
      </c>
      <c r="N10" s="20">
        <f>SUM(B10:M10)</f>
        <v/>
      </c>
      <c r="O10" s="20">
        <f>SUMIFS(Transactions!$E$5:$E$1204,Transactions!$C$5:$C$1204,$A10)+SUMIFS(Transactions!$F$5:$F$1204,Transactions!$C$5:$C$1204,$A10)</f>
        <v/>
      </c>
      <c r="P10" s="21">
        <f>N10-O10</f>
        <v/>
      </c>
    </row>
    <row r="11">
      <c r="A11" s="12">
        <f>Categories!B11</f>
        <v/>
      </c>
      <c r="B11" s="19" t="n">
        <v>0</v>
      </c>
      <c r="C11" s="19" t="n">
        <v>0</v>
      </c>
      <c r="D11" s="19" t="n">
        <v>0</v>
      </c>
      <c r="E11" s="19" t="n">
        <v>0</v>
      </c>
      <c r="F11" s="19" t="n">
        <v>0</v>
      </c>
      <c r="G11" s="19" t="n">
        <v>0</v>
      </c>
      <c r="H11" s="19" t="n">
        <v>0</v>
      </c>
      <c r="I11" s="19" t="n">
        <v>0</v>
      </c>
      <c r="J11" s="19" t="n">
        <v>0</v>
      </c>
      <c r="K11" s="19" t="n">
        <v>0</v>
      </c>
      <c r="L11" s="19" t="n">
        <v>0</v>
      </c>
      <c r="M11" s="19" t="n">
        <v>0</v>
      </c>
      <c r="N11" s="20">
        <f>SUM(B11:M11)</f>
        <v/>
      </c>
      <c r="O11" s="20">
        <f>SUMIFS(Transactions!$E$5:$E$1204,Transactions!$C$5:$C$1204,$A11)+SUMIFS(Transactions!$F$5:$F$1204,Transactions!$C$5:$C$1204,$A11)</f>
        <v/>
      </c>
      <c r="P11" s="21">
        <f>N11-O11</f>
        <v/>
      </c>
    </row>
    <row r="12">
      <c r="A12" s="12">
        <f>Categories!B12</f>
        <v/>
      </c>
      <c r="B12" s="19" t="n">
        <v>0</v>
      </c>
      <c r="C12" s="19" t="n">
        <v>0</v>
      </c>
      <c r="D12" s="19" t="n">
        <v>0</v>
      </c>
      <c r="E12" s="19" t="n">
        <v>0</v>
      </c>
      <c r="F12" s="19" t="n">
        <v>0</v>
      </c>
      <c r="G12" s="19" t="n">
        <v>0</v>
      </c>
      <c r="H12" s="19" t="n">
        <v>0</v>
      </c>
      <c r="I12" s="19" t="n">
        <v>0</v>
      </c>
      <c r="J12" s="19" t="n">
        <v>0</v>
      </c>
      <c r="K12" s="19" t="n">
        <v>0</v>
      </c>
      <c r="L12" s="19" t="n">
        <v>0</v>
      </c>
      <c r="M12" s="19" t="n">
        <v>0</v>
      </c>
      <c r="N12" s="20">
        <f>SUM(B12:M12)</f>
        <v/>
      </c>
      <c r="O12" s="20">
        <f>SUMIFS(Transactions!$E$5:$E$1204,Transactions!$C$5:$C$1204,$A12)+SUMIFS(Transactions!$F$5:$F$1204,Transactions!$C$5:$C$1204,$A12)</f>
        <v/>
      </c>
      <c r="P12" s="21">
        <f>N12-O12</f>
        <v/>
      </c>
    </row>
    <row r="13">
      <c r="A13" s="12">
        <f>Categories!B13</f>
        <v/>
      </c>
      <c r="B13" s="19" t="n">
        <v>0</v>
      </c>
      <c r="C13" s="19" t="n">
        <v>0</v>
      </c>
      <c r="D13" s="19" t="n">
        <v>0</v>
      </c>
      <c r="E13" s="19" t="n">
        <v>0</v>
      </c>
      <c r="F13" s="19" t="n">
        <v>0</v>
      </c>
      <c r="G13" s="19" t="n">
        <v>0</v>
      </c>
      <c r="H13" s="19" t="n">
        <v>0</v>
      </c>
      <c r="I13" s="19" t="n">
        <v>0</v>
      </c>
      <c r="J13" s="19" t="n">
        <v>0</v>
      </c>
      <c r="K13" s="19" t="n">
        <v>0</v>
      </c>
      <c r="L13" s="19" t="n">
        <v>0</v>
      </c>
      <c r="M13" s="19" t="n">
        <v>0</v>
      </c>
      <c r="N13" s="20">
        <f>SUM(B13:M13)</f>
        <v/>
      </c>
      <c r="O13" s="20">
        <f>SUMIFS(Transactions!$E$5:$E$1204,Transactions!$C$5:$C$1204,$A13)+SUMIFS(Transactions!$F$5:$F$1204,Transactions!$C$5:$C$1204,$A13)</f>
        <v/>
      </c>
      <c r="P13" s="21">
        <f>N13-O13</f>
        <v/>
      </c>
    </row>
    <row r="14">
      <c r="A14" s="12">
        <f>Categories!B14</f>
        <v/>
      </c>
      <c r="B14" s="19" t="n">
        <v>0</v>
      </c>
      <c r="C14" s="19" t="n">
        <v>0</v>
      </c>
      <c r="D14" s="19" t="n">
        <v>0</v>
      </c>
      <c r="E14" s="19" t="n">
        <v>0</v>
      </c>
      <c r="F14" s="19" t="n">
        <v>0</v>
      </c>
      <c r="G14" s="19" t="n">
        <v>0</v>
      </c>
      <c r="H14" s="19" t="n">
        <v>0</v>
      </c>
      <c r="I14" s="19" t="n">
        <v>0</v>
      </c>
      <c r="J14" s="19" t="n">
        <v>0</v>
      </c>
      <c r="K14" s="19" t="n">
        <v>0</v>
      </c>
      <c r="L14" s="19" t="n">
        <v>0</v>
      </c>
      <c r="M14" s="19" t="n">
        <v>0</v>
      </c>
      <c r="N14" s="20">
        <f>SUM(B14:M14)</f>
        <v/>
      </c>
      <c r="O14" s="20">
        <f>SUMIFS(Transactions!$E$5:$E$1204,Transactions!$C$5:$C$1204,$A14)+SUMIFS(Transactions!$F$5:$F$1204,Transactions!$C$5:$C$1204,$A14)</f>
        <v/>
      </c>
      <c r="P14" s="21">
        <f>N14-O14</f>
        <v/>
      </c>
    </row>
    <row r="15">
      <c r="A15" s="12">
        <f>Categories!B15</f>
        <v/>
      </c>
      <c r="B15" s="19" t="n">
        <v>0</v>
      </c>
      <c r="C15" s="19" t="n">
        <v>0</v>
      </c>
      <c r="D15" s="19" t="n">
        <v>0</v>
      </c>
      <c r="E15" s="19" t="n">
        <v>0</v>
      </c>
      <c r="F15" s="19" t="n">
        <v>0</v>
      </c>
      <c r="G15" s="19" t="n">
        <v>0</v>
      </c>
      <c r="H15" s="19" t="n">
        <v>0</v>
      </c>
      <c r="I15" s="19" t="n">
        <v>0</v>
      </c>
      <c r="J15" s="19" t="n">
        <v>0</v>
      </c>
      <c r="K15" s="19" t="n">
        <v>0</v>
      </c>
      <c r="L15" s="19" t="n">
        <v>0</v>
      </c>
      <c r="M15" s="19" t="n">
        <v>0</v>
      </c>
      <c r="N15" s="20">
        <f>SUM(B15:M15)</f>
        <v/>
      </c>
      <c r="O15" s="20">
        <f>SUMIFS(Transactions!$E$5:$E$1204,Transactions!$C$5:$C$1204,$A15)+SUMIFS(Transactions!$F$5:$F$1204,Transactions!$C$5:$C$1204,$A15)</f>
        <v/>
      </c>
      <c r="P15" s="21">
        <f>N15-O15</f>
        <v/>
      </c>
    </row>
    <row r="16">
      <c r="A16" s="12">
        <f>Categories!B16</f>
        <v/>
      </c>
      <c r="B16" s="19" t="n">
        <v>0</v>
      </c>
      <c r="C16" s="19" t="n">
        <v>0</v>
      </c>
      <c r="D16" s="19" t="n">
        <v>0</v>
      </c>
      <c r="E16" s="19" t="n">
        <v>0</v>
      </c>
      <c r="F16" s="19" t="n">
        <v>0</v>
      </c>
      <c r="G16" s="19" t="n">
        <v>0</v>
      </c>
      <c r="H16" s="19" t="n">
        <v>0</v>
      </c>
      <c r="I16" s="19" t="n">
        <v>0</v>
      </c>
      <c r="J16" s="19" t="n">
        <v>0</v>
      </c>
      <c r="K16" s="19" t="n">
        <v>0</v>
      </c>
      <c r="L16" s="19" t="n">
        <v>0</v>
      </c>
      <c r="M16" s="19" t="n">
        <v>0</v>
      </c>
      <c r="N16" s="20">
        <f>SUM(B16:M16)</f>
        <v/>
      </c>
      <c r="O16" s="20">
        <f>SUMIFS(Transactions!$E$5:$E$1204,Transactions!$C$5:$C$1204,$A16)+SUMIFS(Transactions!$F$5:$F$1204,Transactions!$C$5:$C$1204,$A16)</f>
        <v/>
      </c>
      <c r="P16" s="21">
        <f>N16-O16</f>
        <v/>
      </c>
    </row>
    <row r="17">
      <c r="A17" s="12">
        <f>Categories!B17</f>
        <v/>
      </c>
      <c r="B17" s="19" t="n">
        <v>0</v>
      </c>
      <c r="C17" s="19" t="n">
        <v>0</v>
      </c>
      <c r="D17" s="19" t="n">
        <v>0</v>
      </c>
      <c r="E17" s="19" t="n">
        <v>0</v>
      </c>
      <c r="F17" s="19" t="n">
        <v>0</v>
      </c>
      <c r="G17" s="19" t="n">
        <v>0</v>
      </c>
      <c r="H17" s="19" t="n">
        <v>0</v>
      </c>
      <c r="I17" s="19" t="n">
        <v>0</v>
      </c>
      <c r="J17" s="19" t="n">
        <v>0</v>
      </c>
      <c r="K17" s="19" t="n">
        <v>0</v>
      </c>
      <c r="L17" s="19" t="n">
        <v>0</v>
      </c>
      <c r="M17" s="19" t="n">
        <v>0</v>
      </c>
      <c r="N17" s="20">
        <f>SUM(B17:M17)</f>
        <v/>
      </c>
      <c r="O17" s="20">
        <f>SUMIFS(Transactions!$E$5:$E$1204,Transactions!$C$5:$C$1204,$A17)+SUMIFS(Transactions!$F$5:$F$1204,Transactions!$C$5:$C$1204,$A17)</f>
        <v/>
      </c>
      <c r="P17" s="21">
        <f>N17-O17</f>
        <v/>
      </c>
    </row>
    <row r="18">
      <c r="A18" s="12">
        <f>Categories!B18</f>
        <v/>
      </c>
      <c r="B18" s="19" t="n">
        <v>0</v>
      </c>
      <c r="C18" s="19" t="n">
        <v>0</v>
      </c>
      <c r="D18" s="19" t="n">
        <v>0</v>
      </c>
      <c r="E18" s="19" t="n">
        <v>0</v>
      </c>
      <c r="F18" s="19" t="n">
        <v>0</v>
      </c>
      <c r="G18" s="19" t="n">
        <v>0</v>
      </c>
      <c r="H18" s="19" t="n">
        <v>0</v>
      </c>
      <c r="I18" s="19" t="n">
        <v>0</v>
      </c>
      <c r="J18" s="19" t="n">
        <v>0</v>
      </c>
      <c r="K18" s="19" t="n">
        <v>0</v>
      </c>
      <c r="L18" s="19" t="n">
        <v>0</v>
      </c>
      <c r="M18" s="19" t="n">
        <v>0</v>
      </c>
      <c r="N18" s="20">
        <f>SUM(B18:M18)</f>
        <v/>
      </c>
      <c r="O18" s="20">
        <f>SUMIFS(Transactions!$E$5:$E$1204,Transactions!$C$5:$C$1204,$A18)+SUMIFS(Transactions!$F$5:$F$1204,Transactions!$C$5:$C$1204,$A18)</f>
        <v/>
      </c>
      <c r="P18" s="21">
        <f>N18-O18</f>
        <v/>
      </c>
    </row>
    <row r="19">
      <c r="A19" s="12">
        <f>Categories!B19</f>
        <v/>
      </c>
      <c r="B19" s="19" t="n">
        <v>0</v>
      </c>
      <c r="C19" s="19" t="n">
        <v>0</v>
      </c>
      <c r="D19" s="19" t="n">
        <v>0</v>
      </c>
      <c r="E19" s="19" t="n">
        <v>0</v>
      </c>
      <c r="F19" s="19" t="n">
        <v>0</v>
      </c>
      <c r="G19" s="19" t="n">
        <v>0</v>
      </c>
      <c r="H19" s="19" t="n">
        <v>0</v>
      </c>
      <c r="I19" s="19" t="n">
        <v>0</v>
      </c>
      <c r="J19" s="19" t="n">
        <v>0</v>
      </c>
      <c r="K19" s="19" t="n">
        <v>0</v>
      </c>
      <c r="L19" s="19" t="n">
        <v>0</v>
      </c>
      <c r="M19" s="19" t="n">
        <v>0</v>
      </c>
      <c r="N19" s="20">
        <f>SUM(B19:M19)</f>
        <v/>
      </c>
      <c r="O19" s="20">
        <f>SUMIFS(Transactions!$E$5:$E$1204,Transactions!$C$5:$C$1204,$A19)+SUMIFS(Transactions!$F$5:$F$1204,Transactions!$C$5:$C$1204,$A19)</f>
        <v/>
      </c>
      <c r="P19" s="21">
        <f>N19-O19</f>
        <v/>
      </c>
    </row>
    <row r="20">
      <c r="A20" s="12">
        <f>Categories!B20</f>
        <v/>
      </c>
      <c r="B20" s="19" t="n">
        <v>0</v>
      </c>
      <c r="C20" s="19" t="n">
        <v>0</v>
      </c>
      <c r="D20" s="19" t="n">
        <v>0</v>
      </c>
      <c r="E20" s="19" t="n">
        <v>0</v>
      </c>
      <c r="F20" s="19" t="n">
        <v>0</v>
      </c>
      <c r="G20" s="19" t="n">
        <v>0</v>
      </c>
      <c r="H20" s="19" t="n">
        <v>0</v>
      </c>
      <c r="I20" s="19" t="n">
        <v>0</v>
      </c>
      <c r="J20" s="19" t="n">
        <v>0</v>
      </c>
      <c r="K20" s="19" t="n">
        <v>0</v>
      </c>
      <c r="L20" s="19" t="n">
        <v>0</v>
      </c>
      <c r="M20" s="19" t="n">
        <v>0</v>
      </c>
      <c r="N20" s="20">
        <f>SUM(B20:M20)</f>
        <v/>
      </c>
      <c r="O20" s="20">
        <f>SUMIFS(Transactions!$E$5:$E$1204,Transactions!$C$5:$C$1204,$A20)+SUMIFS(Transactions!$F$5:$F$1204,Transactions!$C$5:$C$1204,$A20)</f>
        <v/>
      </c>
      <c r="P20" s="21">
        <f>N20-O20</f>
        <v/>
      </c>
    </row>
    <row r="21">
      <c r="A21" s="12">
        <f>Categories!B21</f>
        <v/>
      </c>
      <c r="B21" s="19" t="n">
        <v>0</v>
      </c>
      <c r="C21" s="19" t="n">
        <v>0</v>
      </c>
      <c r="D21" s="19" t="n">
        <v>0</v>
      </c>
      <c r="E21" s="19" t="n">
        <v>0</v>
      </c>
      <c r="F21" s="19" t="n">
        <v>0</v>
      </c>
      <c r="G21" s="19" t="n">
        <v>0</v>
      </c>
      <c r="H21" s="19" t="n">
        <v>0</v>
      </c>
      <c r="I21" s="19" t="n">
        <v>0</v>
      </c>
      <c r="J21" s="19" t="n">
        <v>0</v>
      </c>
      <c r="K21" s="19" t="n">
        <v>0</v>
      </c>
      <c r="L21" s="19" t="n">
        <v>0</v>
      </c>
      <c r="M21" s="19" t="n">
        <v>0</v>
      </c>
      <c r="N21" s="20">
        <f>SUM(B21:M21)</f>
        <v/>
      </c>
      <c r="O21" s="20">
        <f>SUMIFS(Transactions!$E$5:$E$1204,Transactions!$C$5:$C$1204,$A21)+SUMIFS(Transactions!$F$5:$F$1204,Transactions!$C$5:$C$1204,$A21)</f>
        <v/>
      </c>
      <c r="P21" s="21">
        <f>N21-O21</f>
        <v/>
      </c>
    </row>
    <row r="22">
      <c r="A22" s="12">
        <f>Categories!B22</f>
        <v/>
      </c>
      <c r="B22" s="19" t="n">
        <v>0</v>
      </c>
      <c r="C22" s="19" t="n">
        <v>0</v>
      </c>
      <c r="D22" s="19" t="n">
        <v>0</v>
      </c>
      <c r="E22" s="19" t="n">
        <v>0</v>
      </c>
      <c r="F22" s="19" t="n">
        <v>0</v>
      </c>
      <c r="G22" s="19" t="n">
        <v>0</v>
      </c>
      <c r="H22" s="19" t="n">
        <v>0</v>
      </c>
      <c r="I22" s="19" t="n">
        <v>0</v>
      </c>
      <c r="J22" s="19" t="n">
        <v>0</v>
      </c>
      <c r="K22" s="19" t="n">
        <v>0</v>
      </c>
      <c r="L22" s="19" t="n">
        <v>0</v>
      </c>
      <c r="M22" s="19" t="n">
        <v>0</v>
      </c>
      <c r="N22" s="20">
        <f>SUM(B22:M22)</f>
        <v/>
      </c>
      <c r="O22" s="20">
        <f>SUMIFS(Transactions!$E$5:$E$1204,Transactions!$C$5:$C$1204,$A22)+SUMIFS(Transactions!$F$5:$F$1204,Transactions!$C$5:$C$1204,$A22)</f>
        <v/>
      </c>
      <c r="P22" s="21">
        <f>N22-O22</f>
        <v/>
      </c>
    </row>
    <row r="23">
      <c r="A23" s="12">
        <f>Categories!B23</f>
        <v/>
      </c>
      <c r="B23" s="19" t="n">
        <v>0</v>
      </c>
      <c r="C23" s="19" t="n">
        <v>0</v>
      </c>
      <c r="D23" s="19" t="n">
        <v>0</v>
      </c>
      <c r="E23" s="19" t="n">
        <v>0</v>
      </c>
      <c r="F23" s="19" t="n">
        <v>0</v>
      </c>
      <c r="G23" s="19" t="n">
        <v>0</v>
      </c>
      <c r="H23" s="19" t="n">
        <v>0</v>
      </c>
      <c r="I23" s="19" t="n">
        <v>0</v>
      </c>
      <c r="J23" s="19" t="n">
        <v>0</v>
      </c>
      <c r="K23" s="19" t="n">
        <v>0</v>
      </c>
      <c r="L23" s="19" t="n">
        <v>0</v>
      </c>
      <c r="M23" s="19" t="n">
        <v>0</v>
      </c>
      <c r="N23" s="20">
        <f>SUM(B23:M23)</f>
        <v/>
      </c>
      <c r="O23" s="20">
        <f>SUMIFS(Transactions!$E$5:$E$1204,Transactions!$C$5:$C$1204,$A23)+SUMIFS(Transactions!$F$5:$F$1204,Transactions!$C$5:$C$1204,$A23)</f>
        <v/>
      </c>
      <c r="P23" s="21">
        <f>N23-O23</f>
        <v/>
      </c>
    </row>
    <row r="24">
      <c r="A24" s="12">
        <f>Categories!B24</f>
        <v/>
      </c>
      <c r="B24" s="19" t="n">
        <v>0</v>
      </c>
      <c r="C24" s="19" t="n">
        <v>0</v>
      </c>
      <c r="D24" s="19" t="n">
        <v>0</v>
      </c>
      <c r="E24" s="19" t="n">
        <v>0</v>
      </c>
      <c r="F24" s="19" t="n">
        <v>0</v>
      </c>
      <c r="G24" s="19" t="n">
        <v>0</v>
      </c>
      <c r="H24" s="19" t="n">
        <v>0</v>
      </c>
      <c r="I24" s="19" t="n">
        <v>0</v>
      </c>
      <c r="J24" s="19" t="n">
        <v>0</v>
      </c>
      <c r="K24" s="19" t="n">
        <v>0</v>
      </c>
      <c r="L24" s="19" t="n">
        <v>0</v>
      </c>
      <c r="M24" s="19" t="n">
        <v>0</v>
      </c>
      <c r="N24" s="20">
        <f>SUM(B24:M24)</f>
        <v/>
      </c>
      <c r="O24" s="20">
        <f>SUMIFS(Transactions!$E$5:$E$1204,Transactions!$C$5:$C$1204,$A24)+SUMIFS(Transactions!$F$5:$F$1204,Transactions!$C$5:$C$1204,$A24)</f>
        <v/>
      </c>
      <c r="P24" s="21">
        <f>N24-O24</f>
        <v/>
      </c>
    </row>
    <row r="25">
      <c r="A25" s="12">
        <f>Categories!B25</f>
        <v/>
      </c>
      <c r="B25" s="19" t="n">
        <v>0</v>
      </c>
      <c r="C25" s="19" t="n">
        <v>0</v>
      </c>
      <c r="D25" s="19" t="n">
        <v>0</v>
      </c>
      <c r="E25" s="19" t="n">
        <v>0</v>
      </c>
      <c r="F25" s="19" t="n">
        <v>0</v>
      </c>
      <c r="G25" s="19" t="n">
        <v>0</v>
      </c>
      <c r="H25" s="19" t="n">
        <v>0</v>
      </c>
      <c r="I25" s="19" t="n">
        <v>0</v>
      </c>
      <c r="J25" s="19" t="n">
        <v>0</v>
      </c>
      <c r="K25" s="19" t="n">
        <v>0</v>
      </c>
      <c r="L25" s="19" t="n">
        <v>0</v>
      </c>
      <c r="M25" s="19" t="n">
        <v>0</v>
      </c>
      <c r="N25" s="20">
        <f>SUM(B25:M25)</f>
        <v/>
      </c>
      <c r="O25" s="20">
        <f>SUMIFS(Transactions!$E$5:$E$1204,Transactions!$C$5:$C$1204,$A25)+SUMIFS(Transactions!$F$5:$F$1204,Transactions!$C$5:$C$1204,$A25)</f>
        <v/>
      </c>
      <c r="P25" s="21">
        <f>N25-O25</f>
        <v/>
      </c>
    </row>
    <row r="26">
      <c r="A26" s="12">
        <f>Categories!B26</f>
        <v/>
      </c>
      <c r="B26" s="19" t="n">
        <v>0</v>
      </c>
      <c r="C26" s="19" t="n">
        <v>0</v>
      </c>
      <c r="D26" s="19" t="n">
        <v>0</v>
      </c>
      <c r="E26" s="19" t="n">
        <v>0</v>
      </c>
      <c r="F26" s="19" t="n">
        <v>0</v>
      </c>
      <c r="G26" s="19" t="n">
        <v>0</v>
      </c>
      <c r="H26" s="19" t="n">
        <v>0</v>
      </c>
      <c r="I26" s="19" t="n">
        <v>0</v>
      </c>
      <c r="J26" s="19" t="n">
        <v>0</v>
      </c>
      <c r="K26" s="19" t="n">
        <v>0</v>
      </c>
      <c r="L26" s="19" t="n">
        <v>0</v>
      </c>
      <c r="M26" s="19" t="n">
        <v>0</v>
      </c>
      <c r="N26" s="20">
        <f>SUM(B26:M26)</f>
        <v/>
      </c>
      <c r="O26" s="20">
        <f>SUMIFS(Transactions!$E$5:$E$1204,Transactions!$C$5:$C$1204,$A26)+SUMIFS(Transactions!$F$5:$F$1204,Transactions!$C$5:$C$1204,$A26)</f>
        <v/>
      </c>
      <c r="P26" s="21">
        <f>N26-O26</f>
        <v/>
      </c>
    </row>
    <row r="27">
      <c r="A27" s="12">
        <f>Categories!B27</f>
        <v/>
      </c>
      <c r="B27" s="19" t="n">
        <v>0</v>
      </c>
      <c r="C27" s="19" t="n">
        <v>0</v>
      </c>
      <c r="D27" s="19" t="n">
        <v>0</v>
      </c>
      <c r="E27" s="19" t="n">
        <v>0</v>
      </c>
      <c r="F27" s="19" t="n">
        <v>0</v>
      </c>
      <c r="G27" s="19" t="n">
        <v>0</v>
      </c>
      <c r="H27" s="19" t="n">
        <v>0</v>
      </c>
      <c r="I27" s="19" t="n">
        <v>0</v>
      </c>
      <c r="J27" s="19" t="n">
        <v>0</v>
      </c>
      <c r="K27" s="19" t="n">
        <v>0</v>
      </c>
      <c r="L27" s="19" t="n">
        <v>0</v>
      </c>
      <c r="M27" s="19" t="n">
        <v>0</v>
      </c>
      <c r="N27" s="20">
        <f>SUM(B27:M27)</f>
        <v/>
      </c>
      <c r="O27" s="20">
        <f>SUMIFS(Transactions!$E$5:$E$1204,Transactions!$C$5:$C$1204,$A27)+SUMIFS(Transactions!$F$5:$F$1204,Transactions!$C$5:$C$1204,$A27)</f>
        <v/>
      </c>
      <c r="P27" s="21">
        <f>N27-O27</f>
        <v/>
      </c>
    </row>
    <row r="28">
      <c r="A28" s="12">
        <f>Categories!B28</f>
        <v/>
      </c>
      <c r="B28" s="19" t="n">
        <v>0</v>
      </c>
      <c r="C28" s="19" t="n">
        <v>0</v>
      </c>
      <c r="D28" s="19" t="n">
        <v>0</v>
      </c>
      <c r="E28" s="19" t="n">
        <v>0</v>
      </c>
      <c r="F28" s="19" t="n">
        <v>0</v>
      </c>
      <c r="G28" s="19" t="n">
        <v>0</v>
      </c>
      <c r="H28" s="19" t="n">
        <v>0</v>
      </c>
      <c r="I28" s="19" t="n">
        <v>0</v>
      </c>
      <c r="J28" s="19" t="n">
        <v>0</v>
      </c>
      <c r="K28" s="19" t="n">
        <v>0</v>
      </c>
      <c r="L28" s="19" t="n">
        <v>0</v>
      </c>
      <c r="M28" s="19" t="n">
        <v>0</v>
      </c>
      <c r="N28" s="20">
        <f>SUM(B28:M28)</f>
        <v/>
      </c>
      <c r="O28" s="20">
        <f>SUMIFS(Transactions!$E$5:$E$1204,Transactions!$C$5:$C$1204,$A28)+SUMIFS(Transactions!$F$5:$F$1204,Transactions!$C$5:$C$1204,$A28)</f>
        <v/>
      </c>
      <c r="P28" s="21">
        <f>N28-O28</f>
        <v/>
      </c>
    </row>
    <row r="29">
      <c r="A29" s="12">
        <f>Categories!B29</f>
        <v/>
      </c>
      <c r="B29" s="19" t="n">
        <v>0</v>
      </c>
      <c r="C29" s="19" t="n">
        <v>0</v>
      </c>
      <c r="D29" s="19" t="n">
        <v>0</v>
      </c>
      <c r="E29" s="19" t="n">
        <v>0</v>
      </c>
      <c r="F29" s="19" t="n">
        <v>0</v>
      </c>
      <c r="G29" s="19" t="n">
        <v>0</v>
      </c>
      <c r="H29" s="19" t="n">
        <v>0</v>
      </c>
      <c r="I29" s="19" t="n">
        <v>0</v>
      </c>
      <c r="J29" s="19" t="n">
        <v>0</v>
      </c>
      <c r="K29" s="19" t="n">
        <v>0</v>
      </c>
      <c r="L29" s="19" t="n">
        <v>0</v>
      </c>
      <c r="M29" s="19" t="n">
        <v>0</v>
      </c>
      <c r="N29" s="20">
        <f>SUM(B29:M29)</f>
        <v/>
      </c>
      <c r="O29" s="20">
        <f>SUMIFS(Transactions!$E$5:$E$1204,Transactions!$C$5:$C$1204,$A29)+SUMIFS(Transactions!$F$5:$F$1204,Transactions!$C$5:$C$1204,$A29)</f>
        <v/>
      </c>
      <c r="P29" s="21">
        <f>N29-O29</f>
        <v/>
      </c>
    </row>
    <row r="30">
      <c r="A30" s="12">
        <f>Categories!B30</f>
        <v/>
      </c>
      <c r="B30" s="19" t="n">
        <v>0</v>
      </c>
      <c r="C30" s="19" t="n">
        <v>0</v>
      </c>
      <c r="D30" s="19" t="n">
        <v>0</v>
      </c>
      <c r="E30" s="19" t="n">
        <v>0</v>
      </c>
      <c r="F30" s="19" t="n">
        <v>0</v>
      </c>
      <c r="G30" s="19" t="n">
        <v>0</v>
      </c>
      <c r="H30" s="19" t="n">
        <v>0</v>
      </c>
      <c r="I30" s="19" t="n">
        <v>0</v>
      </c>
      <c r="J30" s="19" t="n">
        <v>0</v>
      </c>
      <c r="K30" s="19" t="n">
        <v>0</v>
      </c>
      <c r="L30" s="19" t="n">
        <v>0</v>
      </c>
      <c r="M30" s="19" t="n">
        <v>0</v>
      </c>
      <c r="N30" s="20">
        <f>SUM(B30:M30)</f>
        <v/>
      </c>
      <c r="O30" s="20">
        <f>SUMIFS(Transactions!$E$5:$E$1204,Transactions!$C$5:$C$1204,$A30)+SUMIFS(Transactions!$F$5:$F$1204,Transactions!$C$5:$C$1204,$A30)</f>
        <v/>
      </c>
      <c r="P30" s="21">
        <f>N30-O30</f>
        <v/>
      </c>
    </row>
    <row r="31">
      <c r="A31" s="12">
        <f>Categories!B31</f>
        <v/>
      </c>
      <c r="B31" s="19" t="n">
        <v>0</v>
      </c>
      <c r="C31" s="19" t="n">
        <v>0</v>
      </c>
      <c r="D31" s="19" t="n">
        <v>0</v>
      </c>
      <c r="E31" s="19" t="n">
        <v>0</v>
      </c>
      <c r="F31" s="19" t="n">
        <v>0</v>
      </c>
      <c r="G31" s="19" t="n">
        <v>0</v>
      </c>
      <c r="H31" s="19" t="n">
        <v>0</v>
      </c>
      <c r="I31" s="19" t="n">
        <v>0</v>
      </c>
      <c r="J31" s="19" t="n">
        <v>0</v>
      </c>
      <c r="K31" s="19" t="n">
        <v>0</v>
      </c>
      <c r="L31" s="19" t="n">
        <v>0</v>
      </c>
      <c r="M31" s="19" t="n">
        <v>0</v>
      </c>
      <c r="N31" s="20">
        <f>SUM(B31:M31)</f>
        <v/>
      </c>
      <c r="O31" s="20">
        <f>SUMIFS(Transactions!$E$5:$E$1204,Transactions!$C$5:$C$1204,$A31)+SUMIFS(Transactions!$F$5:$F$1204,Transactions!$C$5:$C$1204,$A31)</f>
        <v/>
      </c>
      <c r="P31" s="21">
        <f>N31-O31</f>
        <v/>
      </c>
    </row>
    <row r="32">
      <c r="A32" s="12">
        <f>Categories!B32</f>
        <v/>
      </c>
      <c r="B32" s="19" t="n">
        <v>0</v>
      </c>
      <c r="C32" s="19" t="n">
        <v>0</v>
      </c>
      <c r="D32" s="19" t="n">
        <v>0</v>
      </c>
      <c r="E32" s="19" t="n">
        <v>0</v>
      </c>
      <c r="F32" s="19" t="n">
        <v>0</v>
      </c>
      <c r="G32" s="19" t="n">
        <v>0</v>
      </c>
      <c r="H32" s="19" t="n">
        <v>0</v>
      </c>
      <c r="I32" s="19" t="n">
        <v>0</v>
      </c>
      <c r="J32" s="19" t="n">
        <v>0</v>
      </c>
      <c r="K32" s="19" t="n">
        <v>0</v>
      </c>
      <c r="L32" s="19" t="n">
        <v>0</v>
      </c>
      <c r="M32" s="19" t="n">
        <v>0</v>
      </c>
      <c r="N32" s="20">
        <f>SUM(B32:M32)</f>
        <v/>
      </c>
      <c r="O32" s="20">
        <f>SUMIFS(Transactions!$E$5:$E$1204,Transactions!$C$5:$C$1204,$A32)+SUMIFS(Transactions!$F$5:$F$1204,Transactions!$C$5:$C$1204,$A32)</f>
        <v/>
      </c>
      <c r="P32" s="21">
        <f>N32-O32</f>
        <v/>
      </c>
    </row>
    <row r="33">
      <c r="A33" s="12">
        <f>Categories!B33</f>
        <v/>
      </c>
      <c r="B33" s="19" t="n">
        <v>0</v>
      </c>
      <c r="C33" s="19" t="n">
        <v>0</v>
      </c>
      <c r="D33" s="19" t="n">
        <v>0</v>
      </c>
      <c r="E33" s="19" t="n">
        <v>0</v>
      </c>
      <c r="F33" s="19" t="n">
        <v>0</v>
      </c>
      <c r="G33" s="19" t="n">
        <v>0</v>
      </c>
      <c r="H33" s="19" t="n">
        <v>0</v>
      </c>
      <c r="I33" s="19" t="n">
        <v>0</v>
      </c>
      <c r="J33" s="19" t="n">
        <v>0</v>
      </c>
      <c r="K33" s="19" t="n">
        <v>0</v>
      </c>
      <c r="L33" s="19" t="n">
        <v>0</v>
      </c>
      <c r="M33" s="19" t="n">
        <v>0</v>
      </c>
      <c r="N33" s="20">
        <f>SUM(B33:M33)</f>
        <v/>
      </c>
      <c r="O33" s="20">
        <f>SUMIFS(Transactions!$E$5:$E$1204,Transactions!$C$5:$C$1204,$A33)+SUMIFS(Transactions!$F$5:$F$1204,Transactions!$C$5:$C$1204,$A33)</f>
        <v/>
      </c>
      <c r="P33" s="21">
        <f>N33-O33</f>
        <v/>
      </c>
    </row>
    <row r="34">
      <c r="A34" s="12">
        <f>Categories!B34</f>
        <v/>
      </c>
      <c r="B34" s="19" t="n">
        <v>0</v>
      </c>
      <c r="C34" s="19" t="n">
        <v>0</v>
      </c>
      <c r="D34" s="19" t="n">
        <v>0</v>
      </c>
      <c r="E34" s="19" t="n">
        <v>0</v>
      </c>
      <c r="F34" s="19" t="n">
        <v>0</v>
      </c>
      <c r="G34" s="19" t="n">
        <v>0</v>
      </c>
      <c r="H34" s="19" t="n">
        <v>0</v>
      </c>
      <c r="I34" s="19" t="n">
        <v>0</v>
      </c>
      <c r="J34" s="19" t="n">
        <v>0</v>
      </c>
      <c r="K34" s="19" t="n">
        <v>0</v>
      </c>
      <c r="L34" s="19" t="n">
        <v>0</v>
      </c>
      <c r="M34" s="19" t="n">
        <v>0</v>
      </c>
      <c r="N34" s="20">
        <f>SUM(B34:M34)</f>
        <v/>
      </c>
      <c r="O34" s="20">
        <f>SUMIFS(Transactions!$E$5:$E$1204,Transactions!$C$5:$C$1204,$A34)+SUMIFS(Transactions!$F$5:$F$1204,Transactions!$C$5:$C$1204,$A34)</f>
        <v/>
      </c>
      <c r="P34" s="21">
        <f>N34-O34</f>
        <v/>
      </c>
    </row>
    <row r="35">
      <c r="A35" s="12">
        <f>Categories!B35</f>
        <v/>
      </c>
      <c r="B35" s="19" t="n">
        <v>0</v>
      </c>
      <c r="C35" s="19" t="n">
        <v>0</v>
      </c>
      <c r="D35" s="19" t="n">
        <v>0</v>
      </c>
      <c r="E35" s="19" t="n">
        <v>0</v>
      </c>
      <c r="F35" s="19" t="n">
        <v>0</v>
      </c>
      <c r="G35" s="19" t="n">
        <v>0</v>
      </c>
      <c r="H35" s="19" t="n">
        <v>0</v>
      </c>
      <c r="I35" s="19" t="n">
        <v>0</v>
      </c>
      <c r="J35" s="19" t="n">
        <v>0</v>
      </c>
      <c r="K35" s="19" t="n">
        <v>0</v>
      </c>
      <c r="L35" s="19" t="n">
        <v>0</v>
      </c>
      <c r="M35" s="19" t="n">
        <v>0</v>
      </c>
      <c r="N35" s="20">
        <f>SUM(B35:M35)</f>
        <v/>
      </c>
      <c r="O35" s="20">
        <f>SUMIFS(Transactions!$E$5:$E$1204,Transactions!$C$5:$C$1204,$A35)+SUMIFS(Transactions!$F$5:$F$1204,Transactions!$C$5:$C$1204,$A35)</f>
        <v/>
      </c>
      <c r="P35" s="21">
        <f>N35-O35</f>
        <v/>
      </c>
    </row>
    <row r="36">
      <c r="A36" s="12">
        <f>Categories!B36</f>
        <v/>
      </c>
      <c r="B36" s="19" t="n">
        <v>0</v>
      </c>
      <c r="C36" s="19" t="n">
        <v>0</v>
      </c>
      <c r="D36" s="19" t="n">
        <v>0</v>
      </c>
      <c r="E36" s="19" t="n">
        <v>0</v>
      </c>
      <c r="F36" s="19" t="n">
        <v>0</v>
      </c>
      <c r="G36" s="19" t="n">
        <v>0</v>
      </c>
      <c r="H36" s="19" t="n">
        <v>0</v>
      </c>
      <c r="I36" s="19" t="n">
        <v>0</v>
      </c>
      <c r="J36" s="19" t="n">
        <v>0</v>
      </c>
      <c r="K36" s="19" t="n">
        <v>0</v>
      </c>
      <c r="L36" s="19" t="n">
        <v>0</v>
      </c>
      <c r="M36" s="19" t="n">
        <v>0</v>
      </c>
      <c r="N36" s="20">
        <f>SUM(B36:M36)</f>
        <v/>
      </c>
      <c r="O36" s="20">
        <f>SUMIFS(Transactions!$E$5:$E$1204,Transactions!$C$5:$C$1204,$A36)+SUMIFS(Transactions!$F$5:$F$1204,Transactions!$C$5:$C$1204,$A36)</f>
        <v/>
      </c>
      <c r="P36" s="21">
        <f>N36-O36</f>
        <v/>
      </c>
    </row>
    <row r="37">
      <c r="A37" s="12">
        <f>Categories!B37</f>
        <v/>
      </c>
      <c r="B37" s="19" t="n">
        <v>0</v>
      </c>
      <c r="C37" s="19" t="n">
        <v>0</v>
      </c>
      <c r="D37" s="19" t="n">
        <v>0</v>
      </c>
      <c r="E37" s="19" t="n">
        <v>0</v>
      </c>
      <c r="F37" s="19" t="n">
        <v>0</v>
      </c>
      <c r="G37" s="19" t="n">
        <v>0</v>
      </c>
      <c r="H37" s="19" t="n">
        <v>0</v>
      </c>
      <c r="I37" s="19" t="n">
        <v>0</v>
      </c>
      <c r="J37" s="19" t="n">
        <v>0</v>
      </c>
      <c r="K37" s="19" t="n">
        <v>0</v>
      </c>
      <c r="L37" s="19" t="n">
        <v>0</v>
      </c>
      <c r="M37" s="19" t="n">
        <v>0</v>
      </c>
      <c r="N37" s="20">
        <f>SUM(B37:M37)</f>
        <v/>
      </c>
      <c r="O37" s="20">
        <f>SUMIFS(Transactions!$E$5:$E$1204,Transactions!$C$5:$C$1204,$A37)+SUMIFS(Transactions!$F$5:$F$1204,Transactions!$C$5:$C$1204,$A37)</f>
        <v/>
      </c>
      <c r="P37" s="21">
        <f>N37-O37</f>
        <v/>
      </c>
    </row>
    <row r="38">
      <c r="A38" s="12">
        <f>Categories!B38</f>
        <v/>
      </c>
      <c r="B38" s="19" t="n">
        <v>0</v>
      </c>
      <c r="C38" s="19" t="n">
        <v>0</v>
      </c>
      <c r="D38" s="19" t="n">
        <v>0</v>
      </c>
      <c r="E38" s="19" t="n">
        <v>0</v>
      </c>
      <c r="F38" s="19" t="n">
        <v>0</v>
      </c>
      <c r="G38" s="19" t="n">
        <v>0</v>
      </c>
      <c r="H38" s="19" t="n">
        <v>0</v>
      </c>
      <c r="I38" s="19" t="n">
        <v>0</v>
      </c>
      <c r="J38" s="19" t="n">
        <v>0</v>
      </c>
      <c r="K38" s="19" t="n">
        <v>0</v>
      </c>
      <c r="L38" s="19" t="n">
        <v>0</v>
      </c>
      <c r="M38" s="19" t="n">
        <v>0</v>
      </c>
      <c r="N38" s="20">
        <f>SUM(B38:M38)</f>
        <v/>
      </c>
      <c r="O38" s="20">
        <f>SUMIFS(Transactions!$E$5:$E$1204,Transactions!$C$5:$C$1204,$A38)+SUMIFS(Transactions!$F$5:$F$1204,Transactions!$C$5:$C$1204,$A38)</f>
        <v/>
      </c>
      <c r="P38" s="21">
        <f>N38-O38</f>
        <v/>
      </c>
    </row>
    <row r="39">
      <c r="A39" s="12">
        <f>Categories!B39</f>
        <v/>
      </c>
      <c r="B39" s="19" t="n">
        <v>0</v>
      </c>
      <c r="C39" s="19" t="n">
        <v>0</v>
      </c>
      <c r="D39" s="19" t="n">
        <v>0</v>
      </c>
      <c r="E39" s="19" t="n">
        <v>0</v>
      </c>
      <c r="F39" s="19" t="n">
        <v>0</v>
      </c>
      <c r="G39" s="19" t="n">
        <v>0</v>
      </c>
      <c r="H39" s="19" t="n">
        <v>0</v>
      </c>
      <c r="I39" s="19" t="n">
        <v>0</v>
      </c>
      <c r="J39" s="19" t="n">
        <v>0</v>
      </c>
      <c r="K39" s="19" t="n">
        <v>0</v>
      </c>
      <c r="L39" s="19" t="n">
        <v>0</v>
      </c>
      <c r="M39" s="19" t="n">
        <v>0</v>
      </c>
      <c r="N39" s="20">
        <f>SUM(B39:M39)</f>
        <v/>
      </c>
      <c r="O39" s="20">
        <f>SUMIFS(Transactions!$E$5:$E$1204,Transactions!$C$5:$C$1204,$A39)+SUMIFS(Transactions!$F$5:$F$1204,Transactions!$C$5:$C$1204,$A39)</f>
        <v/>
      </c>
      <c r="P39" s="21">
        <f>N39-O39</f>
        <v/>
      </c>
    </row>
    <row r="40">
      <c r="A40" s="12">
        <f>Categories!B40</f>
        <v/>
      </c>
      <c r="B40" s="19" t="n">
        <v>0</v>
      </c>
      <c r="C40" s="19" t="n">
        <v>0</v>
      </c>
      <c r="D40" s="19" t="n">
        <v>0</v>
      </c>
      <c r="E40" s="19" t="n">
        <v>0</v>
      </c>
      <c r="F40" s="19" t="n">
        <v>0</v>
      </c>
      <c r="G40" s="19" t="n">
        <v>0</v>
      </c>
      <c r="H40" s="19" t="n">
        <v>0</v>
      </c>
      <c r="I40" s="19" t="n">
        <v>0</v>
      </c>
      <c r="J40" s="19" t="n">
        <v>0</v>
      </c>
      <c r="K40" s="19" t="n">
        <v>0</v>
      </c>
      <c r="L40" s="19" t="n">
        <v>0</v>
      </c>
      <c r="M40" s="19" t="n">
        <v>0</v>
      </c>
      <c r="N40" s="20">
        <f>SUM(B40:M40)</f>
        <v/>
      </c>
      <c r="O40" s="20">
        <f>SUMIFS(Transactions!$E$5:$E$1204,Transactions!$C$5:$C$1204,$A40)+SUMIFS(Transactions!$F$5:$F$1204,Transactions!$C$5:$C$1204,$A40)</f>
        <v/>
      </c>
      <c r="P40" s="21">
        <f>N40-O40</f>
        <v/>
      </c>
    </row>
    <row r="41">
      <c r="A41" s="12">
        <f>Categories!B41</f>
        <v/>
      </c>
      <c r="B41" s="19" t="n">
        <v>0</v>
      </c>
      <c r="C41" s="19" t="n">
        <v>0</v>
      </c>
      <c r="D41" s="19" t="n">
        <v>0</v>
      </c>
      <c r="E41" s="19" t="n">
        <v>0</v>
      </c>
      <c r="F41" s="19" t="n">
        <v>0</v>
      </c>
      <c r="G41" s="19" t="n">
        <v>0</v>
      </c>
      <c r="H41" s="19" t="n">
        <v>0</v>
      </c>
      <c r="I41" s="19" t="n">
        <v>0</v>
      </c>
      <c r="J41" s="19" t="n">
        <v>0</v>
      </c>
      <c r="K41" s="19" t="n">
        <v>0</v>
      </c>
      <c r="L41" s="19" t="n">
        <v>0</v>
      </c>
      <c r="M41" s="19" t="n">
        <v>0</v>
      </c>
      <c r="N41" s="20">
        <f>SUM(B41:M41)</f>
        <v/>
      </c>
      <c r="O41" s="20">
        <f>SUMIFS(Transactions!$E$5:$E$1204,Transactions!$C$5:$C$1204,$A41)+SUMIFS(Transactions!$F$5:$F$1204,Transactions!$C$5:$C$1204,$A41)</f>
        <v/>
      </c>
      <c r="P41" s="21">
        <f>N41-O41</f>
        <v/>
      </c>
    </row>
    <row r="42">
      <c r="A42" s="12">
        <f>Categories!B42</f>
        <v/>
      </c>
      <c r="B42" s="19" t="n">
        <v>0</v>
      </c>
      <c r="C42" s="19" t="n">
        <v>0</v>
      </c>
      <c r="D42" s="19" t="n">
        <v>0</v>
      </c>
      <c r="E42" s="19" t="n">
        <v>0</v>
      </c>
      <c r="F42" s="19" t="n">
        <v>0</v>
      </c>
      <c r="G42" s="19" t="n">
        <v>0</v>
      </c>
      <c r="H42" s="19" t="n">
        <v>0</v>
      </c>
      <c r="I42" s="19" t="n">
        <v>0</v>
      </c>
      <c r="J42" s="19" t="n">
        <v>0</v>
      </c>
      <c r="K42" s="19" t="n">
        <v>0</v>
      </c>
      <c r="L42" s="19" t="n">
        <v>0</v>
      </c>
      <c r="M42" s="19" t="n">
        <v>0</v>
      </c>
      <c r="N42" s="20">
        <f>SUM(B42:M42)</f>
        <v/>
      </c>
      <c r="O42" s="20">
        <f>SUMIFS(Transactions!$E$5:$E$1204,Transactions!$C$5:$C$1204,$A42)+SUMIFS(Transactions!$F$5:$F$1204,Transactions!$C$5:$C$1204,$A42)</f>
        <v/>
      </c>
      <c r="P42" s="21">
        <f>N42-O42</f>
        <v/>
      </c>
    </row>
    <row r="43">
      <c r="A43" s="22" t="inlineStr">
        <is>
          <t>TOTAL</t>
        </is>
      </c>
      <c r="B43" s="20">
        <f>SUM(B5:B42)</f>
        <v/>
      </c>
      <c r="C43" s="20">
        <f>SUM(C5:C42)</f>
        <v/>
      </c>
      <c r="D43" s="20">
        <f>SUM(D5:D42)</f>
        <v/>
      </c>
      <c r="E43" s="20">
        <f>SUM(E5:E42)</f>
        <v/>
      </c>
      <c r="F43" s="20">
        <f>SUM(F5:F42)</f>
        <v/>
      </c>
      <c r="G43" s="20">
        <f>SUM(G5:G42)</f>
        <v/>
      </c>
      <c r="H43" s="20">
        <f>SUM(H5:H42)</f>
        <v/>
      </c>
      <c r="I43" s="20">
        <f>SUM(I5:I42)</f>
        <v/>
      </c>
      <c r="J43" s="20">
        <f>SUM(J5:J42)</f>
        <v/>
      </c>
      <c r="K43" s="20">
        <f>SUM(K5:K42)</f>
        <v/>
      </c>
      <c r="L43" s="20">
        <f>SUM(L5:L42)</f>
        <v/>
      </c>
      <c r="M43" s="20">
        <f>SUM(M5:M42)</f>
        <v/>
      </c>
      <c r="N43" s="20">
        <f>SUM(N5:N42)</f>
        <v/>
      </c>
      <c r="O43" s="20">
        <f>SUM(O5:O42)</f>
        <v/>
      </c>
      <c r="P43" s="20">
        <f>SUM(P5:P42)</f>
        <v/>
      </c>
    </row>
  </sheetData>
  <pageMargins left="0.75" right="0.75" top="1" bottom="1" header="0.5" footer="0.5"/>
</worksheet>
</file>

<file path=xl/worksheets/sheet5.xml><?xml version="1.0" encoding="utf-8"?>
<worksheet xmlns="http://schemas.openxmlformats.org/spreadsheetml/2006/main">
  <sheetPr>
    <tabColor rgb="0000B4A6"/>
    <outlinePr summaryBelow="1" summaryRight="1"/>
    <pageSetUpPr/>
  </sheetPr>
  <dimension ref="A1:F27"/>
  <sheetViews>
    <sheetView showGridLines="0" workbookViewId="0">
      <selection activeCell="A1" sqref="A1"/>
    </sheetView>
  </sheetViews>
  <sheetFormatPr baseColWidth="8" defaultRowHeight="15"/>
  <cols>
    <col width="26" customWidth="1" min="1" max="1"/>
    <col width="16" customWidth="1" min="2" max="2"/>
    <col width="16" customWidth="1" min="3" max="3"/>
    <col width="16" customWidth="1" min="4" max="4"/>
  </cols>
  <sheetData>
    <row r="1" ht="30" customHeight="1">
      <c r="A1" s="1" t="inlineStr">
        <is>
          <t>Dashboard</t>
        </is>
      </c>
      <c r="B1" s="2" t="n"/>
      <c r="C1" s="2" t="n"/>
      <c r="D1" s="2" t="n"/>
      <c r="E1" s="2" t="n"/>
      <c r="F1" s="2" t="n"/>
    </row>
    <row r="2" ht="18" customHeight="1">
      <c r="A2" s="3" t="inlineStr">
        <is>
          <t>Your year at a glance — updates itself as you log transactions.</t>
        </is>
      </c>
      <c r="B2" s="2" t="n"/>
      <c r="C2" s="2" t="n"/>
      <c r="D2" s="2" t="n"/>
      <c r="E2" s="2" t="n"/>
      <c r="F2" s="2" t="n"/>
    </row>
    <row r="4" ht="20" customHeight="1">
      <c r="A4" s="23" t="inlineStr">
        <is>
          <t>THE HEADLINE NUMBERS</t>
        </is>
      </c>
      <c r="B4" s="24" t="n"/>
      <c r="C4" s="24" t="n"/>
      <c r="D4" s="24" t="n"/>
      <c r="E4" s="24" t="n"/>
      <c r="F4" s="24" t="n"/>
    </row>
    <row r="6">
      <c r="A6" s="22" t="inlineStr">
        <is>
          <t>Total money in</t>
        </is>
      </c>
      <c r="B6" s="25">
        <f>SUM(Transactions!E5:E1204)</f>
        <v/>
      </c>
    </row>
    <row r="7">
      <c r="A7" s="22" t="inlineStr">
        <is>
          <t>Total money out</t>
        </is>
      </c>
      <c r="B7" s="25">
        <f>SUM(Transactions!F5:F1204)</f>
        <v/>
      </c>
    </row>
    <row r="8">
      <c r="A8" s="22" t="inlineStr">
        <is>
          <t>Net cash flow</t>
        </is>
      </c>
      <c r="B8" s="25">
        <f>B6-B7</f>
        <v/>
      </c>
    </row>
    <row r="9">
      <c r="A9" s="22" t="inlineStr">
        <is>
          <t>Total saved / invested</t>
        </is>
      </c>
      <c r="B9" s="25">
        <f>SUMIFS(Transactions!$F$5:$F$1204,Transactions!$C$5:$C$1204,"TFSA contribution")+SUMIFS(Transactions!$F$5:$F$1204,Transactions!$C$5:$C$1204,"RRSP contribution")+SUMIFS(Transactions!$F$5:$F$1204,Transactions!$C$5:$C$1204,"RESP contribution")+SUMIFS(Transactions!$F$5:$F$1204,Transactions!$C$5:$C$1204,"Emergency fund")</f>
        <v/>
      </c>
    </row>
    <row r="10">
      <c r="A10" s="22" t="inlineStr">
        <is>
          <t>Savings rate</t>
        </is>
      </c>
      <c r="B10" s="26">
        <f>IF(B6=0,"—",B9/B6)</f>
        <v/>
      </c>
    </row>
    <row r="11">
      <c r="A11" s="22" t="inlineStr">
        <is>
          <t>Budgeted total</t>
        </is>
      </c>
      <c r="B11" s="25">
        <f>'Budget vs Actual'!N43</f>
        <v/>
      </c>
    </row>
    <row r="12">
      <c r="A12" s="22" t="inlineStr">
        <is>
          <t>Actual total</t>
        </is>
      </c>
      <c r="B12" s="25">
        <f>'Budget vs Actual'!O43</f>
        <v/>
      </c>
    </row>
    <row r="14" ht="20" customHeight="1">
      <c r="A14" s="23" t="inlineStr">
        <is>
          <t>MONTH BY MONTH</t>
        </is>
      </c>
      <c r="B14" s="24" t="n"/>
      <c r="C14" s="24" t="n"/>
      <c r="D14" s="24" t="n"/>
      <c r="E14" s="24" t="n"/>
      <c r="F14" s="24" t="n"/>
    </row>
    <row r="15" ht="28" customHeight="1">
      <c r="A15" s="11" t="inlineStr">
        <is>
          <t>Month</t>
        </is>
      </c>
      <c r="B15" s="11" t="inlineStr">
        <is>
          <t>In</t>
        </is>
      </c>
      <c r="C15" s="11" t="inlineStr">
        <is>
          <t>Out</t>
        </is>
      </c>
      <c r="D15" s="11" t="inlineStr">
        <is>
          <t>Net</t>
        </is>
      </c>
    </row>
    <row r="16">
      <c r="A16" s="12" t="inlineStr">
        <is>
          <t>Jan</t>
        </is>
      </c>
      <c r="B16" s="18">
        <f>SUMIFS(Transactions!$E$5:$E$1204,Transactions!$B$5:$B$1204,$A16)</f>
        <v/>
      </c>
      <c r="C16" s="18">
        <f>SUMIFS(Transactions!$F$5:$F$1204,Transactions!$B$5:$B$1204,$A16)</f>
        <v/>
      </c>
      <c r="D16" s="27">
        <f>B16-C16</f>
        <v/>
      </c>
    </row>
    <row r="17">
      <c r="A17" s="12" t="inlineStr">
        <is>
          <t>Feb</t>
        </is>
      </c>
      <c r="B17" s="18">
        <f>SUMIFS(Transactions!$E$5:$E$1204,Transactions!$B$5:$B$1204,$A17)</f>
        <v/>
      </c>
      <c r="C17" s="18">
        <f>SUMIFS(Transactions!$F$5:$F$1204,Transactions!$B$5:$B$1204,$A17)</f>
        <v/>
      </c>
      <c r="D17" s="27">
        <f>B17-C17</f>
        <v/>
      </c>
    </row>
    <row r="18">
      <c r="A18" s="12" t="inlineStr">
        <is>
          <t>Mar</t>
        </is>
      </c>
      <c r="B18" s="18">
        <f>SUMIFS(Transactions!$E$5:$E$1204,Transactions!$B$5:$B$1204,$A18)</f>
        <v/>
      </c>
      <c r="C18" s="18">
        <f>SUMIFS(Transactions!$F$5:$F$1204,Transactions!$B$5:$B$1204,$A18)</f>
        <v/>
      </c>
      <c r="D18" s="27">
        <f>B18-C18</f>
        <v/>
      </c>
    </row>
    <row r="19">
      <c r="A19" s="12" t="inlineStr">
        <is>
          <t>Apr</t>
        </is>
      </c>
      <c r="B19" s="18">
        <f>SUMIFS(Transactions!$E$5:$E$1204,Transactions!$B$5:$B$1204,$A19)</f>
        <v/>
      </c>
      <c r="C19" s="18">
        <f>SUMIFS(Transactions!$F$5:$F$1204,Transactions!$B$5:$B$1204,$A19)</f>
        <v/>
      </c>
      <c r="D19" s="27">
        <f>B19-C19</f>
        <v/>
      </c>
    </row>
    <row r="20">
      <c r="A20" s="12" t="inlineStr">
        <is>
          <t>May</t>
        </is>
      </c>
      <c r="B20" s="18">
        <f>SUMIFS(Transactions!$E$5:$E$1204,Transactions!$B$5:$B$1204,$A20)</f>
        <v/>
      </c>
      <c r="C20" s="18">
        <f>SUMIFS(Transactions!$F$5:$F$1204,Transactions!$B$5:$B$1204,$A20)</f>
        <v/>
      </c>
      <c r="D20" s="27">
        <f>B20-C20</f>
        <v/>
      </c>
    </row>
    <row r="21">
      <c r="A21" s="12" t="inlineStr">
        <is>
          <t>Jun</t>
        </is>
      </c>
      <c r="B21" s="18">
        <f>SUMIFS(Transactions!$E$5:$E$1204,Transactions!$B$5:$B$1204,$A21)</f>
        <v/>
      </c>
      <c r="C21" s="18">
        <f>SUMIFS(Transactions!$F$5:$F$1204,Transactions!$B$5:$B$1204,$A21)</f>
        <v/>
      </c>
      <c r="D21" s="27">
        <f>B21-C21</f>
        <v/>
      </c>
    </row>
    <row r="22">
      <c r="A22" s="12" t="inlineStr">
        <is>
          <t>Jul</t>
        </is>
      </c>
      <c r="B22" s="18">
        <f>SUMIFS(Transactions!$E$5:$E$1204,Transactions!$B$5:$B$1204,$A22)</f>
        <v/>
      </c>
      <c r="C22" s="18">
        <f>SUMIFS(Transactions!$F$5:$F$1204,Transactions!$B$5:$B$1204,$A22)</f>
        <v/>
      </c>
      <c r="D22" s="27">
        <f>B22-C22</f>
        <v/>
      </c>
    </row>
    <row r="23">
      <c r="A23" s="12" t="inlineStr">
        <is>
          <t>Aug</t>
        </is>
      </c>
      <c r="B23" s="18">
        <f>SUMIFS(Transactions!$E$5:$E$1204,Transactions!$B$5:$B$1204,$A23)</f>
        <v/>
      </c>
      <c r="C23" s="18">
        <f>SUMIFS(Transactions!$F$5:$F$1204,Transactions!$B$5:$B$1204,$A23)</f>
        <v/>
      </c>
      <c r="D23" s="27">
        <f>B23-C23</f>
        <v/>
      </c>
    </row>
    <row r="24">
      <c r="A24" s="12" t="inlineStr">
        <is>
          <t>Sep</t>
        </is>
      </c>
      <c r="B24" s="18">
        <f>SUMIFS(Transactions!$E$5:$E$1204,Transactions!$B$5:$B$1204,$A24)</f>
        <v/>
      </c>
      <c r="C24" s="18">
        <f>SUMIFS(Transactions!$F$5:$F$1204,Transactions!$B$5:$B$1204,$A24)</f>
        <v/>
      </c>
      <c r="D24" s="27">
        <f>B24-C24</f>
        <v/>
      </c>
    </row>
    <row r="25">
      <c r="A25" s="12" t="inlineStr">
        <is>
          <t>Oct</t>
        </is>
      </c>
      <c r="B25" s="18">
        <f>SUMIFS(Transactions!$E$5:$E$1204,Transactions!$B$5:$B$1204,$A25)</f>
        <v/>
      </c>
      <c r="C25" s="18">
        <f>SUMIFS(Transactions!$F$5:$F$1204,Transactions!$B$5:$B$1204,$A25)</f>
        <v/>
      </c>
      <c r="D25" s="27">
        <f>B25-C25</f>
        <v/>
      </c>
    </row>
    <row r="26">
      <c r="A26" s="12" t="inlineStr">
        <is>
          <t>Nov</t>
        </is>
      </c>
      <c r="B26" s="18">
        <f>SUMIFS(Transactions!$E$5:$E$1204,Transactions!$B$5:$B$1204,$A26)</f>
        <v/>
      </c>
      <c r="C26" s="18">
        <f>SUMIFS(Transactions!$F$5:$F$1204,Transactions!$B$5:$B$1204,$A26)</f>
        <v/>
      </c>
      <c r="D26" s="27">
        <f>B26-C26</f>
        <v/>
      </c>
    </row>
    <row r="27">
      <c r="A27" s="12" t="inlineStr">
        <is>
          <t>Dec</t>
        </is>
      </c>
      <c r="B27" s="18">
        <f>SUMIFS(Transactions!$E$5:$E$1204,Transactions!$B$5:$B$1204,$A27)</f>
        <v/>
      </c>
      <c r="C27" s="18">
        <f>SUMIFS(Transactions!$F$5:$F$1204,Transactions!$B$5:$B$1204,$A27)</f>
        <v/>
      </c>
      <c r="D27" s="27">
        <f>B27-C27</f>
        <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2026-09-05T08:21:30Z</dcterms:created>
  <dcterms:modified xsi:type="dcterms:W3CDTF">2026-09-05T08:21:31Z</dcterms:modified>
</cp:coreProperties>
</file>