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ategories" sheetId="2" state="visible" r:id="rId2"/>
    <sheet name="Transactions" sheetId="3" state="visible" r:id="rId3"/>
    <sheet name="Budget vs Actual" sheetId="4" state="visible" r:id="rId4"/>
    <sheet name="Dashboard" sheetId="5" state="visible" r:id="rId5"/>
  </sheets>
  <definedNames/>
  <calcPr calcId="124519" fullCalcOnLoad="1"/>
</workbook>
</file>

<file path=xl/styles.xml><?xml version="1.0" encoding="utf-8"?>
<styleSheet xmlns="http://schemas.openxmlformats.org/spreadsheetml/2006/main">
  <numFmts count="3">
    <numFmt numFmtId="164" formatCode="yyyy-mm-dd"/>
    <numFmt numFmtId="165" formatCode="$#,##0.00"/>
    <numFmt numFmtId="166" formatCode="0.0%"/>
  </numFmts>
  <fonts count="13">
    <font>
      <name val="Calibri"/>
      <family val="2"/>
      <color theme="1"/>
      <sz val="11"/>
      <scheme val="minor"/>
    </font>
    <font>
      <name val="Calibri"/>
      <b val="1"/>
      <color rgb="00FFFFFF"/>
      <sz val="18"/>
    </font>
    <font>
      <name val="Calibri"/>
      <color rgb="00C9A84C"/>
      <sz val="10"/>
    </font>
    <font>
      <b val="1"/>
      <color rgb="00FFFFFF"/>
      <sz val="10"/>
    </font>
    <font>
      <b val="1"/>
      <color rgb="001A1A1A"/>
    </font>
    <font>
      <i val="1"/>
      <color rgb="008A97AB"/>
      <sz val="9"/>
    </font>
    <font/>
    <font>
      <b val="1"/>
      <color rgb="000D1F3C"/>
    </font>
    <font>
      <b val="1"/>
    </font>
    <font>
      <b val="1"/>
      <color rgb="00FFFFFF"/>
      <sz val="11"/>
    </font>
    <font>
      <b val="1"/>
      <color rgb="000D1F3C"/>
      <sz val="12"/>
    </font>
    <font>
      <color rgb="008A97AB"/>
      <sz val="9"/>
    </font>
    <font>
      <b val="1"/>
      <color rgb="000D1F3C"/>
      <sz val="10"/>
    </font>
  </fonts>
  <fills count="7">
    <fill>
      <patternFill/>
    </fill>
    <fill>
      <patternFill patternType="gray125"/>
    </fill>
    <fill>
      <patternFill patternType="solid">
        <fgColor rgb="000A1628"/>
      </patternFill>
    </fill>
    <fill>
      <patternFill patternType="solid">
        <fgColor rgb="0000B4A6"/>
      </patternFill>
    </fill>
    <fill>
      <patternFill patternType="solid">
        <fgColor rgb="00FFF7DC"/>
      </patternFill>
    </fill>
    <fill>
      <patternFill patternType="solid">
        <fgColor rgb="00EDF1F6"/>
      </patternFill>
    </fill>
    <fill>
      <patternFill patternType="solid">
        <fgColor rgb="000D1F3C"/>
      </patternFill>
    </fill>
  </fills>
  <borders count="2">
    <border>
      <left/>
      <right/>
      <top/>
      <bottom/>
      <diagonal/>
    </border>
    <border>
      <left style="thin">
        <color rgb="00C7D0DB"/>
      </left>
      <right style="thin">
        <color rgb="00C7D0DB"/>
      </right>
      <top style="thin">
        <color rgb="00C7D0DB"/>
      </top>
      <bottom style="thin">
        <color rgb="00C7D0DB"/>
      </bottom>
    </border>
  </borders>
  <cellStyleXfs count="1">
    <xf numFmtId="0" fontId="0" fillId="0" borderId="0"/>
  </cellStyleXfs>
  <cellXfs count="32">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10" fillId="0" borderId="0" pivotButton="0" quotePrefix="0" xfId="0"/>
    <xf numFmtId="0" fontId="0" fillId="0" borderId="0" applyAlignment="1" pivotButton="0" quotePrefix="0" xfId="0">
      <alignment wrapText="1"/>
    </xf>
    <xf numFmtId="0" fontId="0" fillId="4" borderId="0" pivotButton="0" quotePrefix="0" xfId="0"/>
    <xf numFmtId="0" fontId="0" fillId="5" borderId="0" pivotButton="0" quotePrefix="0" xfId="0"/>
    <xf numFmtId="0" fontId="11" fillId="0" borderId="0" applyAlignment="1" pivotButton="0" quotePrefix="0" xfId="0">
      <alignment vertical="top" wrapText="1"/>
    </xf>
    <xf numFmtId="0" fontId="12" fillId="0" borderId="0" pivotButton="0" quotePrefix="0" xfId="0"/>
    <xf numFmtId="0" fontId="11" fillId="0" borderId="0" pivotButton="0" quotePrefix="0" xfId="0"/>
    <xf numFmtId="0" fontId="3" fillId="3" borderId="1" applyAlignment="1" pivotButton="0" quotePrefix="0" xfId="0">
      <alignment horizontal="center" vertical="center" wrapText="1"/>
    </xf>
    <xf numFmtId="0" fontId="0" fillId="0" borderId="1" pivotButton="0" quotePrefix="0" xfId="0"/>
    <xf numFmtId="0" fontId="4" fillId="4" borderId="1" pivotButton="0" quotePrefix="0" xfId="0"/>
    <xf numFmtId="0" fontId="5" fillId="0" borderId="0" pivotButton="0" quotePrefix="0" xfId="0"/>
    <xf numFmtId="164" fontId="4" fillId="4" borderId="1" pivotButton="0" quotePrefix="0" xfId="0"/>
    <xf numFmtId="0" fontId="6" fillId="5" borderId="1" pivotButton="0" quotePrefix="0" xfId="0"/>
    <xf numFmtId="1" fontId="6" fillId="5" borderId="1" pivotButton="0" quotePrefix="0" xfId="0"/>
    <xf numFmtId="4" fontId="4" fillId="4" borderId="1" pivotButton="0" quotePrefix="0" xfId="0"/>
    <xf numFmtId="4" fontId="6" fillId="5" borderId="1" pivotButton="0" quotePrefix="0" xfId="0"/>
    <xf numFmtId="0" fontId="7" fillId="0" borderId="0" pivotButton="0" quotePrefix="0" xfId="0"/>
    <xf numFmtId="1" fontId="4" fillId="4" borderId="1" pivotButton="0" quotePrefix="0" xfId="0"/>
    <xf numFmtId="3" fontId="4" fillId="4" borderId="1" pivotButton="0" quotePrefix="0" xfId="0"/>
    <xf numFmtId="3" fontId="8" fillId="5" borderId="1" pivotButton="0" quotePrefix="0" xfId="0"/>
    <xf numFmtId="3" fontId="6" fillId="5" borderId="1" pivotButton="0" quotePrefix="0" xfId="0"/>
    <xf numFmtId="0" fontId="8" fillId="0" borderId="0" pivotButton="0" quotePrefix="0" xfId="0"/>
    <xf numFmtId="1" fontId="8" fillId="5" borderId="1" pivotButton="0" quotePrefix="0" xfId="0"/>
    <xf numFmtId="0" fontId="9" fillId="6" borderId="0" pivotButton="0" quotePrefix="0" xfId="0"/>
    <xf numFmtId="0" fontId="0" fillId="6" borderId="0" pivotButton="0" quotePrefix="0" xfId="0"/>
    <xf numFmtId="165" fontId="8" fillId="5" borderId="1" pivotButton="0" quotePrefix="0" xfId="0"/>
    <xf numFmtId="166" fontId="8" fillId="5" borderId="1" pivotButton="0" quotePrefix="0" xfId="0"/>
    <xf numFmtId="4" fontId="8"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Money in vs money out by month</a:t>
            </a:r>
          </a:p>
        </rich>
      </tx>
    </title>
    <plotArea>
      <barChart>
        <barDir val="col"/>
        <grouping val="clustered"/>
        <ser>
          <idx val="0"/>
          <order val="0"/>
          <tx>
            <strRef>
              <f>'Dashboard'!B15</f>
            </strRef>
          </tx>
          <spPr>
            <a:ln>
              <a:prstDash val="solid"/>
            </a:ln>
          </spPr>
          <cat>
            <numRef>
              <f>'Dashboard'!$A$16:$A$27</f>
            </numRef>
          </cat>
          <val>
            <numRef>
              <f>'Dashboard'!$B$16:$B$27</f>
            </numRef>
          </val>
        </ser>
        <ser>
          <idx val="1"/>
          <order val="1"/>
          <tx>
            <strRef>
              <f>'Dashboard'!C15</f>
            </strRef>
          </tx>
          <spPr>
            <a:ln>
              <a:prstDash val="solid"/>
            </a:ln>
          </spPr>
          <cat>
            <numRef>
              <f>'Dashboard'!$A$16:$A$27</f>
            </numRef>
          </cat>
          <val>
            <numRef>
              <f>'Dashboard'!$C$16:$C$27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5</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C9A84C"/>
    <outlinePr summaryBelow="1" summaryRight="1"/>
    <pageSetUpPr/>
  </sheetPr>
  <dimension ref="A1:C26"/>
  <sheetViews>
    <sheetView showGridLines="0" workbookViewId="0">
      <selection activeCell="A1" sqref="A1"/>
    </sheetView>
  </sheetViews>
  <sheetFormatPr baseColWidth="8" defaultRowHeight="15"/>
  <cols>
    <col width="4" customWidth="1" min="1" max="1"/>
    <col width="100" customWidth="1" min="2" max="2"/>
  </cols>
  <sheetData>
    <row r="1" ht="30" customHeight="1">
      <c r="A1" s="1" t="inlineStr">
        <is>
          <t>Canadian Budget &amp; Cash-Flow Tracker</t>
        </is>
      </c>
      <c r="B1" s="2" t="n"/>
      <c r="C1" s="2" t="n"/>
    </row>
    <row r="2" ht="18" customHeight="1">
      <c r="A2" s="3" t="inlineStr">
        <is>
          <t>Built by a Canadian personal banker. Track every dollar, see your real savings rate.</t>
        </is>
      </c>
      <c r="B2" s="2" t="n"/>
      <c r="C2" s="2" t="n"/>
    </row>
    <row r="4">
      <c r="B4" s="4" t="inlineStr">
        <is>
          <t>WHAT'S INSIDE</t>
        </is>
      </c>
    </row>
    <row r="5">
      <c r="B5" s="5" t="inlineStr">
        <is>
          <t>•  Start Here — this page.</t>
        </is>
      </c>
    </row>
    <row r="6">
      <c r="B6" s="5" t="inlineStr">
        <is>
          <t>•  Categories — 38 Canadian budget categories plus 12 spare slots, all pre-wired.</t>
        </is>
      </c>
    </row>
    <row r="7">
      <c r="B7" s="5" t="inlineStr">
        <is>
          <t>•  Transactions — 1,200-row logbook with a drop-down category picker.</t>
        </is>
      </c>
    </row>
    <row r="8">
      <c r="B8" s="5" t="inlineStr">
        <is>
          <t>•  Budget vs Actual — 12-month plan against real spending, filtered to one budget year.</t>
        </is>
      </c>
    </row>
    <row r="9">
      <c r="B9" s="5" t="inlineStr">
        <is>
          <t>•  Dashboard — income, spending, net cash flow, savings rate and a monthly chart.</t>
        </is>
      </c>
    </row>
    <row r="11">
      <c r="B11" s="4" t="inlineStr">
        <is>
          <t>HOW TO USE IT</t>
        </is>
      </c>
    </row>
    <row r="12">
      <c r="B12" s="5" t="inlineStr">
        <is>
          <t>1.  Open the Categories tab and rename anything that does not fit your life. Spare blank rows are waiting at the bottom.</t>
        </is>
      </c>
    </row>
    <row r="13">
      <c r="B13" s="5" t="inlineStr">
        <is>
          <t>2.  Go to Budget vs Actual, set the budget year in the yellow cell at the top, and type what you PLAN to spend each month.</t>
        </is>
      </c>
    </row>
    <row r="14">
      <c r="B14" s="5" t="inlineStr">
        <is>
          <t>3.  Log spending on the Transactions tab — date, category, money in or money out.</t>
        </is>
      </c>
    </row>
    <row r="15">
      <c r="B15" s="5" t="inlineStr">
        <is>
          <t>4.  The Dashboard and the Actual columns update themselves. Nothing else to do.</t>
        </is>
      </c>
    </row>
    <row r="16">
      <c r="B16" s="5" t="inlineStr">
        <is>
          <t>5.  Keep several years in the same file: change the budget year and every total follows it.</t>
        </is>
      </c>
    </row>
    <row r="18">
      <c r="B18" s="4" t="inlineStr">
        <is>
          <t>COLOUR KEY</t>
        </is>
      </c>
    </row>
    <row r="19">
      <c r="B19" s="6" t="inlineStr">
        <is>
          <t>Yellow cells = you type here.</t>
        </is>
      </c>
    </row>
    <row r="20">
      <c r="B20" s="7" t="inlineStr">
        <is>
          <t>Grey cells = formulas. Do not overwrite them.</t>
        </is>
      </c>
    </row>
    <row r="22" ht="46" customHeight="1">
      <c r="B22" s="8" t="inlineStr">
        <is>
          <t>LICENSE: Single-user personal/business licence. You may use and edit this file for yourself or your own business. You may NOT resell, redistribute, share, or publish this file or any edited version of it. All rights reserved.</t>
        </is>
      </c>
    </row>
    <row r="23" ht="46" customHeight="1">
      <c r="B23" s="8" t="inlineStr">
        <is>
          <t>DISCLAIMER: This template is an educational planning tool only. It is not financial, tax, investment, or legal advice. Figures such as contribution limits and tax rates change — always confirm current numbers with the CRA or a licensed advisor before acting on any output.</t>
        </is>
      </c>
    </row>
    <row r="25">
      <c r="B25" s="9" t="inlineStr">
        <is>
          <t>Created by Kartik Joshi, MBA — Financial Analyst &amp; Banking Professional</t>
        </is>
      </c>
    </row>
    <row r="26">
      <c r="B26" s="10" t="inlineStr">
        <is>
          <t>Questions or a problem with the file? Message me through Etsy and I will help.</t>
        </is>
      </c>
    </row>
  </sheetData>
  <pageMargins left="0.75" right="0.75" top="1" bottom="1" header="0.5" footer="0.5"/>
</worksheet>
</file>

<file path=xl/worksheets/sheet2.xml><?xml version="1.0" encoding="utf-8"?>
<worksheet xmlns="http://schemas.openxmlformats.org/spreadsheetml/2006/main">
  <sheetPr>
    <tabColor rgb="0000B4A6"/>
    <outlinePr summaryBelow="1" summaryRight="1"/>
    <pageSetUpPr/>
  </sheetPr>
  <dimension ref="A1:D58"/>
  <sheetViews>
    <sheetView showGridLines="0" workbookViewId="0">
      <selection activeCell="A1" sqref="A1"/>
    </sheetView>
  </sheetViews>
  <sheetFormatPr baseColWidth="8" defaultRowHeight="15"/>
  <cols>
    <col width="16" customWidth="1" min="1" max="1"/>
    <col width="40" customWidth="1" min="2" max="2"/>
    <col width="14" customWidth="1" min="3" max="3"/>
  </cols>
  <sheetData>
    <row r="1" ht="30" customHeight="1">
      <c r="A1" s="1" t="inlineStr">
        <is>
          <t>Categories</t>
        </is>
      </c>
      <c r="B1" s="2" t="n"/>
      <c r="C1" s="2" t="n"/>
      <c r="D1" s="2" t="n"/>
    </row>
    <row r="2" ht="18" customHeight="1">
      <c r="A2" s="3" t="inlineStr">
        <is>
          <t>Rename any row to match your life, or fill in the spare rows at the bottom.</t>
        </is>
      </c>
      <c r="B2" s="2" t="n"/>
      <c r="C2" s="2" t="n"/>
      <c r="D2" s="2" t="n"/>
    </row>
    <row r="4" ht="28" customHeight="1">
      <c r="A4" s="11" t="inlineStr">
        <is>
          <t>Group</t>
        </is>
      </c>
      <c r="B4" s="11" t="inlineStr">
        <is>
          <t>Category</t>
        </is>
      </c>
      <c r="C4" s="11" t="inlineStr">
        <is>
          <t>Type</t>
        </is>
      </c>
    </row>
    <row r="5">
      <c r="A5" s="12" t="inlineStr">
        <is>
          <t>Income</t>
        </is>
      </c>
      <c r="B5" s="13" t="inlineStr">
        <is>
          <t>Employment income</t>
        </is>
      </c>
      <c r="C5" s="12" t="inlineStr">
        <is>
          <t>Income</t>
        </is>
      </c>
    </row>
    <row r="6">
      <c r="A6" s="12" t="inlineStr">
        <is>
          <t>Income</t>
        </is>
      </c>
      <c r="B6" s="13" t="inlineStr">
        <is>
          <t>Self-employment / side income</t>
        </is>
      </c>
      <c r="C6" s="12" t="inlineStr">
        <is>
          <t>Income</t>
        </is>
      </c>
    </row>
    <row r="7">
      <c r="A7" s="12" t="inlineStr">
        <is>
          <t>Income</t>
        </is>
      </c>
      <c r="B7" s="13" t="inlineStr">
        <is>
          <t>Government benefits (CCB, GST/HST credit)</t>
        </is>
      </c>
      <c r="C7" s="12" t="inlineStr">
        <is>
          <t>Income</t>
        </is>
      </c>
    </row>
    <row r="8">
      <c r="A8" s="12" t="inlineStr">
        <is>
          <t>Income</t>
        </is>
      </c>
      <c r="B8" s="13" t="inlineStr">
        <is>
          <t>Investment / other income</t>
        </is>
      </c>
      <c r="C8" s="12" t="inlineStr">
        <is>
          <t>Income</t>
        </is>
      </c>
    </row>
    <row r="9">
      <c r="A9" s="12" t="inlineStr">
        <is>
          <t>Housing</t>
        </is>
      </c>
      <c r="B9" s="13" t="inlineStr">
        <is>
          <t>Rent or mortgage payment</t>
        </is>
      </c>
      <c r="C9" s="12" t="inlineStr">
        <is>
          <t>Expense</t>
        </is>
      </c>
    </row>
    <row r="10">
      <c r="A10" s="12" t="inlineStr">
        <is>
          <t>Housing</t>
        </is>
      </c>
      <c r="B10" s="13" t="inlineStr">
        <is>
          <t>Property tax</t>
        </is>
      </c>
      <c r="C10" s="12" t="inlineStr">
        <is>
          <t>Expense</t>
        </is>
      </c>
    </row>
    <row r="11">
      <c r="A11" s="12" t="inlineStr">
        <is>
          <t>Housing</t>
        </is>
      </c>
      <c r="B11" s="13" t="inlineStr">
        <is>
          <t>Home / tenant insurance</t>
        </is>
      </c>
      <c r="C11" s="12" t="inlineStr">
        <is>
          <t>Expense</t>
        </is>
      </c>
    </row>
    <row r="12">
      <c r="A12" s="12" t="inlineStr">
        <is>
          <t>Housing</t>
        </is>
      </c>
      <c r="B12" s="13" t="inlineStr">
        <is>
          <t>Utilities (hydro, gas, water)</t>
        </is>
      </c>
      <c r="C12" s="12" t="inlineStr">
        <is>
          <t>Expense</t>
        </is>
      </c>
    </row>
    <row r="13">
      <c r="A13" s="12" t="inlineStr">
        <is>
          <t>Housing</t>
        </is>
      </c>
      <c r="B13" s="13" t="inlineStr">
        <is>
          <t>Internet / phone</t>
        </is>
      </c>
      <c r="C13" s="12" t="inlineStr">
        <is>
          <t>Expense</t>
        </is>
      </c>
    </row>
    <row r="14">
      <c r="A14" s="12" t="inlineStr">
        <is>
          <t>Housing</t>
        </is>
      </c>
      <c r="B14" s="13" t="inlineStr">
        <is>
          <t>Maintenance &amp; repairs</t>
        </is>
      </c>
      <c r="C14" s="12" t="inlineStr">
        <is>
          <t>Expense</t>
        </is>
      </c>
    </row>
    <row r="15">
      <c r="A15" s="12" t="inlineStr">
        <is>
          <t>Living</t>
        </is>
      </c>
      <c r="B15" s="13" t="inlineStr">
        <is>
          <t>Groceries</t>
        </is>
      </c>
      <c r="C15" s="12" t="inlineStr">
        <is>
          <t>Expense</t>
        </is>
      </c>
    </row>
    <row r="16">
      <c r="A16" s="12" t="inlineStr">
        <is>
          <t>Living</t>
        </is>
      </c>
      <c r="B16" s="13" t="inlineStr">
        <is>
          <t>Dining out &amp; takeout</t>
        </is>
      </c>
      <c r="C16" s="12" t="inlineStr">
        <is>
          <t>Expense</t>
        </is>
      </c>
    </row>
    <row r="17">
      <c r="A17" s="12" t="inlineStr">
        <is>
          <t>Living</t>
        </is>
      </c>
      <c r="B17" s="13" t="inlineStr">
        <is>
          <t>Household supplies</t>
        </is>
      </c>
      <c r="C17" s="12" t="inlineStr">
        <is>
          <t>Expense</t>
        </is>
      </c>
    </row>
    <row r="18">
      <c r="A18" s="12" t="inlineStr">
        <is>
          <t>Transport</t>
        </is>
      </c>
      <c r="B18" s="13" t="inlineStr">
        <is>
          <t>Car payment</t>
        </is>
      </c>
      <c r="C18" s="12" t="inlineStr">
        <is>
          <t>Expense</t>
        </is>
      </c>
    </row>
    <row r="19">
      <c r="A19" s="12" t="inlineStr">
        <is>
          <t>Transport</t>
        </is>
      </c>
      <c r="B19" s="13" t="inlineStr">
        <is>
          <t>Fuel</t>
        </is>
      </c>
      <c r="C19" s="12" t="inlineStr">
        <is>
          <t>Expense</t>
        </is>
      </c>
    </row>
    <row r="20">
      <c r="A20" s="12" t="inlineStr">
        <is>
          <t>Transport</t>
        </is>
      </c>
      <c r="B20" s="13" t="inlineStr">
        <is>
          <t>Auto insurance</t>
        </is>
      </c>
      <c r="C20" s="12" t="inlineStr">
        <is>
          <t>Expense</t>
        </is>
      </c>
    </row>
    <row r="21">
      <c r="A21" s="12" t="inlineStr">
        <is>
          <t>Transport</t>
        </is>
      </c>
      <c r="B21" s="13" t="inlineStr">
        <is>
          <t>Repairs, plates &amp; licence</t>
        </is>
      </c>
      <c r="C21" s="12" t="inlineStr">
        <is>
          <t>Expense</t>
        </is>
      </c>
    </row>
    <row r="22">
      <c r="A22" s="12" t="inlineStr">
        <is>
          <t>Transport</t>
        </is>
      </c>
      <c r="B22" s="13" t="inlineStr">
        <is>
          <t>Transit / rideshare</t>
        </is>
      </c>
      <c r="C22" s="12" t="inlineStr">
        <is>
          <t>Expense</t>
        </is>
      </c>
    </row>
    <row r="23">
      <c r="A23" s="12" t="inlineStr">
        <is>
          <t>Health</t>
        </is>
      </c>
      <c r="B23" s="13" t="inlineStr">
        <is>
          <t>Health &amp; dental premiums</t>
        </is>
      </c>
      <c r="C23" s="12" t="inlineStr">
        <is>
          <t>Expense</t>
        </is>
      </c>
    </row>
    <row r="24">
      <c r="A24" s="12" t="inlineStr">
        <is>
          <t>Health</t>
        </is>
      </c>
      <c r="B24" s="13" t="inlineStr">
        <is>
          <t>Prescriptions &amp; medical</t>
        </is>
      </c>
      <c r="C24" s="12" t="inlineStr">
        <is>
          <t>Expense</t>
        </is>
      </c>
    </row>
    <row r="25">
      <c r="A25" s="12" t="inlineStr">
        <is>
          <t>Health</t>
        </is>
      </c>
      <c r="B25" s="13" t="inlineStr">
        <is>
          <t>Fitness</t>
        </is>
      </c>
      <c r="C25" s="12" t="inlineStr">
        <is>
          <t>Expense</t>
        </is>
      </c>
    </row>
    <row r="26">
      <c r="A26" s="12" t="inlineStr">
        <is>
          <t>Family</t>
        </is>
      </c>
      <c r="B26" s="13" t="inlineStr">
        <is>
          <t>Childcare</t>
        </is>
      </c>
      <c r="C26" s="12" t="inlineStr">
        <is>
          <t>Expense</t>
        </is>
      </c>
    </row>
    <row r="27">
      <c r="A27" s="12" t="inlineStr">
        <is>
          <t>Family</t>
        </is>
      </c>
      <c r="B27" s="13" t="inlineStr">
        <is>
          <t>School &amp; activities</t>
        </is>
      </c>
      <c r="C27" s="12" t="inlineStr">
        <is>
          <t>Expense</t>
        </is>
      </c>
    </row>
    <row r="28">
      <c r="A28" s="12" t="inlineStr">
        <is>
          <t>Family</t>
        </is>
      </c>
      <c r="B28" s="13" t="inlineStr">
        <is>
          <t>Pets</t>
        </is>
      </c>
      <c r="C28" s="12" t="inlineStr">
        <is>
          <t>Expense</t>
        </is>
      </c>
    </row>
    <row r="29">
      <c r="A29" s="12" t="inlineStr">
        <is>
          <t>Debt</t>
        </is>
      </c>
      <c r="B29" s="13" t="inlineStr">
        <is>
          <t>Credit card payments</t>
        </is>
      </c>
      <c r="C29" s="12" t="inlineStr">
        <is>
          <t>Expense</t>
        </is>
      </c>
    </row>
    <row r="30">
      <c r="A30" s="12" t="inlineStr">
        <is>
          <t>Debt</t>
        </is>
      </c>
      <c r="B30" s="13" t="inlineStr">
        <is>
          <t>Student loan payments</t>
        </is>
      </c>
      <c r="C30" s="12" t="inlineStr">
        <is>
          <t>Expense</t>
        </is>
      </c>
    </row>
    <row r="31">
      <c r="A31" s="12" t="inlineStr">
        <is>
          <t>Debt</t>
        </is>
      </c>
      <c r="B31" s="13" t="inlineStr">
        <is>
          <t>Line of credit / loan</t>
        </is>
      </c>
      <c r="C31" s="12" t="inlineStr">
        <is>
          <t>Expense</t>
        </is>
      </c>
    </row>
    <row r="32">
      <c r="A32" s="12" t="inlineStr">
        <is>
          <t>Savings</t>
        </is>
      </c>
      <c r="B32" s="13" t="inlineStr">
        <is>
          <t>TFSA contribution</t>
        </is>
      </c>
      <c r="C32" s="12" t="inlineStr">
        <is>
          <t>Savings</t>
        </is>
      </c>
    </row>
    <row r="33">
      <c r="A33" s="12" t="inlineStr">
        <is>
          <t>Savings</t>
        </is>
      </c>
      <c r="B33" s="13" t="inlineStr">
        <is>
          <t>RRSP contribution</t>
        </is>
      </c>
      <c r="C33" s="12" t="inlineStr">
        <is>
          <t>Savings</t>
        </is>
      </c>
    </row>
    <row r="34">
      <c r="A34" s="12" t="inlineStr">
        <is>
          <t>Savings</t>
        </is>
      </c>
      <c r="B34" s="13" t="inlineStr">
        <is>
          <t>RESP contribution</t>
        </is>
      </c>
      <c r="C34" s="12" t="inlineStr">
        <is>
          <t>Savings</t>
        </is>
      </c>
    </row>
    <row r="35">
      <c r="A35" s="12" t="inlineStr">
        <is>
          <t>Savings</t>
        </is>
      </c>
      <c r="B35" s="13" t="inlineStr">
        <is>
          <t>Emergency fund</t>
        </is>
      </c>
      <c r="C35" s="12" t="inlineStr">
        <is>
          <t>Savings</t>
        </is>
      </c>
    </row>
    <row r="36">
      <c r="A36" s="12" t="inlineStr">
        <is>
          <t>Lifestyle</t>
        </is>
      </c>
      <c r="B36" s="13" t="inlineStr">
        <is>
          <t>Subscriptions &amp; streaming</t>
        </is>
      </c>
      <c r="C36" s="12" t="inlineStr">
        <is>
          <t>Expense</t>
        </is>
      </c>
    </row>
    <row r="37">
      <c r="A37" s="12" t="inlineStr">
        <is>
          <t>Lifestyle</t>
        </is>
      </c>
      <c r="B37" s="13" t="inlineStr">
        <is>
          <t>Clothing &amp; personal care</t>
        </is>
      </c>
      <c r="C37" s="12" t="inlineStr">
        <is>
          <t>Expense</t>
        </is>
      </c>
    </row>
    <row r="38">
      <c r="A38" s="12" t="inlineStr">
        <is>
          <t>Lifestyle</t>
        </is>
      </c>
      <c r="B38" s="13" t="inlineStr">
        <is>
          <t>Travel &amp; holidays</t>
        </is>
      </c>
      <c r="C38" s="12" t="inlineStr">
        <is>
          <t>Expense</t>
        </is>
      </c>
    </row>
    <row r="39">
      <c r="A39" s="12" t="inlineStr">
        <is>
          <t>Lifestyle</t>
        </is>
      </c>
      <c r="B39" s="13" t="inlineStr">
        <is>
          <t>Gifts &amp; donations</t>
        </is>
      </c>
      <c r="C39" s="12" t="inlineStr">
        <is>
          <t>Expense</t>
        </is>
      </c>
    </row>
    <row r="40">
      <c r="A40" s="12" t="inlineStr">
        <is>
          <t>Lifestyle</t>
        </is>
      </c>
      <c r="B40" s="13" t="inlineStr">
        <is>
          <t>Entertainment</t>
        </is>
      </c>
      <c r="C40" s="12" t="inlineStr">
        <is>
          <t>Expense</t>
        </is>
      </c>
    </row>
    <row r="41">
      <c r="A41" s="12" t="inlineStr">
        <is>
          <t>Other</t>
        </is>
      </c>
      <c r="B41" s="13" t="inlineStr">
        <is>
          <t>Bank fees</t>
        </is>
      </c>
      <c r="C41" s="12" t="inlineStr">
        <is>
          <t>Expense</t>
        </is>
      </c>
    </row>
    <row r="42">
      <c r="A42" s="12" t="inlineStr">
        <is>
          <t>Other</t>
        </is>
      </c>
      <c r="B42" s="13" t="inlineStr">
        <is>
          <t>Miscellaneous</t>
        </is>
      </c>
      <c r="C42" s="12" t="inlineStr">
        <is>
          <t>Expense</t>
        </is>
      </c>
    </row>
    <row r="43">
      <c r="A43" s="13" t="n"/>
      <c r="B43" s="13" t="n"/>
      <c r="C43" s="13" t="n"/>
    </row>
    <row r="44">
      <c r="A44" s="13" t="n"/>
      <c r="B44" s="13" t="n"/>
      <c r="C44" s="13" t="n"/>
    </row>
    <row r="45">
      <c r="A45" s="13" t="n"/>
      <c r="B45" s="13" t="n"/>
      <c r="C45" s="13" t="n"/>
    </row>
    <row r="46">
      <c r="A46" s="13" t="n"/>
      <c r="B46" s="13" t="n"/>
      <c r="C46" s="13" t="n"/>
    </row>
    <row r="47">
      <c r="A47" s="13" t="n"/>
      <c r="B47" s="13" t="n"/>
      <c r="C47" s="13" t="n"/>
    </row>
    <row r="48">
      <c r="A48" s="13" t="n"/>
      <c r="B48" s="13" t="n"/>
      <c r="C48" s="13" t="n"/>
    </row>
    <row r="49">
      <c r="A49" s="13" t="n"/>
      <c r="B49" s="13" t="n"/>
      <c r="C49" s="13" t="n"/>
    </row>
    <row r="50">
      <c r="A50" s="13" t="n"/>
      <c r="B50" s="13" t="n"/>
      <c r="C50" s="13" t="n"/>
    </row>
    <row r="51">
      <c r="A51" s="13" t="n"/>
      <c r="B51" s="13" t="n"/>
      <c r="C51" s="13" t="n"/>
    </row>
    <row r="52">
      <c r="A52" s="13" t="n"/>
      <c r="B52" s="13" t="n"/>
      <c r="C52" s="13" t="n"/>
    </row>
    <row r="53">
      <c r="A53" s="13" t="n"/>
      <c r="B53" s="13" t="n"/>
      <c r="C53" s="13" t="n"/>
    </row>
    <row r="54">
      <c r="A54" s="13" t="n"/>
      <c r="B54" s="13" t="n"/>
      <c r="C54" s="13" t="n"/>
    </row>
    <row r="56">
      <c r="A56" s="14" t="inlineStr">
        <is>
          <t>The last 12 rows are deliberately blank. They are already inside the drop-down, the Budget vs Actual table and every dashboard formula — type a category into one and it works immediately.</t>
        </is>
      </c>
    </row>
    <row r="57">
      <c r="A57" s="14" t="inlineStr">
        <is>
          <t>Do not insert or delete rows. Rename what you do not need, or leave it blank.</t>
        </is>
      </c>
    </row>
    <row r="58">
      <c r="A58" s="14" t="inlineStr">
        <is>
          <t>Keep category names unique — the Budget and Dashboard tabs match on the exact text.</t>
        </is>
      </c>
    </row>
  </sheetData>
  <pageMargins left="0.75" right="0.75" top="1" bottom="1" header="0.5" footer="0.5"/>
</worksheet>
</file>

<file path=xl/worksheets/sheet3.xml><?xml version="1.0" encoding="utf-8"?>
<worksheet xmlns="http://schemas.openxmlformats.org/spreadsheetml/2006/main">
  <sheetPr>
    <tabColor rgb="0000B4A6"/>
    <outlinePr summaryBelow="1" summaryRight="1"/>
    <pageSetUpPr/>
  </sheetPr>
  <dimension ref="A1:H1206"/>
  <sheetViews>
    <sheetView showGridLines="0" workbookViewId="0">
      <pane ySplit="4" topLeftCell="A5" activePane="bottomLeft" state="frozen"/>
      <selection pane="bottomLeft" activeCell="A1" sqref="A1"/>
    </sheetView>
  </sheetViews>
  <sheetFormatPr baseColWidth="8" defaultRowHeight="15"/>
  <cols>
    <col width="13" customWidth="1" min="1" max="1"/>
    <col width="9" customWidth="1" min="2" max="2"/>
    <col width="8" customWidth="1" min="3" max="3"/>
    <col width="34" customWidth="1" min="4" max="4"/>
    <col width="38" customWidth="1" min="5" max="5"/>
    <col width="13" customWidth="1" min="6" max="6"/>
    <col width="13" customWidth="1" min="7" max="7"/>
    <col width="13" customWidth="1" min="8" max="8"/>
  </cols>
  <sheetData>
    <row r="1" ht="30" customHeight="1">
      <c r="A1" s="1" t="inlineStr">
        <is>
          <t>Transactions</t>
        </is>
      </c>
      <c r="B1" s="2" t="n"/>
      <c r="C1" s="2" t="n"/>
      <c r="D1" s="2" t="n"/>
      <c r="E1" s="2" t="n"/>
      <c r="F1" s="2" t="n"/>
      <c r="G1" s="2" t="n"/>
      <c r="H1" s="2" t="n"/>
    </row>
    <row r="2" ht="18" customHeight="1">
      <c r="A2" s="3" t="inlineStr">
        <is>
          <t>Log every dollar in and out. Paste from your bank export or type as you go.</t>
        </is>
      </c>
      <c r="B2" s="2" t="n"/>
      <c r="C2" s="2" t="n"/>
      <c r="D2" s="2" t="n"/>
      <c r="E2" s="2" t="n"/>
      <c r="F2" s="2" t="n"/>
      <c r="G2" s="2" t="n"/>
      <c r="H2" s="2" t="n"/>
    </row>
    <row r="4" ht="28" customHeight="1">
      <c r="A4" s="11" t="inlineStr">
        <is>
          <t>Date</t>
        </is>
      </c>
      <c r="B4" s="11" t="inlineStr">
        <is>
          <t>Month</t>
        </is>
      </c>
      <c r="C4" s="11" t="inlineStr">
        <is>
          <t>Year</t>
        </is>
      </c>
      <c r="D4" s="11" t="inlineStr">
        <is>
          <t>Category</t>
        </is>
      </c>
      <c r="E4" s="11" t="inlineStr">
        <is>
          <t>Description</t>
        </is>
      </c>
      <c r="F4" s="11" t="inlineStr">
        <is>
          <t>Money In</t>
        </is>
      </c>
      <c r="G4" s="11" t="inlineStr">
        <is>
          <t>Money Out</t>
        </is>
      </c>
      <c r="H4" s="11" t="inlineStr">
        <is>
          <t>Net</t>
        </is>
      </c>
    </row>
    <row r="5">
      <c r="A5" s="15" t="n"/>
      <c r="B5" s="16">
        <f>IF($A5="","",TEXT($A5,"mmm"))</f>
        <v/>
      </c>
      <c r="C5" s="17">
        <f>IF($A5="","",YEAR($A5))</f>
        <v/>
      </c>
      <c r="D5" s="13" t="n"/>
      <c r="E5" s="13" t="n"/>
      <c r="F5" s="18" t="n"/>
      <c r="G5" s="18" t="n"/>
      <c r="H5" s="19">
        <f>IF(AND($F5="",$G5=""),"",N($F5)-N($G5))</f>
        <v/>
      </c>
    </row>
    <row r="6">
      <c r="A6" s="15" t="n"/>
      <c r="B6" s="16">
        <f>IF($A6="","",TEXT($A6,"mmm"))</f>
        <v/>
      </c>
      <c r="C6" s="17">
        <f>IF($A6="","",YEAR($A6))</f>
        <v/>
      </c>
      <c r="D6" s="13" t="n"/>
      <c r="E6" s="13" t="n"/>
      <c r="F6" s="18" t="n"/>
      <c r="G6" s="18" t="n"/>
      <c r="H6" s="19">
        <f>IF(AND($F6="",$G6=""),"",N($F6)-N($G6))</f>
        <v/>
      </c>
    </row>
    <row r="7">
      <c r="A7" s="15" t="n"/>
      <c r="B7" s="16">
        <f>IF($A7="","",TEXT($A7,"mmm"))</f>
        <v/>
      </c>
      <c r="C7" s="17">
        <f>IF($A7="","",YEAR($A7))</f>
        <v/>
      </c>
      <c r="D7" s="13" t="n"/>
      <c r="E7" s="13" t="n"/>
      <c r="F7" s="18" t="n"/>
      <c r="G7" s="18" t="n"/>
      <c r="H7" s="19">
        <f>IF(AND($F7="",$G7=""),"",N($F7)-N($G7))</f>
        <v/>
      </c>
    </row>
    <row r="8">
      <c r="A8" s="15" t="n"/>
      <c r="B8" s="16">
        <f>IF($A8="","",TEXT($A8,"mmm"))</f>
        <v/>
      </c>
      <c r="C8" s="17">
        <f>IF($A8="","",YEAR($A8))</f>
        <v/>
      </c>
      <c r="D8" s="13" t="n"/>
      <c r="E8" s="13" t="n"/>
      <c r="F8" s="18" t="n"/>
      <c r="G8" s="18" t="n"/>
      <c r="H8" s="19">
        <f>IF(AND($F8="",$G8=""),"",N($F8)-N($G8))</f>
        <v/>
      </c>
    </row>
    <row r="9">
      <c r="A9" s="15" t="n"/>
      <c r="B9" s="16">
        <f>IF($A9="","",TEXT($A9,"mmm"))</f>
        <v/>
      </c>
      <c r="C9" s="17">
        <f>IF($A9="","",YEAR($A9))</f>
        <v/>
      </c>
      <c r="D9" s="13" t="n"/>
      <c r="E9" s="13" t="n"/>
      <c r="F9" s="18" t="n"/>
      <c r="G9" s="18" t="n"/>
      <c r="H9" s="19">
        <f>IF(AND($F9="",$G9=""),"",N($F9)-N($G9))</f>
        <v/>
      </c>
    </row>
    <row r="10">
      <c r="A10" s="15" t="n"/>
      <c r="B10" s="16">
        <f>IF($A10="","",TEXT($A10,"mmm"))</f>
        <v/>
      </c>
      <c r="C10" s="17">
        <f>IF($A10="","",YEAR($A10))</f>
        <v/>
      </c>
      <c r="D10" s="13" t="n"/>
      <c r="E10" s="13" t="n"/>
      <c r="F10" s="18" t="n"/>
      <c r="G10" s="18" t="n"/>
      <c r="H10" s="19">
        <f>IF(AND($F10="",$G10=""),"",N($F10)-N($G10))</f>
        <v/>
      </c>
    </row>
    <row r="11">
      <c r="A11" s="15" t="n"/>
      <c r="B11" s="16">
        <f>IF($A11="","",TEXT($A11,"mmm"))</f>
        <v/>
      </c>
      <c r="C11" s="17">
        <f>IF($A11="","",YEAR($A11))</f>
        <v/>
      </c>
      <c r="D11" s="13" t="n"/>
      <c r="E11" s="13" t="n"/>
      <c r="F11" s="18" t="n"/>
      <c r="G11" s="18" t="n"/>
      <c r="H11" s="19">
        <f>IF(AND($F11="",$G11=""),"",N($F11)-N($G11))</f>
        <v/>
      </c>
    </row>
    <row r="12">
      <c r="A12" s="15" t="n"/>
      <c r="B12" s="16">
        <f>IF($A12="","",TEXT($A12,"mmm"))</f>
        <v/>
      </c>
      <c r="C12" s="17">
        <f>IF($A12="","",YEAR($A12))</f>
        <v/>
      </c>
      <c r="D12" s="13" t="n"/>
      <c r="E12" s="13" t="n"/>
      <c r="F12" s="18" t="n"/>
      <c r="G12" s="18" t="n"/>
      <c r="H12" s="19">
        <f>IF(AND($F12="",$G12=""),"",N($F12)-N($G12))</f>
        <v/>
      </c>
    </row>
    <row r="13">
      <c r="A13" s="15" t="n"/>
      <c r="B13" s="16">
        <f>IF($A13="","",TEXT($A13,"mmm"))</f>
        <v/>
      </c>
      <c r="C13" s="17">
        <f>IF($A13="","",YEAR($A13))</f>
        <v/>
      </c>
      <c r="D13" s="13" t="n"/>
      <c r="E13" s="13" t="n"/>
      <c r="F13" s="18" t="n"/>
      <c r="G13" s="18" t="n"/>
      <c r="H13" s="19">
        <f>IF(AND($F13="",$G13=""),"",N($F13)-N($G13))</f>
        <v/>
      </c>
    </row>
    <row r="14">
      <c r="A14" s="15" t="n"/>
      <c r="B14" s="16">
        <f>IF($A14="","",TEXT($A14,"mmm"))</f>
        <v/>
      </c>
      <c r="C14" s="17">
        <f>IF($A14="","",YEAR($A14))</f>
        <v/>
      </c>
      <c r="D14" s="13" t="n"/>
      <c r="E14" s="13" t="n"/>
      <c r="F14" s="18" t="n"/>
      <c r="G14" s="18" t="n"/>
      <c r="H14" s="19">
        <f>IF(AND($F14="",$G14=""),"",N($F14)-N($G14))</f>
        <v/>
      </c>
    </row>
    <row r="15">
      <c r="A15" s="15" t="n"/>
      <c r="B15" s="16">
        <f>IF($A15="","",TEXT($A15,"mmm"))</f>
        <v/>
      </c>
      <c r="C15" s="17">
        <f>IF($A15="","",YEAR($A15))</f>
        <v/>
      </c>
      <c r="D15" s="13" t="n"/>
      <c r="E15" s="13" t="n"/>
      <c r="F15" s="18" t="n"/>
      <c r="G15" s="18" t="n"/>
      <c r="H15" s="19">
        <f>IF(AND($F15="",$G15=""),"",N($F15)-N($G15))</f>
        <v/>
      </c>
    </row>
    <row r="16">
      <c r="A16" s="15" t="n"/>
      <c r="B16" s="16">
        <f>IF($A16="","",TEXT($A16,"mmm"))</f>
        <v/>
      </c>
      <c r="C16" s="17">
        <f>IF($A16="","",YEAR($A16))</f>
        <v/>
      </c>
      <c r="D16" s="13" t="n"/>
      <c r="E16" s="13" t="n"/>
      <c r="F16" s="18" t="n"/>
      <c r="G16" s="18" t="n"/>
      <c r="H16" s="19">
        <f>IF(AND($F16="",$G16=""),"",N($F16)-N($G16))</f>
        <v/>
      </c>
    </row>
    <row r="17">
      <c r="A17" s="15" t="n"/>
      <c r="B17" s="16">
        <f>IF($A17="","",TEXT($A17,"mmm"))</f>
        <v/>
      </c>
      <c r="C17" s="17">
        <f>IF($A17="","",YEAR($A17))</f>
        <v/>
      </c>
      <c r="D17" s="13" t="n"/>
      <c r="E17" s="13" t="n"/>
      <c r="F17" s="18" t="n"/>
      <c r="G17" s="18" t="n"/>
      <c r="H17" s="19">
        <f>IF(AND($F17="",$G17=""),"",N($F17)-N($G17))</f>
        <v/>
      </c>
    </row>
    <row r="18">
      <c r="A18" s="15" t="n"/>
      <c r="B18" s="16">
        <f>IF($A18="","",TEXT($A18,"mmm"))</f>
        <v/>
      </c>
      <c r="C18" s="17">
        <f>IF($A18="","",YEAR($A18))</f>
        <v/>
      </c>
      <c r="D18" s="13" t="n"/>
      <c r="E18" s="13" t="n"/>
      <c r="F18" s="18" t="n"/>
      <c r="G18" s="18" t="n"/>
      <c r="H18" s="19">
        <f>IF(AND($F18="",$G18=""),"",N($F18)-N($G18))</f>
        <v/>
      </c>
    </row>
    <row r="19">
      <c r="A19" s="15" t="n"/>
      <c r="B19" s="16">
        <f>IF($A19="","",TEXT($A19,"mmm"))</f>
        <v/>
      </c>
      <c r="C19" s="17">
        <f>IF($A19="","",YEAR($A19))</f>
        <v/>
      </c>
      <c r="D19" s="13" t="n"/>
      <c r="E19" s="13" t="n"/>
      <c r="F19" s="18" t="n"/>
      <c r="G19" s="18" t="n"/>
      <c r="H19" s="19">
        <f>IF(AND($F19="",$G19=""),"",N($F19)-N($G19))</f>
        <v/>
      </c>
    </row>
    <row r="20">
      <c r="A20" s="15" t="n"/>
      <c r="B20" s="16">
        <f>IF($A20="","",TEXT($A20,"mmm"))</f>
        <v/>
      </c>
      <c r="C20" s="17">
        <f>IF($A20="","",YEAR($A20))</f>
        <v/>
      </c>
      <c r="D20" s="13" t="n"/>
      <c r="E20" s="13" t="n"/>
      <c r="F20" s="18" t="n"/>
      <c r="G20" s="18" t="n"/>
      <c r="H20" s="19">
        <f>IF(AND($F20="",$G20=""),"",N($F20)-N($G20))</f>
        <v/>
      </c>
    </row>
    <row r="21">
      <c r="A21" s="15" t="n"/>
      <c r="B21" s="16">
        <f>IF($A21="","",TEXT($A21,"mmm"))</f>
        <v/>
      </c>
      <c r="C21" s="17">
        <f>IF($A21="","",YEAR($A21))</f>
        <v/>
      </c>
      <c r="D21" s="13" t="n"/>
      <c r="E21" s="13" t="n"/>
      <c r="F21" s="18" t="n"/>
      <c r="G21" s="18" t="n"/>
      <c r="H21" s="19">
        <f>IF(AND($F21="",$G21=""),"",N($F21)-N($G21))</f>
        <v/>
      </c>
    </row>
    <row r="22">
      <c r="A22" s="15" t="n"/>
      <c r="B22" s="16">
        <f>IF($A22="","",TEXT($A22,"mmm"))</f>
        <v/>
      </c>
      <c r="C22" s="17">
        <f>IF($A22="","",YEAR($A22))</f>
        <v/>
      </c>
      <c r="D22" s="13" t="n"/>
      <c r="E22" s="13" t="n"/>
      <c r="F22" s="18" t="n"/>
      <c r="G22" s="18" t="n"/>
      <c r="H22" s="19">
        <f>IF(AND($F22="",$G22=""),"",N($F22)-N($G22))</f>
        <v/>
      </c>
    </row>
    <row r="23">
      <c r="A23" s="15" t="n"/>
      <c r="B23" s="16">
        <f>IF($A23="","",TEXT($A23,"mmm"))</f>
        <v/>
      </c>
      <c r="C23" s="17">
        <f>IF($A23="","",YEAR($A23))</f>
        <v/>
      </c>
      <c r="D23" s="13" t="n"/>
      <c r="E23" s="13" t="n"/>
      <c r="F23" s="18" t="n"/>
      <c r="G23" s="18" t="n"/>
      <c r="H23" s="19">
        <f>IF(AND($F23="",$G23=""),"",N($F23)-N($G23))</f>
        <v/>
      </c>
    </row>
    <row r="24">
      <c r="A24" s="15" t="n"/>
      <c r="B24" s="16">
        <f>IF($A24="","",TEXT($A24,"mmm"))</f>
        <v/>
      </c>
      <c r="C24" s="17">
        <f>IF($A24="","",YEAR($A24))</f>
        <v/>
      </c>
      <c r="D24" s="13" t="n"/>
      <c r="E24" s="13" t="n"/>
      <c r="F24" s="18" t="n"/>
      <c r="G24" s="18" t="n"/>
      <c r="H24" s="19">
        <f>IF(AND($F24="",$G24=""),"",N($F24)-N($G24))</f>
        <v/>
      </c>
    </row>
    <row r="25">
      <c r="A25" s="15" t="n"/>
      <c r="B25" s="16">
        <f>IF($A25="","",TEXT($A25,"mmm"))</f>
        <v/>
      </c>
      <c r="C25" s="17">
        <f>IF($A25="","",YEAR($A25))</f>
        <v/>
      </c>
      <c r="D25" s="13" t="n"/>
      <c r="E25" s="13" t="n"/>
      <c r="F25" s="18" t="n"/>
      <c r="G25" s="18" t="n"/>
      <c r="H25" s="19">
        <f>IF(AND($F25="",$G25=""),"",N($F25)-N($G25))</f>
        <v/>
      </c>
    </row>
    <row r="26">
      <c r="A26" s="15" t="n"/>
      <c r="B26" s="16">
        <f>IF($A26="","",TEXT($A26,"mmm"))</f>
        <v/>
      </c>
      <c r="C26" s="17">
        <f>IF($A26="","",YEAR($A26))</f>
        <v/>
      </c>
      <c r="D26" s="13" t="n"/>
      <c r="E26" s="13" t="n"/>
      <c r="F26" s="18" t="n"/>
      <c r="G26" s="18" t="n"/>
      <c r="H26" s="19">
        <f>IF(AND($F26="",$G26=""),"",N($F26)-N($G26))</f>
        <v/>
      </c>
    </row>
    <row r="27">
      <c r="A27" s="15" t="n"/>
      <c r="B27" s="16">
        <f>IF($A27="","",TEXT($A27,"mmm"))</f>
        <v/>
      </c>
      <c r="C27" s="17">
        <f>IF($A27="","",YEAR($A27))</f>
        <v/>
      </c>
      <c r="D27" s="13" t="n"/>
      <c r="E27" s="13" t="n"/>
      <c r="F27" s="18" t="n"/>
      <c r="G27" s="18" t="n"/>
      <c r="H27" s="19">
        <f>IF(AND($F27="",$G27=""),"",N($F27)-N($G27))</f>
        <v/>
      </c>
    </row>
    <row r="28">
      <c r="A28" s="15" t="n"/>
      <c r="B28" s="16">
        <f>IF($A28="","",TEXT($A28,"mmm"))</f>
        <v/>
      </c>
      <c r="C28" s="17">
        <f>IF($A28="","",YEAR($A28))</f>
        <v/>
      </c>
      <c r="D28" s="13" t="n"/>
      <c r="E28" s="13" t="n"/>
      <c r="F28" s="18" t="n"/>
      <c r="G28" s="18" t="n"/>
      <c r="H28" s="19">
        <f>IF(AND($F28="",$G28=""),"",N($F28)-N($G28))</f>
        <v/>
      </c>
    </row>
    <row r="29">
      <c r="A29" s="15" t="n"/>
      <c r="B29" s="16">
        <f>IF($A29="","",TEXT($A29,"mmm"))</f>
        <v/>
      </c>
      <c r="C29" s="17">
        <f>IF($A29="","",YEAR($A29))</f>
        <v/>
      </c>
      <c r="D29" s="13" t="n"/>
      <c r="E29" s="13" t="n"/>
      <c r="F29" s="18" t="n"/>
      <c r="G29" s="18" t="n"/>
      <c r="H29" s="19">
        <f>IF(AND($F29="",$G29=""),"",N($F29)-N($G29))</f>
        <v/>
      </c>
    </row>
    <row r="30">
      <c r="A30" s="15" t="n"/>
      <c r="B30" s="16">
        <f>IF($A30="","",TEXT($A30,"mmm"))</f>
        <v/>
      </c>
      <c r="C30" s="17">
        <f>IF($A30="","",YEAR($A30))</f>
        <v/>
      </c>
      <c r="D30" s="13" t="n"/>
      <c r="E30" s="13" t="n"/>
      <c r="F30" s="18" t="n"/>
      <c r="G30" s="18" t="n"/>
      <c r="H30" s="19">
        <f>IF(AND($F30="",$G30=""),"",N($F30)-N($G30))</f>
        <v/>
      </c>
    </row>
    <row r="31">
      <c r="A31" s="15" t="n"/>
      <c r="B31" s="16">
        <f>IF($A31="","",TEXT($A31,"mmm"))</f>
        <v/>
      </c>
      <c r="C31" s="17">
        <f>IF($A31="","",YEAR($A31))</f>
        <v/>
      </c>
      <c r="D31" s="13" t="n"/>
      <c r="E31" s="13" t="n"/>
      <c r="F31" s="18" t="n"/>
      <c r="G31" s="18" t="n"/>
      <c r="H31" s="19">
        <f>IF(AND($F31="",$G31=""),"",N($F31)-N($G31))</f>
        <v/>
      </c>
    </row>
    <row r="32">
      <c r="A32" s="15" t="n"/>
      <c r="B32" s="16">
        <f>IF($A32="","",TEXT($A32,"mmm"))</f>
        <v/>
      </c>
      <c r="C32" s="17">
        <f>IF($A32="","",YEAR($A32))</f>
        <v/>
      </c>
      <c r="D32" s="13" t="n"/>
      <c r="E32" s="13" t="n"/>
      <c r="F32" s="18" t="n"/>
      <c r="G32" s="18" t="n"/>
      <c r="H32" s="19">
        <f>IF(AND($F32="",$G32=""),"",N($F32)-N($G32))</f>
        <v/>
      </c>
    </row>
    <row r="33">
      <c r="A33" s="15" t="n"/>
      <c r="B33" s="16">
        <f>IF($A33="","",TEXT($A33,"mmm"))</f>
        <v/>
      </c>
      <c r="C33" s="17">
        <f>IF($A33="","",YEAR($A33))</f>
        <v/>
      </c>
      <c r="D33" s="13" t="n"/>
      <c r="E33" s="13" t="n"/>
      <c r="F33" s="18" t="n"/>
      <c r="G33" s="18" t="n"/>
      <c r="H33" s="19">
        <f>IF(AND($F33="",$G33=""),"",N($F33)-N($G33))</f>
        <v/>
      </c>
    </row>
    <row r="34">
      <c r="A34" s="15" t="n"/>
      <c r="B34" s="16">
        <f>IF($A34="","",TEXT($A34,"mmm"))</f>
        <v/>
      </c>
      <c r="C34" s="17">
        <f>IF($A34="","",YEAR($A34))</f>
        <v/>
      </c>
      <c r="D34" s="13" t="n"/>
      <c r="E34" s="13" t="n"/>
      <c r="F34" s="18" t="n"/>
      <c r="G34" s="18" t="n"/>
      <c r="H34" s="19">
        <f>IF(AND($F34="",$G34=""),"",N($F34)-N($G34))</f>
        <v/>
      </c>
    </row>
    <row r="35">
      <c r="A35" s="15" t="n"/>
      <c r="B35" s="16">
        <f>IF($A35="","",TEXT($A35,"mmm"))</f>
        <v/>
      </c>
      <c r="C35" s="17">
        <f>IF($A35="","",YEAR($A35))</f>
        <v/>
      </c>
      <c r="D35" s="13" t="n"/>
      <c r="E35" s="13" t="n"/>
      <c r="F35" s="18" t="n"/>
      <c r="G35" s="18" t="n"/>
      <c r="H35" s="19">
        <f>IF(AND($F35="",$G35=""),"",N($F35)-N($G35))</f>
        <v/>
      </c>
    </row>
    <row r="36">
      <c r="A36" s="15" t="n"/>
      <c r="B36" s="16">
        <f>IF($A36="","",TEXT($A36,"mmm"))</f>
        <v/>
      </c>
      <c r="C36" s="17">
        <f>IF($A36="","",YEAR($A36))</f>
        <v/>
      </c>
      <c r="D36" s="13" t="n"/>
      <c r="E36" s="13" t="n"/>
      <c r="F36" s="18" t="n"/>
      <c r="G36" s="18" t="n"/>
      <c r="H36" s="19">
        <f>IF(AND($F36="",$G36=""),"",N($F36)-N($G36))</f>
        <v/>
      </c>
    </row>
    <row r="37">
      <c r="A37" s="15" t="n"/>
      <c r="B37" s="16">
        <f>IF($A37="","",TEXT($A37,"mmm"))</f>
        <v/>
      </c>
      <c r="C37" s="17">
        <f>IF($A37="","",YEAR($A37))</f>
        <v/>
      </c>
      <c r="D37" s="13" t="n"/>
      <c r="E37" s="13" t="n"/>
      <c r="F37" s="18" t="n"/>
      <c r="G37" s="18" t="n"/>
      <c r="H37" s="19">
        <f>IF(AND($F37="",$G37=""),"",N($F37)-N($G37))</f>
        <v/>
      </c>
    </row>
    <row r="38">
      <c r="A38" s="15" t="n"/>
      <c r="B38" s="16">
        <f>IF($A38="","",TEXT($A38,"mmm"))</f>
        <v/>
      </c>
      <c r="C38" s="17">
        <f>IF($A38="","",YEAR($A38))</f>
        <v/>
      </c>
      <c r="D38" s="13" t="n"/>
      <c r="E38" s="13" t="n"/>
      <c r="F38" s="18" t="n"/>
      <c r="G38" s="18" t="n"/>
      <c r="H38" s="19">
        <f>IF(AND($F38="",$G38=""),"",N($F38)-N($G38))</f>
        <v/>
      </c>
    </row>
    <row r="39">
      <c r="A39" s="15" t="n"/>
      <c r="B39" s="16">
        <f>IF($A39="","",TEXT($A39,"mmm"))</f>
        <v/>
      </c>
      <c r="C39" s="17">
        <f>IF($A39="","",YEAR($A39))</f>
        <v/>
      </c>
      <c r="D39" s="13" t="n"/>
      <c r="E39" s="13" t="n"/>
      <c r="F39" s="18" t="n"/>
      <c r="G39" s="18" t="n"/>
      <c r="H39" s="19">
        <f>IF(AND($F39="",$G39=""),"",N($F39)-N($G39))</f>
        <v/>
      </c>
    </row>
    <row r="40">
      <c r="A40" s="15" t="n"/>
      <c r="B40" s="16">
        <f>IF($A40="","",TEXT($A40,"mmm"))</f>
        <v/>
      </c>
      <c r="C40" s="17">
        <f>IF($A40="","",YEAR($A40))</f>
        <v/>
      </c>
      <c r="D40" s="13" t="n"/>
      <c r="E40" s="13" t="n"/>
      <c r="F40" s="18" t="n"/>
      <c r="G40" s="18" t="n"/>
      <c r="H40" s="19">
        <f>IF(AND($F40="",$G40=""),"",N($F40)-N($G40))</f>
        <v/>
      </c>
    </row>
    <row r="41">
      <c r="A41" s="15" t="n"/>
      <c r="B41" s="16">
        <f>IF($A41="","",TEXT($A41,"mmm"))</f>
        <v/>
      </c>
      <c r="C41" s="17">
        <f>IF($A41="","",YEAR($A41))</f>
        <v/>
      </c>
      <c r="D41" s="13" t="n"/>
      <c r="E41" s="13" t="n"/>
      <c r="F41" s="18" t="n"/>
      <c r="G41" s="18" t="n"/>
      <c r="H41" s="19">
        <f>IF(AND($F41="",$G41=""),"",N($F41)-N($G41))</f>
        <v/>
      </c>
    </row>
    <row r="42">
      <c r="A42" s="15" t="n"/>
      <c r="B42" s="16">
        <f>IF($A42="","",TEXT($A42,"mmm"))</f>
        <v/>
      </c>
      <c r="C42" s="17">
        <f>IF($A42="","",YEAR($A42))</f>
        <v/>
      </c>
      <c r="D42" s="13" t="n"/>
      <c r="E42" s="13" t="n"/>
      <c r="F42" s="18" t="n"/>
      <c r="G42" s="18" t="n"/>
      <c r="H42" s="19">
        <f>IF(AND($F42="",$G42=""),"",N($F42)-N($G42))</f>
        <v/>
      </c>
    </row>
    <row r="43">
      <c r="A43" s="15" t="n"/>
      <c r="B43" s="16">
        <f>IF($A43="","",TEXT($A43,"mmm"))</f>
        <v/>
      </c>
      <c r="C43" s="17">
        <f>IF($A43="","",YEAR($A43))</f>
        <v/>
      </c>
      <c r="D43" s="13" t="n"/>
      <c r="E43" s="13" t="n"/>
      <c r="F43" s="18" t="n"/>
      <c r="G43" s="18" t="n"/>
      <c r="H43" s="19">
        <f>IF(AND($F43="",$G43=""),"",N($F43)-N($G43))</f>
        <v/>
      </c>
    </row>
    <row r="44">
      <c r="A44" s="15" t="n"/>
      <c r="B44" s="16">
        <f>IF($A44="","",TEXT($A44,"mmm"))</f>
        <v/>
      </c>
      <c r="C44" s="17">
        <f>IF($A44="","",YEAR($A44))</f>
        <v/>
      </c>
      <c r="D44" s="13" t="n"/>
      <c r="E44" s="13" t="n"/>
      <c r="F44" s="18" t="n"/>
      <c r="G44" s="18" t="n"/>
      <c r="H44" s="19">
        <f>IF(AND($F44="",$G44=""),"",N($F44)-N($G44))</f>
        <v/>
      </c>
    </row>
    <row r="45">
      <c r="A45" s="15" t="n"/>
      <c r="B45" s="16">
        <f>IF($A45="","",TEXT($A45,"mmm"))</f>
        <v/>
      </c>
      <c r="C45" s="17">
        <f>IF($A45="","",YEAR($A45))</f>
        <v/>
      </c>
      <c r="D45" s="13" t="n"/>
      <c r="E45" s="13" t="n"/>
      <c r="F45" s="18" t="n"/>
      <c r="G45" s="18" t="n"/>
      <c r="H45" s="19">
        <f>IF(AND($F45="",$G45=""),"",N($F45)-N($G45))</f>
        <v/>
      </c>
    </row>
    <row r="46">
      <c r="A46" s="15" t="n"/>
      <c r="B46" s="16">
        <f>IF($A46="","",TEXT($A46,"mmm"))</f>
        <v/>
      </c>
      <c r="C46" s="17">
        <f>IF($A46="","",YEAR($A46))</f>
        <v/>
      </c>
      <c r="D46" s="13" t="n"/>
      <c r="E46" s="13" t="n"/>
      <c r="F46" s="18" t="n"/>
      <c r="G46" s="18" t="n"/>
      <c r="H46" s="19">
        <f>IF(AND($F46="",$G46=""),"",N($F46)-N($G46))</f>
        <v/>
      </c>
    </row>
    <row r="47">
      <c r="A47" s="15" t="n"/>
      <c r="B47" s="16">
        <f>IF($A47="","",TEXT($A47,"mmm"))</f>
        <v/>
      </c>
      <c r="C47" s="17">
        <f>IF($A47="","",YEAR($A47))</f>
        <v/>
      </c>
      <c r="D47" s="13" t="n"/>
      <c r="E47" s="13" t="n"/>
      <c r="F47" s="18" t="n"/>
      <c r="G47" s="18" t="n"/>
      <c r="H47" s="19">
        <f>IF(AND($F47="",$G47=""),"",N($F47)-N($G47))</f>
        <v/>
      </c>
    </row>
    <row r="48">
      <c r="A48" s="15" t="n"/>
      <c r="B48" s="16">
        <f>IF($A48="","",TEXT($A48,"mmm"))</f>
        <v/>
      </c>
      <c r="C48" s="17">
        <f>IF($A48="","",YEAR($A48))</f>
        <v/>
      </c>
      <c r="D48" s="13" t="n"/>
      <c r="E48" s="13" t="n"/>
      <c r="F48" s="18" t="n"/>
      <c r="G48" s="18" t="n"/>
      <c r="H48" s="19">
        <f>IF(AND($F48="",$G48=""),"",N($F48)-N($G48))</f>
        <v/>
      </c>
    </row>
    <row r="49">
      <c r="A49" s="15" t="n"/>
      <c r="B49" s="16">
        <f>IF($A49="","",TEXT($A49,"mmm"))</f>
        <v/>
      </c>
      <c r="C49" s="17">
        <f>IF($A49="","",YEAR($A49))</f>
        <v/>
      </c>
      <c r="D49" s="13" t="n"/>
      <c r="E49" s="13" t="n"/>
      <c r="F49" s="18" t="n"/>
      <c r="G49" s="18" t="n"/>
      <c r="H49" s="19">
        <f>IF(AND($F49="",$G49=""),"",N($F49)-N($G49))</f>
        <v/>
      </c>
    </row>
    <row r="50">
      <c r="A50" s="15" t="n"/>
      <c r="B50" s="16">
        <f>IF($A50="","",TEXT($A50,"mmm"))</f>
        <v/>
      </c>
      <c r="C50" s="17">
        <f>IF($A50="","",YEAR($A50))</f>
        <v/>
      </c>
      <c r="D50" s="13" t="n"/>
      <c r="E50" s="13" t="n"/>
      <c r="F50" s="18" t="n"/>
      <c r="G50" s="18" t="n"/>
      <c r="H50" s="19">
        <f>IF(AND($F50="",$G50=""),"",N($F50)-N($G50))</f>
        <v/>
      </c>
    </row>
    <row r="51">
      <c r="A51" s="15" t="n"/>
      <c r="B51" s="16">
        <f>IF($A51="","",TEXT($A51,"mmm"))</f>
        <v/>
      </c>
      <c r="C51" s="17">
        <f>IF($A51="","",YEAR($A51))</f>
        <v/>
      </c>
      <c r="D51" s="13" t="n"/>
      <c r="E51" s="13" t="n"/>
      <c r="F51" s="18" t="n"/>
      <c r="G51" s="18" t="n"/>
      <c r="H51" s="19">
        <f>IF(AND($F51="",$G51=""),"",N($F51)-N($G51))</f>
        <v/>
      </c>
    </row>
    <row r="52">
      <c r="A52" s="15" t="n"/>
      <c r="B52" s="16">
        <f>IF($A52="","",TEXT($A52,"mmm"))</f>
        <v/>
      </c>
      <c r="C52" s="17">
        <f>IF($A52="","",YEAR($A52))</f>
        <v/>
      </c>
      <c r="D52" s="13" t="n"/>
      <c r="E52" s="13" t="n"/>
      <c r="F52" s="18" t="n"/>
      <c r="G52" s="18" t="n"/>
      <c r="H52" s="19">
        <f>IF(AND($F52="",$G52=""),"",N($F52)-N($G52))</f>
        <v/>
      </c>
    </row>
    <row r="53">
      <c r="A53" s="15" t="n"/>
      <c r="B53" s="16">
        <f>IF($A53="","",TEXT($A53,"mmm"))</f>
        <v/>
      </c>
      <c r="C53" s="17">
        <f>IF($A53="","",YEAR($A53))</f>
        <v/>
      </c>
      <c r="D53" s="13" t="n"/>
      <c r="E53" s="13" t="n"/>
      <c r="F53" s="18" t="n"/>
      <c r="G53" s="18" t="n"/>
      <c r="H53" s="19">
        <f>IF(AND($F53="",$G53=""),"",N($F53)-N($G53))</f>
        <v/>
      </c>
    </row>
    <row r="54">
      <c r="A54" s="15" t="n"/>
      <c r="B54" s="16">
        <f>IF($A54="","",TEXT($A54,"mmm"))</f>
        <v/>
      </c>
      <c r="C54" s="17">
        <f>IF($A54="","",YEAR($A54))</f>
        <v/>
      </c>
      <c r="D54" s="13" t="n"/>
      <c r="E54" s="13" t="n"/>
      <c r="F54" s="18" t="n"/>
      <c r="G54" s="18" t="n"/>
      <c r="H54" s="19">
        <f>IF(AND($F54="",$G54=""),"",N($F54)-N($G54))</f>
        <v/>
      </c>
    </row>
    <row r="55">
      <c r="A55" s="15" t="n"/>
      <c r="B55" s="16">
        <f>IF($A55="","",TEXT($A55,"mmm"))</f>
        <v/>
      </c>
      <c r="C55" s="17">
        <f>IF($A55="","",YEAR($A55))</f>
        <v/>
      </c>
      <c r="D55" s="13" t="n"/>
      <c r="E55" s="13" t="n"/>
      <c r="F55" s="18" t="n"/>
      <c r="G55" s="18" t="n"/>
      <c r="H55" s="19">
        <f>IF(AND($F55="",$G55=""),"",N($F55)-N($G55))</f>
        <v/>
      </c>
    </row>
    <row r="56">
      <c r="A56" s="15" t="n"/>
      <c r="B56" s="16">
        <f>IF($A56="","",TEXT($A56,"mmm"))</f>
        <v/>
      </c>
      <c r="C56" s="17">
        <f>IF($A56="","",YEAR($A56))</f>
        <v/>
      </c>
      <c r="D56" s="13" t="n"/>
      <c r="E56" s="13" t="n"/>
      <c r="F56" s="18" t="n"/>
      <c r="G56" s="18" t="n"/>
      <c r="H56" s="19">
        <f>IF(AND($F56="",$G56=""),"",N($F56)-N($G56))</f>
        <v/>
      </c>
    </row>
    <row r="57">
      <c r="A57" s="15" t="n"/>
      <c r="B57" s="16">
        <f>IF($A57="","",TEXT($A57,"mmm"))</f>
        <v/>
      </c>
      <c r="C57" s="17">
        <f>IF($A57="","",YEAR($A57))</f>
        <v/>
      </c>
      <c r="D57" s="13" t="n"/>
      <c r="E57" s="13" t="n"/>
      <c r="F57" s="18" t="n"/>
      <c r="G57" s="18" t="n"/>
      <c r="H57" s="19">
        <f>IF(AND($F57="",$G57=""),"",N($F57)-N($G57))</f>
        <v/>
      </c>
    </row>
    <row r="58">
      <c r="A58" s="15" t="n"/>
      <c r="B58" s="16">
        <f>IF($A58="","",TEXT($A58,"mmm"))</f>
        <v/>
      </c>
      <c r="C58" s="17">
        <f>IF($A58="","",YEAR($A58))</f>
        <v/>
      </c>
      <c r="D58" s="13" t="n"/>
      <c r="E58" s="13" t="n"/>
      <c r="F58" s="18" t="n"/>
      <c r="G58" s="18" t="n"/>
      <c r="H58" s="19">
        <f>IF(AND($F58="",$G58=""),"",N($F58)-N($G58))</f>
        <v/>
      </c>
    </row>
    <row r="59">
      <c r="A59" s="15" t="n"/>
      <c r="B59" s="16">
        <f>IF($A59="","",TEXT($A59,"mmm"))</f>
        <v/>
      </c>
      <c r="C59" s="17">
        <f>IF($A59="","",YEAR($A59))</f>
        <v/>
      </c>
      <c r="D59" s="13" t="n"/>
      <c r="E59" s="13" t="n"/>
      <c r="F59" s="18" t="n"/>
      <c r="G59" s="18" t="n"/>
      <c r="H59" s="19">
        <f>IF(AND($F59="",$G59=""),"",N($F59)-N($G59))</f>
        <v/>
      </c>
    </row>
    <row r="60">
      <c r="A60" s="15" t="n"/>
      <c r="B60" s="16">
        <f>IF($A60="","",TEXT($A60,"mmm"))</f>
        <v/>
      </c>
      <c r="C60" s="17">
        <f>IF($A60="","",YEAR($A60))</f>
        <v/>
      </c>
      <c r="D60" s="13" t="n"/>
      <c r="E60" s="13" t="n"/>
      <c r="F60" s="18" t="n"/>
      <c r="G60" s="18" t="n"/>
      <c r="H60" s="19">
        <f>IF(AND($F60="",$G60=""),"",N($F60)-N($G60))</f>
        <v/>
      </c>
    </row>
    <row r="61">
      <c r="A61" s="15" t="n"/>
      <c r="B61" s="16">
        <f>IF($A61="","",TEXT($A61,"mmm"))</f>
        <v/>
      </c>
      <c r="C61" s="17">
        <f>IF($A61="","",YEAR($A61))</f>
        <v/>
      </c>
      <c r="D61" s="13" t="n"/>
      <c r="E61" s="13" t="n"/>
      <c r="F61" s="18" t="n"/>
      <c r="G61" s="18" t="n"/>
      <c r="H61" s="19">
        <f>IF(AND($F61="",$G61=""),"",N($F61)-N($G61))</f>
        <v/>
      </c>
    </row>
    <row r="62">
      <c r="A62" s="15" t="n"/>
      <c r="B62" s="16">
        <f>IF($A62="","",TEXT($A62,"mmm"))</f>
        <v/>
      </c>
      <c r="C62" s="17">
        <f>IF($A62="","",YEAR($A62))</f>
        <v/>
      </c>
      <c r="D62" s="13" t="n"/>
      <c r="E62" s="13" t="n"/>
      <c r="F62" s="18" t="n"/>
      <c r="G62" s="18" t="n"/>
      <c r="H62" s="19">
        <f>IF(AND($F62="",$G62=""),"",N($F62)-N($G62))</f>
        <v/>
      </c>
    </row>
    <row r="63">
      <c r="A63" s="15" t="n"/>
      <c r="B63" s="16">
        <f>IF($A63="","",TEXT($A63,"mmm"))</f>
        <v/>
      </c>
      <c r="C63" s="17">
        <f>IF($A63="","",YEAR($A63))</f>
        <v/>
      </c>
      <c r="D63" s="13" t="n"/>
      <c r="E63" s="13" t="n"/>
      <c r="F63" s="18" t="n"/>
      <c r="G63" s="18" t="n"/>
      <c r="H63" s="19">
        <f>IF(AND($F63="",$G63=""),"",N($F63)-N($G63))</f>
        <v/>
      </c>
    </row>
    <row r="64">
      <c r="A64" s="15" t="n"/>
      <c r="B64" s="16">
        <f>IF($A64="","",TEXT($A64,"mmm"))</f>
        <v/>
      </c>
      <c r="C64" s="17">
        <f>IF($A64="","",YEAR($A64))</f>
        <v/>
      </c>
      <c r="D64" s="13" t="n"/>
      <c r="E64" s="13" t="n"/>
      <c r="F64" s="18" t="n"/>
      <c r="G64" s="18" t="n"/>
      <c r="H64" s="19">
        <f>IF(AND($F64="",$G64=""),"",N($F64)-N($G64))</f>
        <v/>
      </c>
    </row>
    <row r="65">
      <c r="A65" s="15" t="n"/>
      <c r="B65" s="16">
        <f>IF($A65="","",TEXT($A65,"mmm"))</f>
        <v/>
      </c>
      <c r="C65" s="17">
        <f>IF($A65="","",YEAR($A65))</f>
        <v/>
      </c>
      <c r="D65" s="13" t="n"/>
      <c r="E65" s="13" t="n"/>
      <c r="F65" s="18" t="n"/>
      <c r="G65" s="18" t="n"/>
      <c r="H65" s="19">
        <f>IF(AND($F65="",$G65=""),"",N($F65)-N($G65))</f>
        <v/>
      </c>
    </row>
    <row r="66">
      <c r="A66" s="15" t="n"/>
      <c r="B66" s="16">
        <f>IF($A66="","",TEXT($A66,"mmm"))</f>
        <v/>
      </c>
      <c r="C66" s="17">
        <f>IF($A66="","",YEAR($A66))</f>
        <v/>
      </c>
      <c r="D66" s="13" t="n"/>
      <c r="E66" s="13" t="n"/>
      <c r="F66" s="18" t="n"/>
      <c r="G66" s="18" t="n"/>
      <c r="H66" s="19">
        <f>IF(AND($F66="",$G66=""),"",N($F66)-N($G66))</f>
        <v/>
      </c>
    </row>
    <row r="67">
      <c r="A67" s="15" t="n"/>
      <c r="B67" s="16">
        <f>IF($A67="","",TEXT($A67,"mmm"))</f>
        <v/>
      </c>
      <c r="C67" s="17">
        <f>IF($A67="","",YEAR($A67))</f>
        <v/>
      </c>
      <c r="D67" s="13" t="n"/>
      <c r="E67" s="13" t="n"/>
      <c r="F67" s="18" t="n"/>
      <c r="G67" s="18" t="n"/>
      <c r="H67" s="19">
        <f>IF(AND($F67="",$G67=""),"",N($F67)-N($G67))</f>
        <v/>
      </c>
    </row>
    <row r="68">
      <c r="A68" s="15" t="n"/>
      <c r="B68" s="16">
        <f>IF($A68="","",TEXT($A68,"mmm"))</f>
        <v/>
      </c>
      <c r="C68" s="17">
        <f>IF($A68="","",YEAR($A68))</f>
        <v/>
      </c>
      <c r="D68" s="13" t="n"/>
      <c r="E68" s="13" t="n"/>
      <c r="F68" s="18" t="n"/>
      <c r="G68" s="18" t="n"/>
      <c r="H68" s="19">
        <f>IF(AND($F68="",$G68=""),"",N($F68)-N($G68))</f>
        <v/>
      </c>
    </row>
    <row r="69">
      <c r="A69" s="15" t="n"/>
      <c r="B69" s="16">
        <f>IF($A69="","",TEXT($A69,"mmm"))</f>
        <v/>
      </c>
      <c r="C69" s="17">
        <f>IF($A69="","",YEAR($A69))</f>
        <v/>
      </c>
      <c r="D69" s="13" t="n"/>
      <c r="E69" s="13" t="n"/>
      <c r="F69" s="18" t="n"/>
      <c r="G69" s="18" t="n"/>
      <c r="H69" s="19">
        <f>IF(AND($F69="",$G69=""),"",N($F69)-N($G69))</f>
        <v/>
      </c>
    </row>
    <row r="70">
      <c r="A70" s="15" t="n"/>
      <c r="B70" s="16">
        <f>IF($A70="","",TEXT($A70,"mmm"))</f>
        <v/>
      </c>
      <c r="C70" s="17">
        <f>IF($A70="","",YEAR($A70))</f>
        <v/>
      </c>
      <c r="D70" s="13" t="n"/>
      <c r="E70" s="13" t="n"/>
      <c r="F70" s="18" t="n"/>
      <c r="G70" s="18" t="n"/>
      <c r="H70" s="19">
        <f>IF(AND($F70="",$G70=""),"",N($F70)-N($G70))</f>
        <v/>
      </c>
    </row>
    <row r="71">
      <c r="A71" s="15" t="n"/>
      <c r="B71" s="16">
        <f>IF($A71="","",TEXT($A71,"mmm"))</f>
        <v/>
      </c>
      <c r="C71" s="17">
        <f>IF($A71="","",YEAR($A71))</f>
        <v/>
      </c>
      <c r="D71" s="13" t="n"/>
      <c r="E71" s="13" t="n"/>
      <c r="F71" s="18" t="n"/>
      <c r="G71" s="18" t="n"/>
      <c r="H71" s="19">
        <f>IF(AND($F71="",$G71=""),"",N($F71)-N($G71))</f>
        <v/>
      </c>
    </row>
    <row r="72">
      <c r="A72" s="15" t="n"/>
      <c r="B72" s="16">
        <f>IF($A72="","",TEXT($A72,"mmm"))</f>
        <v/>
      </c>
      <c r="C72" s="17">
        <f>IF($A72="","",YEAR($A72))</f>
        <v/>
      </c>
      <c r="D72" s="13" t="n"/>
      <c r="E72" s="13" t="n"/>
      <c r="F72" s="18" t="n"/>
      <c r="G72" s="18" t="n"/>
      <c r="H72" s="19">
        <f>IF(AND($F72="",$G72=""),"",N($F72)-N($G72))</f>
        <v/>
      </c>
    </row>
    <row r="73">
      <c r="A73" s="15" t="n"/>
      <c r="B73" s="16">
        <f>IF($A73="","",TEXT($A73,"mmm"))</f>
        <v/>
      </c>
      <c r="C73" s="17">
        <f>IF($A73="","",YEAR($A73))</f>
        <v/>
      </c>
      <c r="D73" s="13" t="n"/>
      <c r="E73" s="13" t="n"/>
      <c r="F73" s="18" t="n"/>
      <c r="G73" s="18" t="n"/>
      <c r="H73" s="19">
        <f>IF(AND($F73="",$G73=""),"",N($F73)-N($G73))</f>
        <v/>
      </c>
    </row>
    <row r="74">
      <c r="A74" s="15" t="n"/>
      <c r="B74" s="16">
        <f>IF($A74="","",TEXT($A74,"mmm"))</f>
        <v/>
      </c>
      <c r="C74" s="17">
        <f>IF($A74="","",YEAR($A74))</f>
        <v/>
      </c>
      <c r="D74" s="13" t="n"/>
      <c r="E74" s="13" t="n"/>
      <c r="F74" s="18" t="n"/>
      <c r="G74" s="18" t="n"/>
      <c r="H74" s="19">
        <f>IF(AND($F74="",$G74=""),"",N($F74)-N($G74))</f>
        <v/>
      </c>
    </row>
    <row r="75">
      <c r="A75" s="15" t="n"/>
      <c r="B75" s="16">
        <f>IF($A75="","",TEXT($A75,"mmm"))</f>
        <v/>
      </c>
      <c r="C75" s="17">
        <f>IF($A75="","",YEAR($A75))</f>
        <v/>
      </c>
      <c r="D75" s="13" t="n"/>
      <c r="E75" s="13" t="n"/>
      <c r="F75" s="18" t="n"/>
      <c r="G75" s="18" t="n"/>
      <c r="H75" s="19">
        <f>IF(AND($F75="",$G75=""),"",N($F75)-N($G75))</f>
        <v/>
      </c>
    </row>
    <row r="76">
      <c r="A76" s="15" t="n"/>
      <c r="B76" s="16">
        <f>IF($A76="","",TEXT($A76,"mmm"))</f>
        <v/>
      </c>
      <c r="C76" s="17">
        <f>IF($A76="","",YEAR($A76))</f>
        <v/>
      </c>
      <c r="D76" s="13" t="n"/>
      <c r="E76" s="13" t="n"/>
      <c r="F76" s="18" t="n"/>
      <c r="G76" s="18" t="n"/>
      <c r="H76" s="19">
        <f>IF(AND($F76="",$G76=""),"",N($F76)-N($G76))</f>
        <v/>
      </c>
    </row>
    <row r="77">
      <c r="A77" s="15" t="n"/>
      <c r="B77" s="16">
        <f>IF($A77="","",TEXT($A77,"mmm"))</f>
        <v/>
      </c>
      <c r="C77" s="17">
        <f>IF($A77="","",YEAR($A77))</f>
        <v/>
      </c>
      <c r="D77" s="13" t="n"/>
      <c r="E77" s="13" t="n"/>
      <c r="F77" s="18" t="n"/>
      <c r="G77" s="18" t="n"/>
      <c r="H77" s="19">
        <f>IF(AND($F77="",$G77=""),"",N($F77)-N($G77))</f>
        <v/>
      </c>
    </row>
    <row r="78">
      <c r="A78" s="15" t="n"/>
      <c r="B78" s="16">
        <f>IF($A78="","",TEXT($A78,"mmm"))</f>
        <v/>
      </c>
      <c r="C78" s="17">
        <f>IF($A78="","",YEAR($A78))</f>
        <v/>
      </c>
      <c r="D78" s="13" t="n"/>
      <c r="E78" s="13" t="n"/>
      <c r="F78" s="18" t="n"/>
      <c r="G78" s="18" t="n"/>
      <c r="H78" s="19">
        <f>IF(AND($F78="",$G78=""),"",N($F78)-N($G78))</f>
        <v/>
      </c>
    </row>
    <row r="79">
      <c r="A79" s="15" t="n"/>
      <c r="B79" s="16">
        <f>IF($A79="","",TEXT($A79,"mmm"))</f>
        <v/>
      </c>
      <c r="C79" s="17">
        <f>IF($A79="","",YEAR($A79))</f>
        <v/>
      </c>
      <c r="D79" s="13" t="n"/>
      <c r="E79" s="13" t="n"/>
      <c r="F79" s="18" t="n"/>
      <c r="G79" s="18" t="n"/>
      <c r="H79" s="19">
        <f>IF(AND($F79="",$G79=""),"",N($F79)-N($G79))</f>
        <v/>
      </c>
    </row>
    <row r="80">
      <c r="A80" s="15" t="n"/>
      <c r="B80" s="16">
        <f>IF($A80="","",TEXT($A80,"mmm"))</f>
        <v/>
      </c>
      <c r="C80" s="17">
        <f>IF($A80="","",YEAR($A80))</f>
        <v/>
      </c>
      <c r="D80" s="13" t="n"/>
      <c r="E80" s="13" t="n"/>
      <c r="F80" s="18" t="n"/>
      <c r="G80" s="18" t="n"/>
      <c r="H80" s="19">
        <f>IF(AND($F80="",$G80=""),"",N($F80)-N($G80))</f>
        <v/>
      </c>
    </row>
    <row r="81">
      <c r="A81" s="15" t="n"/>
      <c r="B81" s="16">
        <f>IF($A81="","",TEXT($A81,"mmm"))</f>
        <v/>
      </c>
      <c r="C81" s="17">
        <f>IF($A81="","",YEAR($A81))</f>
        <v/>
      </c>
      <c r="D81" s="13" t="n"/>
      <c r="E81" s="13" t="n"/>
      <c r="F81" s="18" t="n"/>
      <c r="G81" s="18" t="n"/>
      <c r="H81" s="19">
        <f>IF(AND($F81="",$G81=""),"",N($F81)-N($G81))</f>
        <v/>
      </c>
    </row>
    <row r="82">
      <c r="A82" s="15" t="n"/>
      <c r="B82" s="16">
        <f>IF($A82="","",TEXT($A82,"mmm"))</f>
        <v/>
      </c>
      <c r="C82" s="17">
        <f>IF($A82="","",YEAR($A82))</f>
        <v/>
      </c>
      <c r="D82" s="13" t="n"/>
      <c r="E82" s="13" t="n"/>
      <c r="F82" s="18" t="n"/>
      <c r="G82" s="18" t="n"/>
      <c r="H82" s="19">
        <f>IF(AND($F82="",$G82=""),"",N($F82)-N($G82))</f>
        <v/>
      </c>
    </row>
    <row r="83">
      <c r="A83" s="15" t="n"/>
      <c r="B83" s="16">
        <f>IF($A83="","",TEXT($A83,"mmm"))</f>
        <v/>
      </c>
      <c r="C83" s="17">
        <f>IF($A83="","",YEAR($A83))</f>
        <v/>
      </c>
      <c r="D83" s="13" t="n"/>
      <c r="E83" s="13" t="n"/>
      <c r="F83" s="18" t="n"/>
      <c r="G83" s="18" t="n"/>
      <c r="H83" s="19">
        <f>IF(AND($F83="",$G83=""),"",N($F83)-N($G83))</f>
        <v/>
      </c>
    </row>
    <row r="84">
      <c r="A84" s="15" t="n"/>
      <c r="B84" s="16">
        <f>IF($A84="","",TEXT($A84,"mmm"))</f>
        <v/>
      </c>
      <c r="C84" s="17">
        <f>IF($A84="","",YEAR($A84))</f>
        <v/>
      </c>
      <c r="D84" s="13" t="n"/>
      <c r="E84" s="13" t="n"/>
      <c r="F84" s="18" t="n"/>
      <c r="G84" s="18" t="n"/>
      <c r="H84" s="19">
        <f>IF(AND($F84="",$G84=""),"",N($F84)-N($G84))</f>
        <v/>
      </c>
    </row>
    <row r="85">
      <c r="A85" s="15" t="n"/>
      <c r="B85" s="16">
        <f>IF($A85="","",TEXT($A85,"mmm"))</f>
        <v/>
      </c>
      <c r="C85" s="17">
        <f>IF($A85="","",YEAR($A85))</f>
        <v/>
      </c>
      <c r="D85" s="13" t="n"/>
      <c r="E85" s="13" t="n"/>
      <c r="F85" s="18" t="n"/>
      <c r="G85" s="18" t="n"/>
      <c r="H85" s="19">
        <f>IF(AND($F85="",$G85=""),"",N($F85)-N($G85))</f>
        <v/>
      </c>
    </row>
    <row r="86">
      <c r="A86" s="15" t="n"/>
      <c r="B86" s="16">
        <f>IF($A86="","",TEXT($A86,"mmm"))</f>
        <v/>
      </c>
      <c r="C86" s="17">
        <f>IF($A86="","",YEAR($A86))</f>
        <v/>
      </c>
      <c r="D86" s="13" t="n"/>
      <c r="E86" s="13" t="n"/>
      <c r="F86" s="18" t="n"/>
      <c r="G86" s="18" t="n"/>
      <c r="H86" s="19">
        <f>IF(AND($F86="",$G86=""),"",N($F86)-N($G86))</f>
        <v/>
      </c>
    </row>
    <row r="87">
      <c r="A87" s="15" t="n"/>
      <c r="B87" s="16">
        <f>IF($A87="","",TEXT($A87,"mmm"))</f>
        <v/>
      </c>
      <c r="C87" s="17">
        <f>IF($A87="","",YEAR($A87))</f>
        <v/>
      </c>
      <c r="D87" s="13" t="n"/>
      <c r="E87" s="13" t="n"/>
      <c r="F87" s="18" t="n"/>
      <c r="G87" s="18" t="n"/>
      <c r="H87" s="19">
        <f>IF(AND($F87="",$G87=""),"",N($F87)-N($G87))</f>
        <v/>
      </c>
    </row>
    <row r="88">
      <c r="A88" s="15" t="n"/>
      <c r="B88" s="16">
        <f>IF($A88="","",TEXT($A88,"mmm"))</f>
        <v/>
      </c>
      <c r="C88" s="17">
        <f>IF($A88="","",YEAR($A88))</f>
        <v/>
      </c>
      <c r="D88" s="13" t="n"/>
      <c r="E88" s="13" t="n"/>
      <c r="F88" s="18" t="n"/>
      <c r="G88" s="18" t="n"/>
      <c r="H88" s="19">
        <f>IF(AND($F88="",$G88=""),"",N($F88)-N($G88))</f>
        <v/>
      </c>
    </row>
    <row r="89">
      <c r="A89" s="15" t="n"/>
      <c r="B89" s="16">
        <f>IF($A89="","",TEXT($A89,"mmm"))</f>
        <v/>
      </c>
      <c r="C89" s="17">
        <f>IF($A89="","",YEAR($A89))</f>
        <v/>
      </c>
      <c r="D89" s="13" t="n"/>
      <c r="E89" s="13" t="n"/>
      <c r="F89" s="18" t="n"/>
      <c r="G89" s="18" t="n"/>
      <c r="H89" s="19">
        <f>IF(AND($F89="",$G89=""),"",N($F89)-N($G89))</f>
        <v/>
      </c>
    </row>
    <row r="90">
      <c r="A90" s="15" t="n"/>
      <c r="B90" s="16">
        <f>IF($A90="","",TEXT($A90,"mmm"))</f>
        <v/>
      </c>
      <c r="C90" s="17">
        <f>IF($A90="","",YEAR($A90))</f>
        <v/>
      </c>
      <c r="D90" s="13" t="n"/>
      <c r="E90" s="13" t="n"/>
      <c r="F90" s="18" t="n"/>
      <c r="G90" s="18" t="n"/>
      <c r="H90" s="19">
        <f>IF(AND($F90="",$G90=""),"",N($F90)-N($G90))</f>
        <v/>
      </c>
    </row>
    <row r="91">
      <c r="A91" s="15" t="n"/>
      <c r="B91" s="16">
        <f>IF($A91="","",TEXT($A91,"mmm"))</f>
        <v/>
      </c>
      <c r="C91" s="17">
        <f>IF($A91="","",YEAR($A91))</f>
        <v/>
      </c>
      <c r="D91" s="13" t="n"/>
      <c r="E91" s="13" t="n"/>
      <c r="F91" s="18" t="n"/>
      <c r="G91" s="18" t="n"/>
      <c r="H91" s="19">
        <f>IF(AND($F91="",$G91=""),"",N($F91)-N($G91))</f>
        <v/>
      </c>
    </row>
    <row r="92">
      <c r="A92" s="15" t="n"/>
      <c r="B92" s="16">
        <f>IF($A92="","",TEXT($A92,"mmm"))</f>
        <v/>
      </c>
      <c r="C92" s="17">
        <f>IF($A92="","",YEAR($A92))</f>
        <v/>
      </c>
      <c r="D92" s="13" t="n"/>
      <c r="E92" s="13" t="n"/>
      <c r="F92" s="18" t="n"/>
      <c r="G92" s="18" t="n"/>
      <c r="H92" s="19">
        <f>IF(AND($F92="",$G92=""),"",N($F92)-N($G92))</f>
        <v/>
      </c>
    </row>
    <row r="93">
      <c r="A93" s="15" t="n"/>
      <c r="B93" s="16">
        <f>IF($A93="","",TEXT($A93,"mmm"))</f>
        <v/>
      </c>
      <c r="C93" s="17">
        <f>IF($A93="","",YEAR($A93))</f>
        <v/>
      </c>
      <c r="D93" s="13" t="n"/>
      <c r="E93" s="13" t="n"/>
      <c r="F93" s="18" t="n"/>
      <c r="G93" s="18" t="n"/>
      <c r="H93" s="19">
        <f>IF(AND($F93="",$G93=""),"",N($F93)-N($G93))</f>
        <v/>
      </c>
    </row>
    <row r="94">
      <c r="A94" s="15" t="n"/>
      <c r="B94" s="16">
        <f>IF($A94="","",TEXT($A94,"mmm"))</f>
        <v/>
      </c>
      <c r="C94" s="17">
        <f>IF($A94="","",YEAR($A94))</f>
        <v/>
      </c>
      <c r="D94" s="13" t="n"/>
      <c r="E94" s="13" t="n"/>
      <c r="F94" s="18" t="n"/>
      <c r="G94" s="18" t="n"/>
      <c r="H94" s="19">
        <f>IF(AND($F94="",$G94=""),"",N($F94)-N($G94))</f>
        <v/>
      </c>
    </row>
    <row r="95">
      <c r="A95" s="15" t="n"/>
      <c r="B95" s="16">
        <f>IF($A95="","",TEXT($A95,"mmm"))</f>
        <v/>
      </c>
      <c r="C95" s="17">
        <f>IF($A95="","",YEAR($A95))</f>
        <v/>
      </c>
      <c r="D95" s="13" t="n"/>
      <c r="E95" s="13" t="n"/>
      <c r="F95" s="18" t="n"/>
      <c r="G95" s="18" t="n"/>
      <c r="H95" s="19">
        <f>IF(AND($F95="",$G95=""),"",N($F95)-N($G95))</f>
        <v/>
      </c>
    </row>
    <row r="96">
      <c r="A96" s="15" t="n"/>
      <c r="B96" s="16">
        <f>IF($A96="","",TEXT($A96,"mmm"))</f>
        <v/>
      </c>
      <c r="C96" s="17">
        <f>IF($A96="","",YEAR($A96))</f>
        <v/>
      </c>
      <c r="D96" s="13" t="n"/>
      <c r="E96" s="13" t="n"/>
      <c r="F96" s="18" t="n"/>
      <c r="G96" s="18" t="n"/>
      <c r="H96" s="19">
        <f>IF(AND($F96="",$G96=""),"",N($F96)-N($G96))</f>
        <v/>
      </c>
    </row>
    <row r="97">
      <c r="A97" s="15" t="n"/>
      <c r="B97" s="16">
        <f>IF($A97="","",TEXT($A97,"mmm"))</f>
        <v/>
      </c>
      <c r="C97" s="17">
        <f>IF($A97="","",YEAR($A97))</f>
        <v/>
      </c>
      <c r="D97" s="13" t="n"/>
      <c r="E97" s="13" t="n"/>
      <c r="F97" s="18" t="n"/>
      <c r="G97" s="18" t="n"/>
      <c r="H97" s="19">
        <f>IF(AND($F97="",$G97=""),"",N($F97)-N($G97))</f>
        <v/>
      </c>
    </row>
    <row r="98">
      <c r="A98" s="15" t="n"/>
      <c r="B98" s="16">
        <f>IF($A98="","",TEXT($A98,"mmm"))</f>
        <v/>
      </c>
      <c r="C98" s="17">
        <f>IF($A98="","",YEAR($A98))</f>
        <v/>
      </c>
      <c r="D98" s="13" t="n"/>
      <c r="E98" s="13" t="n"/>
      <c r="F98" s="18" t="n"/>
      <c r="G98" s="18" t="n"/>
      <c r="H98" s="19">
        <f>IF(AND($F98="",$G98=""),"",N($F98)-N($G98))</f>
        <v/>
      </c>
    </row>
    <row r="99">
      <c r="A99" s="15" t="n"/>
      <c r="B99" s="16">
        <f>IF($A99="","",TEXT($A99,"mmm"))</f>
        <v/>
      </c>
      <c r="C99" s="17">
        <f>IF($A99="","",YEAR($A99))</f>
        <v/>
      </c>
      <c r="D99" s="13" t="n"/>
      <c r="E99" s="13" t="n"/>
      <c r="F99" s="18" t="n"/>
      <c r="G99" s="18" t="n"/>
      <c r="H99" s="19">
        <f>IF(AND($F99="",$G99=""),"",N($F99)-N($G99))</f>
        <v/>
      </c>
    </row>
    <row r="100">
      <c r="A100" s="15" t="n"/>
      <c r="B100" s="16">
        <f>IF($A100="","",TEXT($A100,"mmm"))</f>
        <v/>
      </c>
      <c r="C100" s="17">
        <f>IF($A100="","",YEAR($A100))</f>
        <v/>
      </c>
      <c r="D100" s="13" t="n"/>
      <c r="E100" s="13" t="n"/>
      <c r="F100" s="18" t="n"/>
      <c r="G100" s="18" t="n"/>
      <c r="H100" s="19">
        <f>IF(AND($F100="",$G100=""),"",N($F100)-N($G100))</f>
        <v/>
      </c>
    </row>
    <row r="101">
      <c r="A101" s="15" t="n"/>
      <c r="B101" s="16">
        <f>IF($A101="","",TEXT($A101,"mmm"))</f>
        <v/>
      </c>
      <c r="C101" s="17">
        <f>IF($A101="","",YEAR($A101))</f>
        <v/>
      </c>
      <c r="D101" s="13" t="n"/>
      <c r="E101" s="13" t="n"/>
      <c r="F101" s="18" t="n"/>
      <c r="G101" s="18" t="n"/>
      <c r="H101" s="19">
        <f>IF(AND($F101="",$G101=""),"",N($F101)-N($G101))</f>
        <v/>
      </c>
    </row>
    <row r="102">
      <c r="A102" s="15" t="n"/>
      <c r="B102" s="16">
        <f>IF($A102="","",TEXT($A102,"mmm"))</f>
        <v/>
      </c>
      <c r="C102" s="17">
        <f>IF($A102="","",YEAR($A102))</f>
        <v/>
      </c>
      <c r="D102" s="13" t="n"/>
      <c r="E102" s="13" t="n"/>
      <c r="F102" s="18" t="n"/>
      <c r="G102" s="18" t="n"/>
      <c r="H102" s="19">
        <f>IF(AND($F102="",$G102=""),"",N($F102)-N($G102))</f>
        <v/>
      </c>
    </row>
    <row r="103">
      <c r="A103" s="15" t="n"/>
      <c r="B103" s="16">
        <f>IF($A103="","",TEXT($A103,"mmm"))</f>
        <v/>
      </c>
      <c r="C103" s="17">
        <f>IF($A103="","",YEAR($A103))</f>
        <v/>
      </c>
      <c r="D103" s="13" t="n"/>
      <c r="E103" s="13" t="n"/>
      <c r="F103" s="18" t="n"/>
      <c r="G103" s="18" t="n"/>
      <c r="H103" s="19">
        <f>IF(AND($F103="",$G103=""),"",N($F103)-N($G103))</f>
        <v/>
      </c>
    </row>
    <row r="104">
      <c r="A104" s="15" t="n"/>
      <c r="B104" s="16">
        <f>IF($A104="","",TEXT($A104,"mmm"))</f>
        <v/>
      </c>
      <c r="C104" s="17">
        <f>IF($A104="","",YEAR($A104))</f>
        <v/>
      </c>
      <c r="D104" s="13" t="n"/>
      <c r="E104" s="13" t="n"/>
      <c r="F104" s="18" t="n"/>
      <c r="G104" s="18" t="n"/>
      <c r="H104" s="19">
        <f>IF(AND($F104="",$G104=""),"",N($F104)-N($G104))</f>
        <v/>
      </c>
    </row>
    <row r="105">
      <c r="A105" s="15" t="n"/>
      <c r="B105" s="16">
        <f>IF($A105="","",TEXT($A105,"mmm"))</f>
        <v/>
      </c>
      <c r="C105" s="17">
        <f>IF($A105="","",YEAR($A105))</f>
        <v/>
      </c>
      <c r="D105" s="13" t="n"/>
      <c r="E105" s="13" t="n"/>
      <c r="F105" s="18" t="n"/>
      <c r="G105" s="18" t="n"/>
      <c r="H105" s="19">
        <f>IF(AND($F105="",$G105=""),"",N($F105)-N($G105))</f>
        <v/>
      </c>
    </row>
    <row r="106">
      <c r="A106" s="15" t="n"/>
      <c r="B106" s="16">
        <f>IF($A106="","",TEXT($A106,"mmm"))</f>
        <v/>
      </c>
      <c r="C106" s="17">
        <f>IF($A106="","",YEAR($A106))</f>
        <v/>
      </c>
      <c r="D106" s="13" t="n"/>
      <c r="E106" s="13" t="n"/>
      <c r="F106" s="18" t="n"/>
      <c r="G106" s="18" t="n"/>
      <c r="H106" s="19">
        <f>IF(AND($F106="",$G106=""),"",N($F106)-N($G106))</f>
        <v/>
      </c>
    </row>
    <row r="107">
      <c r="A107" s="15" t="n"/>
      <c r="B107" s="16">
        <f>IF($A107="","",TEXT($A107,"mmm"))</f>
        <v/>
      </c>
      <c r="C107" s="17">
        <f>IF($A107="","",YEAR($A107))</f>
        <v/>
      </c>
      <c r="D107" s="13" t="n"/>
      <c r="E107" s="13" t="n"/>
      <c r="F107" s="18" t="n"/>
      <c r="G107" s="18" t="n"/>
      <c r="H107" s="19">
        <f>IF(AND($F107="",$G107=""),"",N($F107)-N($G107))</f>
        <v/>
      </c>
    </row>
    <row r="108">
      <c r="A108" s="15" t="n"/>
      <c r="B108" s="16">
        <f>IF($A108="","",TEXT($A108,"mmm"))</f>
        <v/>
      </c>
      <c r="C108" s="17">
        <f>IF($A108="","",YEAR($A108))</f>
        <v/>
      </c>
      <c r="D108" s="13" t="n"/>
      <c r="E108" s="13" t="n"/>
      <c r="F108" s="18" t="n"/>
      <c r="G108" s="18" t="n"/>
      <c r="H108" s="19">
        <f>IF(AND($F108="",$G108=""),"",N($F108)-N($G108))</f>
        <v/>
      </c>
    </row>
    <row r="109">
      <c r="A109" s="15" t="n"/>
      <c r="B109" s="16">
        <f>IF($A109="","",TEXT($A109,"mmm"))</f>
        <v/>
      </c>
      <c r="C109" s="17">
        <f>IF($A109="","",YEAR($A109))</f>
        <v/>
      </c>
      <c r="D109" s="13" t="n"/>
      <c r="E109" s="13" t="n"/>
      <c r="F109" s="18" t="n"/>
      <c r="G109" s="18" t="n"/>
      <c r="H109" s="19">
        <f>IF(AND($F109="",$G109=""),"",N($F109)-N($G109))</f>
        <v/>
      </c>
    </row>
    <row r="110">
      <c r="A110" s="15" t="n"/>
      <c r="B110" s="16">
        <f>IF($A110="","",TEXT($A110,"mmm"))</f>
        <v/>
      </c>
      <c r="C110" s="17">
        <f>IF($A110="","",YEAR($A110))</f>
        <v/>
      </c>
      <c r="D110" s="13" t="n"/>
      <c r="E110" s="13" t="n"/>
      <c r="F110" s="18" t="n"/>
      <c r="G110" s="18" t="n"/>
      <c r="H110" s="19">
        <f>IF(AND($F110="",$G110=""),"",N($F110)-N($G110))</f>
        <v/>
      </c>
    </row>
    <row r="111">
      <c r="A111" s="15" t="n"/>
      <c r="B111" s="16">
        <f>IF($A111="","",TEXT($A111,"mmm"))</f>
        <v/>
      </c>
      <c r="C111" s="17">
        <f>IF($A111="","",YEAR($A111))</f>
        <v/>
      </c>
      <c r="D111" s="13" t="n"/>
      <c r="E111" s="13" t="n"/>
      <c r="F111" s="18" t="n"/>
      <c r="G111" s="18" t="n"/>
      <c r="H111" s="19">
        <f>IF(AND($F111="",$G111=""),"",N($F111)-N($G111))</f>
        <v/>
      </c>
    </row>
    <row r="112">
      <c r="A112" s="15" t="n"/>
      <c r="B112" s="16">
        <f>IF($A112="","",TEXT($A112,"mmm"))</f>
        <v/>
      </c>
      <c r="C112" s="17">
        <f>IF($A112="","",YEAR($A112))</f>
        <v/>
      </c>
      <c r="D112" s="13" t="n"/>
      <c r="E112" s="13" t="n"/>
      <c r="F112" s="18" t="n"/>
      <c r="G112" s="18" t="n"/>
      <c r="H112" s="19">
        <f>IF(AND($F112="",$G112=""),"",N($F112)-N($G112))</f>
        <v/>
      </c>
    </row>
    <row r="113">
      <c r="A113" s="15" t="n"/>
      <c r="B113" s="16">
        <f>IF($A113="","",TEXT($A113,"mmm"))</f>
        <v/>
      </c>
      <c r="C113" s="17">
        <f>IF($A113="","",YEAR($A113))</f>
        <v/>
      </c>
      <c r="D113" s="13" t="n"/>
      <c r="E113" s="13" t="n"/>
      <c r="F113" s="18" t="n"/>
      <c r="G113" s="18" t="n"/>
      <c r="H113" s="19">
        <f>IF(AND($F113="",$G113=""),"",N($F113)-N($G113))</f>
        <v/>
      </c>
    </row>
    <row r="114">
      <c r="A114" s="15" t="n"/>
      <c r="B114" s="16">
        <f>IF($A114="","",TEXT($A114,"mmm"))</f>
        <v/>
      </c>
      <c r="C114" s="17">
        <f>IF($A114="","",YEAR($A114))</f>
        <v/>
      </c>
      <c r="D114" s="13" t="n"/>
      <c r="E114" s="13" t="n"/>
      <c r="F114" s="18" t="n"/>
      <c r="G114" s="18" t="n"/>
      <c r="H114" s="19">
        <f>IF(AND($F114="",$G114=""),"",N($F114)-N($G114))</f>
        <v/>
      </c>
    </row>
    <row r="115">
      <c r="A115" s="15" t="n"/>
      <c r="B115" s="16">
        <f>IF($A115="","",TEXT($A115,"mmm"))</f>
        <v/>
      </c>
      <c r="C115" s="17">
        <f>IF($A115="","",YEAR($A115))</f>
        <v/>
      </c>
      <c r="D115" s="13" t="n"/>
      <c r="E115" s="13" t="n"/>
      <c r="F115" s="18" t="n"/>
      <c r="G115" s="18" t="n"/>
      <c r="H115" s="19">
        <f>IF(AND($F115="",$G115=""),"",N($F115)-N($G115))</f>
        <v/>
      </c>
    </row>
    <row r="116">
      <c r="A116" s="15" t="n"/>
      <c r="B116" s="16">
        <f>IF($A116="","",TEXT($A116,"mmm"))</f>
        <v/>
      </c>
      <c r="C116" s="17">
        <f>IF($A116="","",YEAR($A116))</f>
        <v/>
      </c>
      <c r="D116" s="13" t="n"/>
      <c r="E116" s="13" t="n"/>
      <c r="F116" s="18" t="n"/>
      <c r="G116" s="18" t="n"/>
      <c r="H116" s="19">
        <f>IF(AND($F116="",$G116=""),"",N($F116)-N($G116))</f>
        <v/>
      </c>
    </row>
    <row r="117">
      <c r="A117" s="15" t="n"/>
      <c r="B117" s="16">
        <f>IF($A117="","",TEXT($A117,"mmm"))</f>
        <v/>
      </c>
      <c r="C117" s="17">
        <f>IF($A117="","",YEAR($A117))</f>
        <v/>
      </c>
      <c r="D117" s="13" t="n"/>
      <c r="E117" s="13" t="n"/>
      <c r="F117" s="18" t="n"/>
      <c r="G117" s="18" t="n"/>
      <c r="H117" s="19">
        <f>IF(AND($F117="",$G117=""),"",N($F117)-N($G117))</f>
        <v/>
      </c>
    </row>
    <row r="118">
      <c r="A118" s="15" t="n"/>
      <c r="B118" s="16">
        <f>IF($A118="","",TEXT($A118,"mmm"))</f>
        <v/>
      </c>
      <c r="C118" s="17">
        <f>IF($A118="","",YEAR($A118))</f>
        <v/>
      </c>
      <c r="D118" s="13" t="n"/>
      <c r="E118" s="13" t="n"/>
      <c r="F118" s="18" t="n"/>
      <c r="G118" s="18" t="n"/>
      <c r="H118" s="19">
        <f>IF(AND($F118="",$G118=""),"",N($F118)-N($G118))</f>
        <v/>
      </c>
    </row>
    <row r="119">
      <c r="A119" s="15" t="n"/>
      <c r="B119" s="16">
        <f>IF($A119="","",TEXT($A119,"mmm"))</f>
        <v/>
      </c>
      <c r="C119" s="17">
        <f>IF($A119="","",YEAR($A119))</f>
        <v/>
      </c>
      <c r="D119" s="13" t="n"/>
      <c r="E119" s="13" t="n"/>
      <c r="F119" s="18" t="n"/>
      <c r="G119" s="18" t="n"/>
      <c r="H119" s="19">
        <f>IF(AND($F119="",$G119=""),"",N($F119)-N($G119))</f>
        <v/>
      </c>
    </row>
    <row r="120">
      <c r="A120" s="15" t="n"/>
      <c r="B120" s="16">
        <f>IF($A120="","",TEXT($A120,"mmm"))</f>
        <v/>
      </c>
      <c r="C120" s="17">
        <f>IF($A120="","",YEAR($A120))</f>
        <v/>
      </c>
      <c r="D120" s="13" t="n"/>
      <c r="E120" s="13" t="n"/>
      <c r="F120" s="18" t="n"/>
      <c r="G120" s="18" t="n"/>
      <c r="H120" s="19">
        <f>IF(AND($F120="",$G120=""),"",N($F120)-N($G120))</f>
        <v/>
      </c>
    </row>
    <row r="121">
      <c r="A121" s="15" t="n"/>
      <c r="B121" s="16">
        <f>IF($A121="","",TEXT($A121,"mmm"))</f>
        <v/>
      </c>
      <c r="C121" s="17">
        <f>IF($A121="","",YEAR($A121))</f>
        <v/>
      </c>
      <c r="D121" s="13" t="n"/>
      <c r="E121" s="13" t="n"/>
      <c r="F121" s="18" t="n"/>
      <c r="G121" s="18" t="n"/>
      <c r="H121" s="19">
        <f>IF(AND($F121="",$G121=""),"",N($F121)-N($G121))</f>
        <v/>
      </c>
    </row>
    <row r="122">
      <c r="A122" s="15" t="n"/>
      <c r="B122" s="16">
        <f>IF($A122="","",TEXT($A122,"mmm"))</f>
        <v/>
      </c>
      <c r="C122" s="17">
        <f>IF($A122="","",YEAR($A122))</f>
        <v/>
      </c>
      <c r="D122" s="13" t="n"/>
      <c r="E122" s="13" t="n"/>
      <c r="F122" s="18" t="n"/>
      <c r="G122" s="18" t="n"/>
      <c r="H122" s="19">
        <f>IF(AND($F122="",$G122=""),"",N($F122)-N($G122))</f>
        <v/>
      </c>
    </row>
    <row r="123">
      <c r="A123" s="15" t="n"/>
      <c r="B123" s="16">
        <f>IF($A123="","",TEXT($A123,"mmm"))</f>
        <v/>
      </c>
      <c r="C123" s="17">
        <f>IF($A123="","",YEAR($A123))</f>
        <v/>
      </c>
      <c r="D123" s="13" t="n"/>
      <c r="E123" s="13" t="n"/>
      <c r="F123" s="18" t="n"/>
      <c r="G123" s="18" t="n"/>
      <c r="H123" s="19">
        <f>IF(AND($F123="",$G123=""),"",N($F123)-N($G123))</f>
        <v/>
      </c>
    </row>
    <row r="124">
      <c r="A124" s="15" t="n"/>
      <c r="B124" s="16">
        <f>IF($A124="","",TEXT($A124,"mmm"))</f>
        <v/>
      </c>
      <c r="C124" s="17">
        <f>IF($A124="","",YEAR($A124))</f>
        <v/>
      </c>
      <c r="D124" s="13" t="n"/>
      <c r="E124" s="13" t="n"/>
      <c r="F124" s="18" t="n"/>
      <c r="G124" s="18" t="n"/>
      <c r="H124" s="19">
        <f>IF(AND($F124="",$G124=""),"",N($F124)-N($G124))</f>
        <v/>
      </c>
    </row>
    <row r="125">
      <c r="A125" s="15" t="n"/>
      <c r="B125" s="16">
        <f>IF($A125="","",TEXT($A125,"mmm"))</f>
        <v/>
      </c>
      <c r="C125" s="17">
        <f>IF($A125="","",YEAR($A125))</f>
        <v/>
      </c>
      <c r="D125" s="13" t="n"/>
      <c r="E125" s="13" t="n"/>
      <c r="F125" s="18" t="n"/>
      <c r="G125" s="18" t="n"/>
      <c r="H125" s="19">
        <f>IF(AND($F125="",$G125=""),"",N($F125)-N($G125))</f>
        <v/>
      </c>
    </row>
    <row r="126">
      <c r="A126" s="15" t="n"/>
      <c r="B126" s="16">
        <f>IF($A126="","",TEXT($A126,"mmm"))</f>
        <v/>
      </c>
      <c r="C126" s="17">
        <f>IF($A126="","",YEAR($A126))</f>
        <v/>
      </c>
      <c r="D126" s="13" t="n"/>
      <c r="E126" s="13" t="n"/>
      <c r="F126" s="18" t="n"/>
      <c r="G126" s="18" t="n"/>
      <c r="H126" s="19">
        <f>IF(AND($F126="",$G126=""),"",N($F126)-N($G126))</f>
        <v/>
      </c>
    </row>
    <row r="127">
      <c r="A127" s="15" t="n"/>
      <c r="B127" s="16">
        <f>IF($A127="","",TEXT($A127,"mmm"))</f>
        <v/>
      </c>
      <c r="C127" s="17">
        <f>IF($A127="","",YEAR($A127))</f>
        <v/>
      </c>
      <c r="D127" s="13" t="n"/>
      <c r="E127" s="13" t="n"/>
      <c r="F127" s="18" t="n"/>
      <c r="G127" s="18" t="n"/>
      <c r="H127" s="19">
        <f>IF(AND($F127="",$G127=""),"",N($F127)-N($G127))</f>
        <v/>
      </c>
    </row>
    <row r="128">
      <c r="A128" s="15" t="n"/>
      <c r="B128" s="16">
        <f>IF($A128="","",TEXT($A128,"mmm"))</f>
        <v/>
      </c>
      <c r="C128" s="17">
        <f>IF($A128="","",YEAR($A128))</f>
        <v/>
      </c>
      <c r="D128" s="13" t="n"/>
      <c r="E128" s="13" t="n"/>
      <c r="F128" s="18" t="n"/>
      <c r="G128" s="18" t="n"/>
      <c r="H128" s="19">
        <f>IF(AND($F128="",$G128=""),"",N($F128)-N($G128))</f>
        <v/>
      </c>
    </row>
    <row r="129">
      <c r="A129" s="15" t="n"/>
      <c r="B129" s="16">
        <f>IF($A129="","",TEXT($A129,"mmm"))</f>
        <v/>
      </c>
      <c r="C129" s="17">
        <f>IF($A129="","",YEAR($A129))</f>
        <v/>
      </c>
      <c r="D129" s="13" t="n"/>
      <c r="E129" s="13" t="n"/>
      <c r="F129" s="18" t="n"/>
      <c r="G129" s="18" t="n"/>
      <c r="H129" s="19">
        <f>IF(AND($F129="",$G129=""),"",N($F129)-N($G129))</f>
        <v/>
      </c>
    </row>
    <row r="130">
      <c r="A130" s="15" t="n"/>
      <c r="B130" s="16">
        <f>IF($A130="","",TEXT($A130,"mmm"))</f>
        <v/>
      </c>
      <c r="C130" s="17">
        <f>IF($A130="","",YEAR($A130))</f>
        <v/>
      </c>
      <c r="D130" s="13" t="n"/>
      <c r="E130" s="13" t="n"/>
      <c r="F130" s="18" t="n"/>
      <c r="G130" s="18" t="n"/>
      <c r="H130" s="19">
        <f>IF(AND($F130="",$G130=""),"",N($F130)-N($G130))</f>
        <v/>
      </c>
    </row>
    <row r="131">
      <c r="A131" s="15" t="n"/>
      <c r="B131" s="16">
        <f>IF($A131="","",TEXT($A131,"mmm"))</f>
        <v/>
      </c>
      <c r="C131" s="17">
        <f>IF($A131="","",YEAR($A131))</f>
        <v/>
      </c>
      <c r="D131" s="13" t="n"/>
      <c r="E131" s="13" t="n"/>
      <c r="F131" s="18" t="n"/>
      <c r="G131" s="18" t="n"/>
      <c r="H131" s="19">
        <f>IF(AND($F131="",$G131=""),"",N($F131)-N($G131))</f>
        <v/>
      </c>
    </row>
    <row r="132">
      <c r="A132" s="15" t="n"/>
      <c r="B132" s="16">
        <f>IF($A132="","",TEXT($A132,"mmm"))</f>
        <v/>
      </c>
      <c r="C132" s="17">
        <f>IF($A132="","",YEAR($A132))</f>
        <v/>
      </c>
      <c r="D132" s="13" t="n"/>
      <c r="E132" s="13" t="n"/>
      <c r="F132" s="18" t="n"/>
      <c r="G132" s="18" t="n"/>
      <c r="H132" s="19">
        <f>IF(AND($F132="",$G132=""),"",N($F132)-N($G132))</f>
        <v/>
      </c>
    </row>
    <row r="133">
      <c r="A133" s="15" t="n"/>
      <c r="B133" s="16">
        <f>IF($A133="","",TEXT($A133,"mmm"))</f>
        <v/>
      </c>
      <c r="C133" s="17">
        <f>IF($A133="","",YEAR($A133))</f>
        <v/>
      </c>
      <c r="D133" s="13" t="n"/>
      <c r="E133" s="13" t="n"/>
      <c r="F133" s="18" t="n"/>
      <c r="G133" s="18" t="n"/>
      <c r="H133" s="19">
        <f>IF(AND($F133="",$G133=""),"",N($F133)-N($G133))</f>
        <v/>
      </c>
    </row>
    <row r="134">
      <c r="A134" s="15" t="n"/>
      <c r="B134" s="16">
        <f>IF($A134="","",TEXT($A134,"mmm"))</f>
        <v/>
      </c>
      <c r="C134" s="17">
        <f>IF($A134="","",YEAR($A134))</f>
        <v/>
      </c>
      <c r="D134" s="13" t="n"/>
      <c r="E134" s="13" t="n"/>
      <c r="F134" s="18" t="n"/>
      <c r="G134" s="18" t="n"/>
      <c r="H134" s="19">
        <f>IF(AND($F134="",$G134=""),"",N($F134)-N($G134))</f>
        <v/>
      </c>
    </row>
    <row r="135">
      <c r="A135" s="15" t="n"/>
      <c r="B135" s="16">
        <f>IF($A135="","",TEXT($A135,"mmm"))</f>
        <v/>
      </c>
      <c r="C135" s="17">
        <f>IF($A135="","",YEAR($A135))</f>
        <v/>
      </c>
      <c r="D135" s="13" t="n"/>
      <c r="E135" s="13" t="n"/>
      <c r="F135" s="18" t="n"/>
      <c r="G135" s="18" t="n"/>
      <c r="H135" s="19">
        <f>IF(AND($F135="",$G135=""),"",N($F135)-N($G135))</f>
        <v/>
      </c>
    </row>
    <row r="136">
      <c r="A136" s="15" t="n"/>
      <c r="B136" s="16">
        <f>IF($A136="","",TEXT($A136,"mmm"))</f>
        <v/>
      </c>
      <c r="C136" s="17">
        <f>IF($A136="","",YEAR($A136))</f>
        <v/>
      </c>
      <c r="D136" s="13" t="n"/>
      <c r="E136" s="13" t="n"/>
      <c r="F136" s="18" t="n"/>
      <c r="G136" s="18" t="n"/>
      <c r="H136" s="19">
        <f>IF(AND($F136="",$G136=""),"",N($F136)-N($G136))</f>
        <v/>
      </c>
    </row>
    <row r="137">
      <c r="A137" s="15" t="n"/>
      <c r="B137" s="16">
        <f>IF($A137="","",TEXT($A137,"mmm"))</f>
        <v/>
      </c>
      <c r="C137" s="17">
        <f>IF($A137="","",YEAR($A137))</f>
        <v/>
      </c>
      <c r="D137" s="13" t="n"/>
      <c r="E137" s="13" t="n"/>
      <c r="F137" s="18" t="n"/>
      <c r="G137" s="18" t="n"/>
      <c r="H137" s="19">
        <f>IF(AND($F137="",$G137=""),"",N($F137)-N($G137))</f>
        <v/>
      </c>
    </row>
    <row r="138">
      <c r="A138" s="15" t="n"/>
      <c r="B138" s="16">
        <f>IF($A138="","",TEXT($A138,"mmm"))</f>
        <v/>
      </c>
      <c r="C138" s="17">
        <f>IF($A138="","",YEAR($A138))</f>
        <v/>
      </c>
      <c r="D138" s="13" t="n"/>
      <c r="E138" s="13" t="n"/>
      <c r="F138" s="18" t="n"/>
      <c r="G138" s="18" t="n"/>
      <c r="H138" s="19">
        <f>IF(AND($F138="",$G138=""),"",N($F138)-N($G138))</f>
        <v/>
      </c>
    </row>
    <row r="139">
      <c r="A139" s="15" t="n"/>
      <c r="B139" s="16">
        <f>IF($A139="","",TEXT($A139,"mmm"))</f>
        <v/>
      </c>
      <c r="C139" s="17">
        <f>IF($A139="","",YEAR($A139))</f>
        <v/>
      </c>
      <c r="D139" s="13" t="n"/>
      <c r="E139" s="13" t="n"/>
      <c r="F139" s="18" t="n"/>
      <c r="G139" s="18" t="n"/>
      <c r="H139" s="19">
        <f>IF(AND($F139="",$G139=""),"",N($F139)-N($G139))</f>
        <v/>
      </c>
    </row>
    <row r="140">
      <c r="A140" s="15" t="n"/>
      <c r="B140" s="16">
        <f>IF($A140="","",TEXT($A140,"mmm"))</f>
        <v/>
      </c>
      <c r="C140" s="17">
        <f>IF($A140="","",YEAR($A140))</f>
        <v/>
      </c>
      <c r="D140" s="13" t="n"/>
      <c r="E140" s="13" t="n"/>
      <c r="F140" s="18" t="n"/>
      <c r="G140" s="18" t="n"/>
      <c r="H140" s="19">
        <f>IF(AND($F140="",$G140=""),"",N($F140)-N($G140))</f>
        <v/>
      </c>
    </row>
    <row r="141">
      <c r="A141" s="15" t="n"/>
      <c r="B141" s="16">
        <f>IF($A141="","",TEXT($A141,"mmm"))</f>
        <v/>
      </c>
      <c r="C141" s="17">
        <f>IF($A141="","",YEAR($A141))</f>
        <v/>
      </c>
      <c r="D141" s="13" t="n"/>
      <c r="E141" s="13" t="n"/>
      <c r="F141" s="18" t="n"/>
      <c r="G141" s="18" t="n"/>
      <c r="H141" s="19">
        <f>IF(AND($F141="",$G141=""),"",N($F141)-N($G141))</f>
        <v/>
      </c>
    </row>
    <row r="142">
      <c r="A142" s="15" t="n"/>
      <c r="B142" s="16">
        <f>IF($A142="","",TEXT($A142,"mmm"))</f>
        <v/>
      </c>
      <c r="C142" s="17">
        <f>IF($A142="","",YEAR($A142))</f>
        <v/>
      </c>
      <c r="D142" s="13" t="n"/>
      <c r="E142" s="13" t="n"/>
      <c r="F142" s="18" t="n"/>
      <c r="G142" s="18" t="n"/>
      <c r="H142" s="19">
        <f>IF(AND($F142="",$G142=""),"",N($F142)-N($G142))</f>
        <v/>
      </c>
    </row>
    <row r="143">
      <c r="A143" s="15" t="n"/>
      <c r="B143" s="16">
        <f>IF($A143="","",TEXT($A143,"mmm"))</f>
        <v/>
      </c>
      <c r="C143" s="17">
        <f>IF($A143="","",YEAR($A143))</f>
        <v/>
      </c>
      <c r="D143" s="13" t="n"/>
      <c r="E143" s="13" t="n"/>
      <c r="F143" s="18" t="n"/>
      <c r="G143" s="18" t="n"/>
      <c r="H143" s="19">
        <f>IF(AND($F143="",$G143=""),"",N($F143)-N($G143))</f>
        <v/>
      </c>
    </row>
    <row r="144">
      <c r="A144" s="15" t="n"/>
      <c r="B144" s="16">
        <f>IF($A144="","",TEXT($A144,"mmm"))</f>
        <v/>
      </c>
      <c r="C144" s="17">
        <f>IF($A144="","",YEAR($A144))</f>
        <v/>
      </c>
      <c r="D144" s="13" t="n"/>
      <c r="E144" s="13" t="n"/>
      <c r="F144" s="18" t="n"/>
      <c r="G144" s="18" t="n"/>
      <c r="H144" s="19">
        <f>IF(AND($F144="",$G144=""),"",N($F144)-N($G144))</f>
        <v/>
      </c>
    </row>
    <row r="145">
      <c r="A145" s="15" t="n"/>
      <c r="B145" s="16">
        <f>IF($A145="","",TEXT($A145,"mmm"))</f>
        <v/>
      </c>
      <c r="C145" s="17">
        <f>IF($A145="","",YEAR($A145))</f>
        <v/>
      </c>
      <c r="D145" s="13" t="n"/>
      <c r="E145" s="13" t="n"/>
      <c r="F145" s="18" t="n"/>
      <c r="G145" s="18" t="n"/>
      <c r="H145" s="19">
        <f>IF(AND($F145="",$G145=""),"",N($F145)-N($G145))</f>
        <v/>
      </c>
    </row>
    <row r="146">
      <c r="A146" s="15" t="n"/>
      <c r="B146" s="16">
        <f>IF($A146="","",TEXT($A146,"mmm"))</f>
        <v/>
      </c>
      <c r="C146" s="17">
        <f>IF($A146="","",YEAR($A146))</f>
        <v/>
      </c>
      <c r="D146" s="13" t="n"/>
      <c r="E146" s="13" t="n"/>
      <c r="F146" s="18" t="n"/>
      <c r="G146" s="18" t="n"/>
      <c r="H146" s="19">
        <f>IF(AND($F146="",$G146=""),"",N($F146)-N($G146))</f>
        <v/>
      </c>
    </row>
    <row r="147">
      <c r="A147" s="15" t="n"/>
      <c r="B147" s="16">
        <f>IF($A147="","",TEXT($A147,"mmm"))</f>
        <v/>
      </c>
      <c r="C147" s="17">
        <f>IF($A147="","",YEAR($A147))</f>
        <v/>
      </c>
      <c r="D147" s="13" t="n"/>
      <c r="E147" s="13" t="n"/>
      <c r="F147" s="18" t="n"/>
      <c r="G147" s="18" t="n"/>
      <c r="H147" s="19">
        <f>IF(AND($F147="",$G147=""),"",N($F147)-N($G147))</f>
        <v/>
      </c>
    </row>
    <row r="148">
      <c r="A148" s="15" t="n"/>
      <c r="B148" s="16">
        <f>IF($A148="","",TEXT($A148,"mmm"))</f>
        <v/>
      </c>
      <c r="C148" s="17">
        <f>IF($A148="","",YEAR($A148))</f>
        <v/>
      </c>
      <c r="D148" s="13" t="n"/>
      <c r="E148" s="13" t="n"/>
      <c r="F148" s="18" t="n"/>
      <c r="G148" s="18" t="n"/>
      <c r="H148" s="19">
        <f>IF(AND($F148="",$G148=""),"",N($F148)-N($G148))</f>
        <v/>
      </c>
    </row>
    <row r="149">
      <c r="A149" s="15" t="n"/>
      <c r="B149" s="16">
        <f>IF($A149="","",TEXT($A149,"mmm"))</f>
        <v/>
      </c>
      <c r="C149" s="17">
        <f>IF($A149="","",YEAR($A149))</f>
        <v/>
      </c>
      <c r="D149" s="13" t="n"/>
      <c r="E149" s="13" t="n"/>
      <c r="F149" s="18" t="n"/>
      <c r="G149" s="18" t="n"/>
      <c r="H149" s="19">
        <f>IF(AND($F149="",$G149=""),"",N($F149)-N($G149))</f>
        <v/>
      </c>
    </row>
    <row r="150">
      <c r="A150" s="15" t="n"/>
      <c r="B150" s="16">
        <f>IF($A150="","",TEXT($A150,"mmm"))</f>
        <v/>
      </c>
      <c r="C150" s="17">
        <f>IF($A150="","",YEAR($A150))</f>
        <v/>
      </c>
      <c r="D150" s="13" t="n"/>
      <c r="E150" s="13" t="n"/>
      <c r="F150" s="18" t="n"/>
      <c r="G150" s="18" t="n"/>
      <c r="H150" s="19">
        <f>IF(AND($F150="",$G150=""),"",N($F150)-N($G150))</f>
        <v/>
      </c>
    </row>
    <row r="151">
      <c r="A151" s="15" t="n"/>
      <c r="B151" s="16">
        <f>IF($A151="","",TEXT($A151,"mmm"))</f>
        <v/>
      </c>
      <c r="C151" s="17">
        <f>IF($A151="","",YEAR($A151))</f>
        <v/>
      </c>
      <c r="D151" s="13" t="n"/>
      <c r="E151" s="13" t="n"/>
      <c r="F151" s="18" t="n"/>
      <c r="G151" s="18" t="n"/>
      <c r="H151" s="19">
        <f>IF(AND($F151="",$G151=""),"",N($F151)-N($G151))</f>
        <v/>
      </c>
    </row>
    <row r="152">
      <c r="A152" s="15" t="n"/>
      <c r="B152" s="16">
        <f>IF($A152="","",TEXT($A152,"mmm"))</f>
        <v/>
      </c>
      <c r="C152" s="17">
        <f>IF($A152="","",YEAR($A152))</f>
        <v/>
      </c>
      <c r="D152" s="13" t="n"/>
      <c r="E152" s="13" t="n"/>
      <c r="F152" s="18" t="n"/>
      <c r="G152" s="18" t="n"/>
      <c r="H152" s="19">
        <f>IF(AND($F152="",$G152=""),"",N($F152)-N($G152))</f>
        <v/>
      </c>
    </row>
    <row r="153">
      <c r="A153" s="15" t="n"/>
      <c r="B153" s="16">
        <f>IF($A153="","",TEXT($A153,"mmm"))</f>
        <v/>
      </c>
      <c r="C153" s="17">
        <f>IF($A153="","",YEAR($A153))</f>
        <v/>
      </c>
      <c r="D153" s="13" t="n"/>
      <c r="E153" s="13" t="n"/>
      <c r="F153" s="18" t="n"/>
      <c r="G153" s="18" t="n"/>
      <c r="H153" s="19">
        <f>IF(AND($F153="",$G153=""),"",N($F153)-N($G153))</f>
        <v/>
      </c>
    </row>
    <row r="154">
      <c r="A154" s="15" t="n"/>
      <c r="B154" s="16">
        <f>IF($A154="","",TEXT($A154,"mmm"))</f>
        <v/>
      </c>
      <c r="C154" s="17">
        <f>IF($A154="","",YEAR($A154))</f>
        <v/>
      </c>
      <c r="D154" s="13" t="n"/>
      <c r="E154" s="13" t="n"/>
      <c r="F154" s="18" t="n"/>
      <c r="G154" s="18" t="n"/>
      <c r="H154" s="19">
        <f>IF(AND($F154="",$G154=""),"",N($F154)-N($G154))</f>
        <v/>
      </c>
    </row>
    <row r="155">
      <c r="A155" s="15" t="n"/>
      <c r="B155" s="16">
        <f>IF($A155="","",TEXT($A155,"mmm"))</f>
        <v/>
      </c>
      <c r="C155" s="17">
        <f>IF($A155="","",YEAR($A155))</f>
        <v/>
      </c>
      <c r="D155" s="13" t="n"/>
      <c r="E155" s="13" t="n"/>
      <c r="F155" s="18" t="n"/>
      <c r="G155" s="18" t="n"/>
      <c r="H155" s="19">
        <f>IF(AND($F155="",$G155=""),"",N($F155)-N($G155))</f>
        <v/>
      </c>
    </row>
    <row r="156">
      <c r="A156" s="15" t="n"/>
      <c r="B156" s="16">
        <f>IF($A156="","",TEXT($A156,"mmm"))</f>
        <v/>
      </c>
      <c r="C156" s="17">
        <f>IF($A156="","",YEAR($A156))</f>
        <v/>
      </c>
      <c r="D156" s="13" t="n"/>
      <c r="E156" s="13" t="n"/>
      <c r="F156" s="18" t="n"/>
      <c r="G156" s="18" t="n"/>
      <c r="H156" s="19">
        <f>IF(AND($F156="",$G156=""),"",N($F156)-N($G156))</f>
        <v/>
      </c>
    </row>
    <row r="157">
      <c r="A157" s="15" t="n"/>
      <c r="B157" s="16">
        <f>IF($A157="","",TEXT($A157,"mmm"))</f>
        <v/>
      </c>
      <c r="C157" s="17">
        <f>IF($A157="","",YEAR($A157))</f>
        <v/>
      </c>
      <c r="D157" s="13" t="n"/>
      <c r="E157" s="13" t="n"/>
      <c r="F157" s="18" t="n"/>
      <c r="G157" s="18" t="n"/>
      <c r="H157" s="19">
        <f>IF(AND($F157="",$G157=""),"",N($F157)-N($G157))</f>
        <v/>
      </c>
    </row>
    <row r="158">
      <c r="A158" s="15" t="n"/>
      <c r="B158" s="16">
        <f>IF($A158="","",TEXT($A158,"mmm"))</f>
        <v/>
      </c>
      <c r="C158" s="17">
        <f>IF($A158="","",YEAR($A158))</f>
        <v/>
      </c>
      <c r="D158" s="13" t="n"/>
      <c r="E158" s="13" t="n"/>
      <c r="F158" s="18" t="n"/>
      <c r="G158" s="18" t="n"/>
      <c r="H158" s="19">
        <f>IF(AND($F158="",$G158=""),"",N($F158)-N($G158))</f>
        <v/>
      </c>
    </row>
    <row r="159">
      <c r="A159" s="15" t="n"/>
      <c r="B159" s="16">
        <f>IF($A159="","",TEXT($A159,"mmm"))</f>
        <v/>
      </c>
      <c r="C159" s="17">
        <f>IF($A159="","",YEAR($A159))</f>
        <v/>
      </c>
      <c r="D159" s="13" t="n"/>
      <c r="E159" s="13" t="n"/>
      <c r="F159" s="18" t="n"/>
      <c r="G159" s="18" t="n"/>
      <c r="H159" s="19">
        <f>IF(AND($F159="",$G159=""),"",N($F159)-N($G159))</f>
        <v/>
      </c>
    </row>
    <row r="160">
      <c r="A160" s="15" t="n"/>
      <c r="B160" s="16">
        <f>IF($A160="","",TEXT($A160,"mmm"))</f>
        <v/>
      </c>
      <c r="C160" s="17">
        <f>IF($A160="","",YEAR($A160))</f>
        <v/>
      </c>
      <c r="D160" s="13" t="n"/>
      <c r="E160" s="13" t="n"/>
      <c r="F160" s="18" t="n"/>
      <c r="G160" s="18" t="n"/>
      <c r="H160" s="19">
        <f>IF(AND($F160="",$G160=""),"",N($F160)-N($G160))</f>
        <v/>
      </c>
    </row>
    <row r="161">
      <c r="A161" s="15" t="n"/>
      <c r="B161" s="16">
        <f>IF($A161="","",TEXT($A161,"mmm"))</f>
        <v/>
      </c>
      <c r="C161" s="17">
        <f>IF($A161="","",YEAR($A161))</f>
        <v/>
      </c>
      <c r="D161" s="13" t="n"/>
      <c r="E161" s="13" t="n"/>
      <c r="F161" s="18" t="n"/>
      <c r="G161" s="18" t="n"/>
      <c r="H161" s="19">
        <f>IF(AND($F161="",$G161=""),"",N($F161)-N($G161))</f>
        <v/>
      </c>
    </row>
    <row r="162">
      <c r="A162" s="15" t="n"/>
      <c r="B162" s="16">
        <f>IF($A162="","",TEXT($A162,"mmm"))</f>
        <v/>
      </c>
      <c r="C162" s="17">
        <f>IF($A162="","",YEAR($A162))</f>
        <v/>
      </c>
      <c r="D162" s="13" t="n"/>
      <c r="E162" s="13" t="n"/>
      <c r="F162" s="18" t="n"/>
      <c r="G162" s="18" t="n"/>
      <c r="H162" s="19">
        <f>IF(AND($F162="",$G162=""),"",N($F162)-N($G162))</f>
        <v/>
      </c>
    </row>
    <row r="163">
      <c r="A163" s="15" t="n"/>
      <c r="B163" s="16">
        <f>IF($A163="","",TEXT($A163,"mmm"))</f>
        <v/>
      </c>
      <c r="C163" s="17">
        <f>IF($A163="","",YEAR($A163))</f>
        <v/>
      </c>
      <c r="D163" s="13" t="n"/>
      <c r="E163" s="13" t="n"/>
      <c r="F163" s="18" t="n"/>
      <c r="G163" s="18" t="n"/>
      <c r="H163" s="19">
        <f>IF(AND($F163="",$G163=""),"",N($F163)-N($G163))</f>
        <v/>
      </c>
    </row>
    <row r="164">
      <c r="A164" s="15" t="n"/>
      <c r="B164" s="16">
        <f>IF($A164="","",TEXT($A164,"mmm"))</f>
        <v/>
      </c>
      <c r="C164" s="17">
        <f>IF($A164="","",YEAR($A164))</f>
        <v/>
      </c>
      <c r="D164" s="13" t="n"/>
      <c r="E164" s="13" t="n"/>
      <c r="F164" s="18" t="n"/>
      <c r="G164" s="18" t="n"/>
      <c r="H164" s="19">
        <f>IF(AND($F164="",$G164=""),"",N($F164)-N($G164))</f>
        <v/>
      </c>
    </row>
    <row r="165">
      <c r="A165" s="15" t="n"/>
      <c r="B165" s="16">
        <f>IF($A165="","",TEXT($A165,"mmm"))</f>
        <v/>
      </c>
      <c r="C165" s="17">
        <f>IF($A165="","",YEAR($A165))</f>
        <v/>
      </c>
      <c r="D165" s="13" t="n"/>
      <c r="E165" s="13" t="n"/>
      <c r="F165" s="18" t="n"/>
      <c r="G165" s="18" t="n"/>
      <c r="H165" s="19">
        <f>IF(AND($F165="",$G165=""),"",N($F165)-N($G165))</f>
        <v/>
      </c>
    </row>
    <row r="166">
      <c r="A166" s="15" t="n"/>
      <c r="B166" s="16">
        <f>IF($A166="","",TEXT($A166,"mmm"))</f>
        <v/>
      </c>
      <c r="C166" s="17">
        <f>IF($A166="","",YEAR($A166))</f>
        <v/>
      </c>
      <c r="D166" s="13" t="n"/>
      <c r="E166" s="13" t="n"/>
      <c r="F166" s="18" t="n"/>
      <c r="G166" s="18" t="n"/>
      <c r="H166" s="19">
        <f>IF(AND($F166="",$G166=""),"",N($F166)-N($G166))</f>
        <v/>
      </c>
    </row>
    <row r="167">
      <c r="A167" s="15" t="n"/>
      <c r="B167" s="16">
        <f>IF($A167="","",TEXT($A167,"mmm"))</f>
        <v/>
      </c>
      <c r="C167" s="17">
        <f>IF($A167="","",YEAR($A167))</f>
        <v/>
      </c>
      <c r="D167" s="13" t="n"/>
      <c r="E167" s="13" t="n"/>
      <c r="F167" s="18" t="n"/>
      <c r="G167" s="18" t="n"/>
      <c r="H167" s="19">
        <f>IF(AND($F167="",$G167=""),"",N($F167)-N($G167))</f>
        <v/>
      </c>
    </row>
    <row r="168">
      <c r="A168" s="15" t="n"/>
      <c r="B168" s="16">
        <f>IF($A168="","",TEXT($A168,"mmm"))</f>
        <v/>
      </c>
      <c r="C168" s="17">
        <f>IF($A168="","",YEAR($A168))</f>
        <v/>
      </c>
      <c r="D168" s="13" t="n"/>
      <c r="E168" s="13" t="n"/>
      <c r="F168" s="18" t="n"/>
      <c r="G168" s="18" t="n"/>
      <c r="H168" s="19">
        <f>IF(AND($F168="",$G168=""),"",N($F168)-N($G168))</f>
        <v/>
      </c>
    </row>
    <row r="169">
      <c r="A169" s="15" t="n"/>
      <c r="B169" s="16">
        <f>IF($A169="","",TEXT($A169,"mmm"))</f>
        <v/>
      </c>
      <c r="C169" s="17">
        <f>IF($A169="","",YEAR($A169))</f>
        <v/>
      </c>
      <c r="D169" s="13" t="n"/>
      <c r="E169" s="13" t="n"/>
      <c r="F169" s="18" t="n"/>
      <c r="G169" s="18" t="n"/>
      <c r="H169" s="19">
        <f>IF(AND($F169="",$G169=""),"",N($F169)-N($G169))</f>
        <v/>
      </c>
    </row>
    <row r="170">
      <c r="A170" s="15" t="n"/>
      <c r="B170" s="16">
        <f>IF($A170="","",TEXT($A170,"mmm"))</f>
        <v/>
      </c>
      <c r="C170" s="17">
        <f>IF($A170="","",YEAR($A170))</f>
        <v/>
      </c>
      <c r="D170" s="13" t="n"/>
      <c r="E170" s="13" t="n"/>
      <c r="F170" s="18" t="n"/>
      <c r="G170" s="18" t="n"/>
      <c r="H170" s="19">
        <f>IF(AND($F170="",$G170=""),"",N($F170)-N($G170))</f>
        <v/>
      </c>
    </row>
    <row r="171">
      <c r="A171" s="15" t="n"/>
      <c r="B171" s="16">
        <f>IF($A171="","",TEXT($A171,"mmm"))</f>
        <v/>
      </c>
      <c r="C171" s="17">
        <f>IF($A171="","",YEAR($A171))</f>
        <v/>
      </c>
      <c r="D171" s="13" t="n"/>
      <c r="E171" s="13" t="n"/>
      <c r="F171" s="18" t="n"/>
      <c r="G171" s="18" t="n"/>
      <c r="H171" s="19">
        <f>IF(AND($F171="",$G171=""),"",N($F171)-N($G171))</f>
        <v/>
      </c>
    </row>
    <row r="172">
      <c r="A172" s="15" t="n"/>
      <c r="B172" s="16">
        <f>IF($A172="","",TEXT($A172,"mmm"))</f>
        <v/>
      </c>
      <c r="C172" s="17">
        <f>IF($A172="","",YEAR($A172))</f>
        <v/>
      </c>
      <c r="D172" s="13" t="n"/>
      <c r="E172" s="13" t="n"/>
      <c r="F172" s="18" t="n"/>
      <c r="G172" s="18" t="n"/>
      <c r="H172" s="19">
        <f>IF(AND($F172="",$G172=""),"",N($F172)-N($G172))</f>
        <v/>
      </c>
    </row>
    <row r="173">
      <c r="A173" s="15" t="n"/>
      <c r="B173" s="16">
        <f>IF($A173="","",TEXT($A173,"mmm"))</f>
        <v/>
      </c>
      <c r="C173" s="17">
        <f>IF($A173="","",YEAR($A173))</f>
        <v/>
      </c>
      <c r="D173" s="13" t="n"/>
      <c r="E173" s="13" t="n"/>
      <c r="F173" s="18" t="n"/>
      <c r="G173" s="18" t="n"/>
      <c r="H173" s="19">
        <f>IF(AND($F173="",$G173=""),"",N($F173)-N($G173))</f>
        <v/>
      </c>
    </row>
    <row r="174">
      <c r="A174" s="15" t="n"/>
      <c r="B174" s="16">
        <f>IF($A174="","",TEXT($A174,"mmm"))</f>
        <v/>
      </c>
      <c r="C174" s="17">
        <f>IF($A174="","",YEAR($A174))</f>
        <v/>
      </c>
      <c r="D174" s="13" t="n"/>
      <c r="E174" s="13" t="n"/>
      <c r="F174" s="18" t="n"/>
      <c r="G174" s="18" t="n"/>
      <c r="H174" s="19">
        <f>IF(AND($F174="",$G174=""),"",N($F174)-N($G174))</f>
        <v/>
      </c>
    </row>
    <row r="175">
      <c r="A175" s="15" t="n"/>
      <c r="B175" s="16">
        <f>IF($A175="","",TEXT($A175,"mmm"))</f>
        <v/>
      </c>
      <c r="C175" s="17">
        <f>IF($A175="","",YEAR($A175))</f>
        <v/>
      </c>
      <c r="D175" s="13" t="n"/>
      <c r="E175" s="13" t="n"/>
      <c r="F175" s="18" t="n"/>
      <c r="G175" s="18" t="n"/>
      <c r="H175" s="19">
        <f>IF(AND($F175="",$G175=""),"",N($F175)-N($G175))</f>
        <v/>
      </c>
    </row>
    <row r="176">
      <c r="A176" s="15" t="n"/>
      <c r="B176" s="16">
        <f>IF($A176="","",TEXT($A176,"mmm"))</f>
        <v/>
      </c>
      <c r="C176" s="17">
        <f>IF($A176="","",YEAR($A176))</f>
        <v/>
      </c>
      <c r="D176" s="13" t="n"/>
      <c r="E176" s="13" t="n"/>
      <c r="F176" s="18" t="n"/>
      <c r="G176" s="18" t="n"/>
      <c r="H176" s="19">
        <f>IF(AND($F176="",$G176=""),"",N($F176)-N($G176))</f>
        <v/>
      </c>
    </row>
    <row r="177">
      <c r="A177" s="15" t="n"/>
      <c r="B177" s="16">
        <f>IF($A177="","",TEXT($A177,"mmm"))</f>
        <v/>
      </c>
      <c r="C177" s="17">
        <f>IF($A177="","",YEAR($A177))</f>
        <v/>
      </c>
      <c r="D177" s="13" t="n"/>
      <c r="E177" s="13" t="n"/>
      <c r="F177" s="18" t="n"/>
      <c r="G177" s="18" t="n"/>
      <c r="H177" s="19">
        <f>IF(AND($F177="",$G177=""),"",N($F177)-N($G177))</f>
        <v/>
      </c>
    </row>
    <row r="178">
      <c r="A178" s="15" t="n"/>
      <c r="B178" s="16">
        <f>IF($A178="","",TEXT($A178,"mmm"))</f>
        <v/>
      </c>
      <c r="C178" s="17">
        <f>IF($A178="","",YEAR($A178))</f>
        <v/>
      </c>
      <c r="D178" s="13" t="n"/>
      <c r="E178" s="13" t="n"/>
      <c r="F178" s="18" t="n"/>
      <c r="G178" s="18" t="n"/>
      <c r="H178" s="19">
        <f>IF(AND($F178="",$G178=""),"",N($F178)-N($G178))</f>
        <v/>
      </c>
    </row>
    <row r="179">
      <c r="A179" s="15" t="n"/>
      <c r="B179" s="16">
        <f>IF($A179="","",TEXT($A179,"mmm"))</f>
        <v/>
      </c>
      <c r="C179" s="17">
        <f>IF($A179="","",YEAR($A179))</f>
        <v/>
      </c>
      <c r="D179" s="13" t="n"/>
      <c r="E179" s="13" t="n"/>
      <c r="F179" s="18" t="n"/>
      <c r="G179" s="18" t="n"/>
      <c r="H179" s="19">
        <f>IF(AND($F179="",$G179=""),"",N($F179)-N($G179))</f>
        <v/>
      </c>
    </row>
    <row r="180">
      <c r="A180" s="15" t="n"/>
      <c r="B180" s="16">
        <f>IF($A180="","",TEXT($A180,"mmm"))</f>
        <v/>
      </c>
      <c r="C180" s="17">
        <f>IF($A180="","",YEAR($A180))</f>
        <v/>
      </c>
      <c r="D180" s="13" t="n"/>
      <c r="E180" s="13" t="n"/>
      <c r="F180" s="18" t="n"/>
      <c r="G180" s="18" t="n"/>
      <c r="H180" s="19">
        <f>IF(AND($F180="",$G180=""),"",N($F180)-N($G180))</f>
        <v/>
      </c>
    </row>
    <row r="181">
      <c r="A181" s="15" t="n"/>
      <c r="B181" s="16">
        <f>IF($A181="","",TEXT($A181,"mmm"))</f>
        <v/>
      </c>
      <c r="C181" s="17">
        <f>IF($A181="","",YEAR($A181))</f>
        <v/>
      </c>
      <c r="D181" s="13" t="n"/>
      <c r="E181" s="13" t="n"/>
      <c r="F181" s="18" t="n"/>
      <c r="G181" s="18" t="n"/>
      <c r="H181" s="19">
        <f>IF(AND($F181="",$G181=""),"",N($F181)-N($G181))</f>
        <v/>
      </c>
    </row>
    <row r="182">
      <c r="A182" s="15" t="n"/>
      <c r="B182" s="16">
        <f>IF($A182="","",TEXT($A182,"mmm"))</f>
        <v/>
      </c>
      <c r="C182" s="17">
        <f>IF($A182="","",YEAR($A182))</f>
        <v/>
      </c>
      <c r="D182" s="13" t="n"/>
      <c r="E182" s="13" t="n"/>
      <c r="F182" s="18" t="n"/>
      <c r="G182" s="18" t="n"/>
      <c r="H182" s="19">
        <f>IF(AND($F182="",$G182=""),"",N($F182)-N($G182))</f>
        <v/>
      </c>
    </row>
    <row r="183">
      <c r="A183" s="15" t="n"/>
      <c r="B183" s="16">
        <f>IF($A183="","",TEXT($A183,"mmm"))</f>
        <v/>
      </c>
      <c r="C183" s="17">
        <f>IF($A183="","",YEAR($A183))</f>
        <v/>
      </c>
      <c r="D183" s="13" t="n"/>
      <c r="E183" s="13" t="n"/>
      <c r="F183" s="18" t="n"/>
      <c r="G183" s="18" t="n"/>
      <c r="H183" s="19">
        <f>IF(AND($F183="",$G183=""),"",N($F183)-N($G183))</f>
        <v/>
      </c>
    </row>
    <row r="184">
      <c r="A184" s="15" t="n"/>
      <c r="B184" s="16">
        <f>IF($A184="","",TEXT($A184,"mmm"))</f>
        <v/>
      </c>
      <c r="C184" s="17">
        <f>IF($A184="","",YEAR($A184))</f>
        <v/>
      </c>
      <c r="D184" s="13" t="n"/>
      <c r="E184" s="13" t="n"/>
      <c r="F184" s="18" t="n"/>
      <c r="G184" s="18" t="n"/>
      <c r="H184" s="19">
        <f>IF(AND($F184="",$G184=""),"",N($F184)-N($G184))</f>
        <v/>
      </c>
    </row>
    <row r="185">
      <c r="A185" s="15" t="n"/>
      <c r="B185" s="16">
        <f>IF($A185="","",TEXT($A185,"mmm"))</f>
        <v/>
      </c>
      <c r="C185" s="17">
        <f>IF($A185="","",YEAR($A185))</f>
        <v/>
      </c>
      <c r="D185" s="13" t="n"/>
      <c r="E185" s="13" t="n"/>
      <c r="F185" s="18" t="n"/>
      <c r="G185" s="18" t="n"/>
      <c r="H185" s="19">
        <f>IF(AND($F185="",$G185=""),"",N($F185)-N($G185))</f>
        <v/>
      </c>
    </row>
    <row r="186">
      <c r="A186" s="15" t="n"/>
      <c r="B186" s="16">
        <f>IF($A186="","",TEXT($A186,"mmm"))</f>
        <v/>
      </c>
      <c r="C186" s="17">
        <f>IF($A186="","",YEAR($A186))</f>
        <v/>
      </c>
      <c r="D186" s="13" t="n"/>
      <c r="E186" s="13" t="n"/>
      <c r="F186" s="18" t="n"/>
      <c r="G186" s="18" t="n"/>
      <c r="H186" s="19">
        <f>IF(AND($F186="",$G186=""),"",N($F186)-N($G186))</f>
        <v/>
      </c>
    </row>
    <row r="187">
      <c r="A187" s="15" t="n"/>
      <c r="B187" s="16">
        <f>IF($A187="","",TEXT($A187,"mmm"))</f>
        <v/>
      </c>
      <c r="C187" s="17">
        <f>IF($A187="","",YEAR($A187))</f>
        <v/>
      </c>
      <c r="D187" s="13" t="n"/>
      <c r="E187" s="13" t="n"/>
      <c r="F187" s="18" t="n"/>
      <c r="G187" s="18" t="n"/>
      <c r="H187" s="19">
        <f>IF(AND($F187="",$G187=""),"",N($F187)-N($G187))</f>
        <v/>
      </c>
    </row>
    <row r="188">
      <c r="A188" s="15" t="n"/>
      <c r="B188" s="16">
        <f>IF($A188="","",TEXT($A188,"mmm"))</f>
        <v/>
      </c>
      <c r="C188" s="17">
        <f>IF($A188="","",YEAR($A188))</f>
        <v/>
      </c>
      <c r="D188" s="13" t="n"/>
      <c r="E188" s="13" t="n"/>
      <c r="F188" s="18" t="n"/>
      <c r="G188" s="18" t="n"/>
      <c r="H188" s="19">
        <f>IF(AND($F188="",$G188=""),"",N($F188)-N($G188))</f>
        <v/>
      </c>
    </row>
    <row r="189">
      <c r="A189" s="15" t="n"/>
      <c r="B189" s="16">
        <f>IF($A189="","",TEXT($A189,"mmm"))</f>
        <v/>
      </c>
      <c r="C189" s="17">
        <f>IF($A189="","",YEAR($A189))</f>
        <v/>
      </c>
      <c r="D189" s="13" t="n"/>
      <c r="E189" s="13" t="n"/>
      <c r="F189" s="18" t="n"/>
      <c r="G189" s="18" t="n"/>
      <c r="H189" s="19">
        <f>IF(AND($F189="",$G189=""),"",N($F189)-N($G189))</f>
        <v/>
      </c>
    </row>
    <row r="190">
      <c r="A190" s="15" t="n"/>
      <c r="B190" s="16">
        <f>IF($A190="","",TEXT($A190,"mmm"))</f>
        <v/>
      </c>
      <c r="C190" s="17">
        <f>IF($A190="","",YEAR($A190))</f>
        <v/>
      </c>
      <c r="D190" s="13" t="n"/>
      <c r="E190" s="13" t="n"/>
      <c r="F190" s="18" t="n"/>
      <c r="G190" s="18" t="n"/>
      <c r="H190" s="19">
        <f>IF(AND($F190="",$G190=""),"",N($F190)-N($G190))</f>
        <v/>
      </c>
    </row>
    <row r="191">
      <c r="A191" s="15" t="n"/>
      <c r="B191" s="16">
        <f>IF($A191="","",TEXT($A191,"mmm"))</f>
        <v/>
      </c>
      <c r="C191" s="17">
        <f>IF($A191="","",YEAR($A191))</f>
        <v/>
      </c>
      <c r="D191" s="13" t="n"/>
      <c r="E191" s="13" t="n"/>
      <c r="F191" s="18" t="n"/>
      <c r="G191" s="18" t="n"/>
      <c r="H191" s="19">
        <f>IF(AND($F191="",$G191=""),"",N($F191)-N($G191))</f>
        <v/>
      </c>
    </row>
    <row r="192">
      <c r="A192" s="15" t="n"/>
      <c r="B192" s="16">
        <f>IF($A192="","",TEXT($A192,"mmm"))</f>
        <v/>
      </c>
      <c r="C192" s="17">
        <f>IF($A192="","",YEAR($A192))</f>
        <v/>
      </c>
      <c r="D192" s="13" t="n"/>
      <c r="E192" s="13" t="n"/>
      <c r="F192" s="18" t="n"/>
      <c r="G192" s="18" t="n"/>
      <c r="H192" s="19">
        <f>IF(AND($F192="",$G192=""),"",N($F192)-N($G192))</f>
        <v/>
      </c>
    </row>
    <row r="193">
      <c r="A193" s="15" t="n"/>
      <c r="B193" s="16">
        <f>IF($A193="","",TEXT($A193,"mmm"))</f>
        <v/>
      </c>
      <c r="C193" s="17">
        <f>IF($A193="","",YEAR($A193))</f>
        <v/>
      </c>
      <c r="D193" s="13" t="n"/>
      <c r="E193" s="13" t="n"/>
      <c r="F193" s="18" t="n"/>
      <c r="G193" s="18" t="n"/>
      <c r="H193" s="19">
        <f>IF(AND($F193="",$G193=""),"",N($F193)-N($G193))</f>
        <v/>
      </c>
    </row>
    <row r="194">
      <c r="A194" s="15" t="n"/>
      <c r="B194" s="16">
        <f>IF($A194="","",TEXT($A194,"mmm"))</f>
        <v/>
      </c>
      <c r="C194" s="17">
        <f>IF($A194="","",YEAR($A194))</f>
        <v/>
      </c>
      <c r="D194" s="13" t="n"/>
      <c r="E194" s="13" t="n"/>
      <c r="F194" s="18" t="n"/>
      <c r="G194" s="18" t="n"/>
      <c r="H194" s="19">
        <f>IF(AND($F194="",$G194=""),"",N($F194)-N($G194))</f>
        <v/>
      </c>
    </row>
    <row r="195">
      <c r="A195" s="15" t="n"/>
      <c r="B195" s="16">
        <f>IF($A195="","",TEXT($A195,"mmm"))</f>
        <v/>
      </c>
      <c r="C195" s="17">
        <f>IF($A195="","",YEAR($A195))</f>
        <v/>
      </c>
      <c r="D195" s="13" t="n"/>
      <c r="E195" s="13" t="n"/>
      <c r="F195" s="18" t="n"/>
      <c r="G195" s="18" t="n"/>
      <c r="H195" s="19">
        <f>IF(AND($F195="",$G195=""),"",N($F195)-N($G195))</f>
        <v/>
      </c>
    </row>
    <row r="196">
      <c r="A196" s="15" t="n"/>
      <c r="B196" s="16">
        <f>IF($A196="","",TEXT($A196,"mmm"))</f>
        <v/>
      </c>
      <c r="C196" s="17">
        <f>IF($A196="","",YEAR($A196))</f>
        <v/>
      </c>
      <c r="D196" s="13" t="n"/>
      <c r="E196" s="13" t="n"/>
      <c r="F196" s="18" t="n"/>
      <c r="G196" s="18" t="n"/>
      <c r="H196" s="19">
        <f>IF(AND($F196="",$G196=""),"",N($F196)-N($G196))</f>
        <v/>
      </c>
    </row>
    <row r="197">
      <c r="A197" s="15" t="n"/>
      <c r="B197" s="16">
        <f>IF($A197="","",TEXT($A197,"mmm"))</f>
        <v/>
      </c>
      <c r="C197" s="17">
        <f>IF($A197="","",YEAR($A197))</f>
        <v/>
      </c>
      <c r="D197" s="13" t="n"/>
      <c r="E197" s="13" t="n"/>
      <c r="F197" s="18" t="n"/>
      <c r="G197" s="18" t="n"/>
      <c r="H197" s="19">
        <f>IF(AND($F197="",$G197=""),"",N($F197)-N($G197))</f>
        <v/>
      </c>
    </row>
    <row r="198">
      <c r="A198" s="15" t="n"/>
      <c r="B198" s="16">
        <f>IF($A198="","",TEXT($A198,"mmm"))</f>
        <v/>
      </c>
      <c r="C198" s="17">
        <f>IF($A198="","",YEAR($A198))</f>
        <v/>
      </c>
      <c r="D198" s="13" t="n"/>
      <c r="E198" s="13" t="n"/>
      <c r="F198" s="18" t="n"/>
      <c r="G198" s="18" t="n"/>
      <c r="H198" s="19">
        <f>IF(AND($F198="",$G198=""),"",N($F198)-N($G198))</f>
        <v/>
      </c>
    </row>
    <row r="199">
      <c r="A199" s="15" t="n"/>
      <c r="B199" s="16">
        <f>IF($A199="","",TEXT($A199,"mmm"))</f>
        <v/>
      </c>
      <c r="C199" s="17">
        <f>IF($A199="","",YEAR($A199))</f>
        <v/>
      </c>
      <c r="D199" s="13" t="n"/>
      <c r="E199" s="13" t="n"/>
      <c r="F199" s="18" t="n"/>
      <c r="G199" s="18" t="n"/>
      <c r="H199" s="19">
        <f>IF(AND($F199="",$G199=""),"",N($F199)-N($G199))</f>
        <v/>
      </c>
    </row>
    <row r="200">
      <c r="A200" s="15" t="n"/>
      <c r="B200" s="16">
        <f>IF($A200="","",TEXT($A200,"mmm"))</f>
        <v/>
      </c>
      <c r="C200" s="17">
        <f>IF($A200="","",YEAR($A200))</f>
        <v/>
      </c>
      <c r="D200" s="13" t="n"/>
      <c r="E200" s="13" t="n"/>
      <c r="F200" s="18" t="n"/>
      <c r="G200" s="18" t="n"/>
      <c r="H200" s="19">
        <f>IF(AND($F200="",$G200=""),"",N($F200)-N($G200))</f>
        <v/>
      </c>
    </row>
    <row r="201">
      <c r="A201" s="15" t="n"/>
      <c r="B201" s="16">
        <f>IF($A201="","",TEXT($A201,"mmm"))</f>
        <v/>
      </c>
      <c r="C201" s="17">
        <f>IF($A201="","",YEAR($A201))</f>
        <v/>
      </c>
      <c r="D201" s="13" t="n"/>
      <c r="E201" s="13" t="n"/>
      <c r="F201" s="18" t="n"/>
      <c r="G201" s="18" t="n"/>
      <c r="H201" s="19">
        <f>IF(AND($F201="",$G201=""),"",N($F201)-N($G201))</f>
        <v/>
      </c>
    </row>
    <row r="202">
      <c r="A202" s="15" t="n"/>
      <c r="B202" s="16">
        <f>IF($A202="","",TEXT($A202,"mmm"))</f>
        <v/>
      </c>
      <c r="C202" s="17">
        <f>IF($A202="","",YEAR($A202))</f>
        <v/>
      </c>
      <c r="D202" s="13" t="n"/>
      <c r="E202" s="13" t="n"/>
      <c r="F202" s="18" t="n"/>
      <c r="G202" s="18" t="n"/>
      <c r="H202" s="19">
        <f>IF(AND($F202="",$G202=""),"",N($F202)-N($G202))</f>
        <v/>
      </c>
    </row>
    <row r="203">
      <c r="A203" s="15" t="n"/>
      <c r="B203" s="16">
        <f>IF($A203="","",TEXT($A203,"mmm"))</f>
        <v/>
      </c>
      <c r="C203" s="17">
        <f>IF($A203="","",YEAR($A203))</f>
        <v/>
      </c>
      <c r="D203" s="13" t="n"/>
      <c r="E203" s="13" t="n"/>
      <c r="F203" s="18" t="n"/>
      <c r="G203" s="18" t="n"/>
      <c r="H203" s="19">
        <f>IF(AND($F203="",$G203=""),"",N($F203)-N($G203))</f>
        <v/>
      </c>
    </row>
    <row r="204">
      <c r="A204" s="15" t="n"/>
      <c r="B204" s="16">
        <f>IF($A204="","",TEXT($A204,"mmm"))</f>
        <v/>
      </c>
      <c r="C204" s="17">
        <f>IF($A204="","",YEAR($A204))</f>
        <v/>
      </c>
      <c r="D204" s="13" t="n"/>
      <c r="E204" s="13" t="n"/>
      <c r="F204" s="18" t="n"/>
      <c r="G204" s="18" t="n"/>
      <c r="H204" s="19">
        <f>IF(AND($F204="",$G204=""),"",N($F204)-N($G204))</f>
        <v/>
      </c>
    </row>
    <row r="205">
      <c r="A205" s="15" t="n"/>
      <c r="B205" s="16">
        <f>IF($A205="","",TEXT($A205,"mmm"))</f>
        <v/>
      </c>
      <c r="C205" s="17">
        <f>IF($A205="","",YEAR($A205))</f>
        <v/>
      </c>
      <c r="D205" s="13" t="n"/>
      <c r="E205" s="13" t="n"/>
      <c r="F205" s="18" t="n"/>
      <c r="G205" s="18" t="n"/>
      <c r="H205" s="19">
        <f>IF(AND($F205="",$G205=""),"",N($F205)-N($G205))</f>
        <v/>
      </c>
    </row>
    <row r="206">
      <c r="A206" s="15" t="n"/>
      <c r="B206" s="16">
        <f>IF($A206="","",TEXT($A206,"mmm"))</f>
        <v/>
      </c>
      <c r="C206" s="17">
        <f>IF($A206="","",YEAR($A206))</f>
        <v/>
      </c>
      <c r="D206" s="13" t="n"/>
      <c r="E206" s="13" t="n"/>
      <c r="F206" s="18" t="n"/>
      <c r="G206" s="18" t="n"/>
      <c r="H206" s="19">
        <f>IF(AND($F206="",$G206=""),"",N($F206)-N($G206))</f>
        <v/>
      </c>
    </row>
    <row r="207">
      <c r="A207" s="15" t="n"/>
      <c r="B207" s="16">
        <f>IF($A207="","",TEXT($A207,"mmm"))</f>
        <v/>
      </c>
      <c r="C207" s="17">
        <f>IF($A207="","",YEAR($A207))</f>
        <v/>
      </c>
      <c r="D207" s="13" t="n"/>
      <c r="E207" s="13" t="n"/>
      <c r="F207" s="18" t="n"/>
      <c r="G207" s="18" t="n"/>
      <c r="H207" s="19">
        <f>IF(AND($F207="",$G207=""),"",N($F207)-N($G207))</f>
        <v/>
      </c>
    </row>
    <row r="208">
      <c r="A208" s="15" t="n"/>
      <c r="B208" s="16">
        <f>IF($A208="","",TEXT($A208,"mmm"))</f>
        <v/>
      </c>
      <c r="C208" s="17">
        <f>IF($A208="","",YEAR($A208))</f>
        <v/>
      </c>
      <c r="D208" s="13" t="n"/>
      <c r="E208" s="13" t="n"/>
      <c r="F208" s="18" t="n"/>
      <c r="G208" s="18" t="n"/>
      <c r="H208" s="19">
        <f>IF(AND($F208="",$G208=""),"",N($F208)-N($G208))</f>
        <v/>
      </c>
    </row>
    <row r="209">
      <c r="A209" s="15" t="n"/>
      <c r="B209" s="16">
        <f>IF($A209="","",TEXT($A209,"mmm"))</f>
        <v/>
      </c>
      <c r="C209" s="17">
        <f>IF($A209="","",YEAR($A209))</f>
        <v/>
      </c>
      <c r="D209" s="13" t="n"/>
      <c r="E209" s="13" t="n"/>
      <c r="F209" s="18" t="n"/>
      <c r="G209" s="18" t="n"/>
      <c r="H209" s="19">
        <f>IF(AND($F209="",$G209=""),"",N($F209)-N($G209))</f>
        <v/>
      </c>
    </row>
    <row r="210">
      <c r="A210" s="15" t="n"/>
      <c r="B210" s="16">
        <f>IF($A210="","",TEXT($A210,"mmm"))</f>
        <v/>
      </c>
      <c r="C210" s="17">
        <f>IF($A210="","",YEAR($A210))</f>
        <v/>
      </c>
      <c r="D210" s="13" t="n"/>
      <c r="E210" s="13" t="n"/>
      <c r="F210" s="18" t="n"/>
      <c r="G210" s="18" t="n"/>
      <c r="H210" s="19">
        <f>IF(AND($F210="",$G210=""),"",N($F210)-N($G210))</f>
        <v/>
      </c>
    </row>
    <row r="211">
      <c r="A211" s="15" t="n"/>
      <c r="B211" s="16">
        <f>IF($A211="","",TEXT($A211,"mmm"))</f>
        <v/>
      </c>
      <c r="C211" s="17">
        <f>IF($A211="","",YEAR($A211))</f>
        <v/>
      </c>
      <c r="D211" s="13" t="n"/>
      <c r="E211" s="13" t="n"/>
      <c r="F211" s="18" t="n"/>
      <c r="G211" s="18" t="n"/>
      <c r="H211" s="19">
        <f>IF(AND($F211="",$G211=""),"",N($F211)-N($G211))</f>
        <v/>
      </c>
    </row>
    <row r="212">
      <c r="A212" s="15" t="n"/>
      <c r="B212" s="16">
        <f>IF($A212="","",TEXT($A212,"mmm"))</f>
        <v/>
      </c>
      <c r="C212" s="17">
        <f>IF($A212="","",YEAR($A212))</f>
        <v/>
      </c>
      <c r="D212" s="13" t="n"/>
      <c r="E212" s="13" t="n"/>
      <c r="F212" s="18" t="n"/>
      <c r="G212" s="18" t="n"/>
      <c r="H212" s="19">
        <f>IF(AND($F212="",$G212=""),"",N($F212)-N($G212))</f>
        <v/>
      </c>
    </row>
    <row r="213">
      <c r="A213" s="15" t="n"/>
      <c r="B213" s="16">
        <f>IF($A213="","",TEXT($A213,"mmm"))</f>
        <v/>
      </c>
      <c r="C213" s="17">
        <f>IF($A213="","",YEAR($A213))</f>
        <v/>
      </c>
      <c r="D213" s="13" t="n"/>
      <c r="E213" s="13" t="n"/>
      <c r="F213" s="18" t="n"/>
      <c r="G213" s="18" t="n"/>
      <c r="H213" s="19">
        <f>IF(AND($F213="",$G213=""),"",N($F213)-N($G213))</f>
        <v/>
      </c>
    </row>
    <row r="214">
      <c r="A214" s="15" t="n"/>
      <c r="B214" s="16">
        <f>IF($A214="","",TEXT($A214,"mmm"))</f>
        <v/>
      </c>
      <c r="C214" s="17">
        <f>IF($A214="","",YEAR($A214))</f>
        <v/>
      </c>
      <c r="D214" s="13" t="n"/>
      <c r="E214" s="13" t="n"/>
      <c r="F214" s="18" t="n"/>
      <c r="G214" s="18" t="n"/>
      <c r="H214" s="19">
        <f>IF(AND($F214="",$G214=""),"",N($F214)-N($G214))</f>
        <v/>
      </c>
    </row>
    <row r="215">
      <c r="A215" s="15" t="n"/>
      <c r="B215" s="16">
        <f>IF($A215="","",TEXT($A215,"mmm"))</f>
        <v/>
      </c>
      <c r="C215" s="17">
        <f>IF($A215="","",YEAR($A215))</f>
        <v/>
      </c>
      <c r="D215" s="13" t="n"/>
      <c r="E215" s="13" t="n"/>
      <c r="F215" s="18" t="n"/>
      <c r="G215" s="18" t="n"/>
      <c r="H215" s="19">
        <f>IF(AND($F215="",$G215=""),"",N($F215)-N($G215))</f>
        <v/>
      </c>
    </row>
    <row r="216">
      <c r="A216" s="15" t="n"/>
      <c r="B216" s="16">
        <f>IF($A216="","",TEXT($A216,"mmm"))</f>
        <v/>
      </c>
      <c r="C216" s="17">
        <f>IF($A216="","",YEAR($A216))</f>
        <v/>
      </c>
      <c r="D216" s="13" t="n"/>
      <c r="E216" s="13" t="n"/>
      <c r="F216" s="18" t="n"/>
      <c r="G216" s="18" t="n"/>
      <c r="H216" s="19">
        <f>IF(AND($F216="",$G216=""),"",N($F216)-N($G216))</f>
        <v/>
      </c>
    </row>
    <row r="217">
      <c r="A217" s="15" t="n"/>
      <c r="B217" s="16">
        <f>IF($A217="","",TEXT($A217,"mmm"))</f>
        <v/>
      </c>
      <c r="C217" s="17">
        <f>IF($A217="","",YEAR($A217))</f>
        <v/>
      </c>
      <c r="D217" s="13" t="n"/>
      <c r="E217" s="13" t="n"/>
      <c r="F217" s="18" t="n"/>
      <c r="G217" s="18" t="n"/>
      <c r="H217" s="19">
        <f>IF(AND($F217="",$G217=""),"",N($F217)-N($G217))</f>
        <v/>
      </c>
    </row>
    <row r="218">
      <c r="A218" s="15" t="n"/>
      <c r="B218" s="16">
        <f>IF($A218="","",TEXT($A218,"mmm"))</f>
        <v/>
      </c>
      <c r="C218" s="17">
        <f>IF($A218="","",YEAR($A218))</f>
        <v/>
      </c>
      <c r="D218" s="13" t="n"/>
      <c r="E218" s="13" t="n"/>
      <c r="F218" s="18" t="n"/>
      <c r="G218" s="18" t="n"/>
      <c r="H218" s="19">
        <f>IF(AND($F218="",$G218=""),"",N($F218)-N($G218))</f>
        <v/>
      </c>
    </row>
    <row r="219">
      <c r="A219" s="15" t="n"/>
      <c r="B219" s="16">
        <f>IF($A219="","",TEXT($A219,"mmm"))</f>
        <v/>
      </c>
      <c r="C219" s="17">
        <f>IF($A219="","",YEAR($A219))</f>
        <v/>
      </c>
      <c r="D219" s="13" t="n"/>
      <c r="E219" s="13" t="n"/>
      <c r="F219" s="18" t="n"/>
      <c r="G219" s="18" t="n"/>
      <c r="H219" s="19">
        <f>IF(AND($F219="",$G219=""),"",N($F219)-N($G219))</f>
        <v/>
      </c>
    </row>
    <row r="220">
      <c r="A220" s="15" t="n"/>
      <c r="B220" s="16">
        <f>IF($A220="","",TEXT($A220,"mmm"))</f>
        <v/>
      </c>
      <c r="C220" s="17">
        <f>IF($A220="","",YEAR($A220))</f>
        <v/>
      </c>
      <c r="D220" s="13" t="n"/>
      <c r="E220" s="13" t="n"/>
      <c r="F220" s="18" t="n"/>
      <c r="G220" s="18" t="n"/>
      <c r="H220" s="19">
        <f>IF(AND($F220="",$G220=""),"",N($F220)-N($G220))</f>
        <v/>
      </c>
    </row>
    <row r="221">
      <c r="A221" s="15" t="n"/>
      <c r="B221" s="16">
        <f>IF($A221="","",TEXT($A221,"mmm"))</f>
        <v/>
      </c>
      <c r="C221" s="17">
        <f>IF($A221="","",YEAR($A221))</f>
        <v/>
      </c>
      <c r="D221" s="13" t="n"/>
      <c r="E221" s="13" t="n"/>
      <c r="F221" s="18" t="n"/>
      <c r="G221" s="18" t="n"/>
      <c r="H221" s="19">
        <f>IF(AND($F221="",$G221=""),"",N($F221)-N($G221))</f>
        <v/>
      </c>
    </row>
    <row r="222">
      <c r="A222" s="15" t="n"/>
      <c r="B222" s="16">
        <f>IF($A222="","",TEXT($A222,"mmm"))</f>
        <v/>
      </c>
      <c r="C222" s="17">
        <f>IF($A222="","",YEAR($A222))</f>
        <v/>
      </c>
      <c r="D222" s="13" t="n"/>
      <c r="E222" s="13" t="n"/>
      <c r="F222" s="18" t="n"/>
      <c r="G222" s="18" t="n"/>
      <c r="H222" s="19">
        <f>IF(AND($F222="",$G222=""),"",N($F222)-N($G222))</f>
        <v/>
      </c>
    </row>
    <row r="223">
      <c r="A223" s="15" t="n"/>
      <c r="B223" s="16">
        <f>IF($A223="","",TEXT($A223,"mmm"))</f>
        <v/>
      </c>
      <c r="C223" s="17">
        <f>IF($A223="","",YEAR($A223))</f>
        <v/>
      </c>
      <c r="D223" s="13" t="n"/>
      <c r="E223" s="13" t="n"/>
      <c r="F223" s="18" t="n"/>
      <c r="G223" s="18" t="n"/>
      <c r="H223" s="19">
        <f>IF(AND($F223="",$G223=""),"",N($F223)-N($G223))</f>
        <v/>
      </c>
    </row>
    <row r="224">
      <c r="A224" s="15" t="n"/>
      <c r="B224" s="16">
        <f>IF($A224="","",TEXT($A224,"mmm"))</f>
        <v/>
      </c>
      <c r="C224" s="17">
        <f>IF($A224="","",YEAR($A224))</f>
        <v/>
      </c>
      <c r="D224" s="13" t="n"/>
      <c r="E224" s="13" t="n"/>
      <c r="F224" s="18" t="n"/>
      <c r="G224" s="18" t="n"/>
      <c r="H224" s="19">
        <f>IF(AND($F224="",$G224=""),"",N($F224)-N($G224))</f>
        <v/>
      </c>
    </row>
    <row r="225">
      <c r="A225" s="15" t="n"/>
      <c r="B225" s="16">
        <f>IF($A225="","",TEXT($A225,"mmm"))</f>
        <v/>
      </c>
      <c r="C225" s="17">
        <f>IF($A225="","",YEAR($A225))</f>
        <v/>
      </c>
      <c r="D225" s="13" t="n"/>
      <c r="E225" s="13" t="n"/>
      <c r="F225" s="18" t="n"/>
      <c r="G225" s="18" t="n"/>
      <c r="H225" s="19">
        <f>IF(AND($F225="",$G225=""),"",N($F225)-N($G225))</f>
        <v/>
      </c>
    </row>
    <row r="226">
      <c r="A226" s="15" t="n"/>
      <c r="B226" s="16">
        <f>IF($A226="","",TEXT($A226,"mmm"))</f>
        <v/>
      </c>
      <c r="C226" s="17">
        <f>IF($A226="","",YEAR($A226))</f>
        <v/>
      </c>
      <c r="D226" s="13" t="n"/>
      <c r="E226" s="13" t="n"/>
      <c r="F226" s="18" t="n"/>
      <c r="G226" s="18" t="n"/>
      <c r="H226" s="19">
        <f>IF(AND($F226="",$G226=""),"",N($F226)-N($G226))</f>
        <v/>
      </c>
    </row>
    <row r="227">
      <c r="A227" s="15" t="n"/>
      <c r="B227" s="16">
        <f>IF($A227="","",TEXT($A227,"mmm"))</f>
        <v/>
      </c>
      <c r="C227" s="17">
        <f>IF($A227="","",YEAR($A227))</f>
        <v/>
      </c>
      <c r="D227" s="13" t="n"/>
      <c r="E227" s="13" t="n"/>
      <c r="F227" s="18" t="n"/>
      <c r="G227" s="18" t="n"/>
      <c r="H227" s="19">
        <f>IF(AND($F227="",$G227=""),"",N($F227)-N($G227))</f>
        <v/>
      </c>
    </row>
    <row r="228">
      <c r="A228" s="15" t="n"/>
      <c r="B228" s="16">
        <f>IF($A228="","",TEXT($A228,"mmm"))</f>
        <v/>
      </c>
      <c r="C228" s="17">
        <f>IF($A228="","",YEAR($A228))</f>
        <v/>
      </c>
      <c r="D228" s="13" t="n"/>
      <c r="E228" s="13" t="n"/>
      <c r="F228" s="18" t="n"/>
      <c r="G228" s="18" t="n"/>
      <c r="H228" s="19">
        <f>IF(AND($F228="",$G228=""),"",N($F228)-N($G228))</f>
        <v/>
      </c>
    </row>
    <row r="229">
      <c r="A229" s="15" t="n"/>
      <c r="B229" s="16">
        <f>IF($A229="","",TEXT($A229,"mmm"))</f>
        <v/>
      </c>
      <c r="C229" s="17">
        <f>IF($A229="","",YEAR($A229))</f>
        <v/>
      </c>
      <c r="D229" s="13" t="n"/>
      <c r="E229" s="13" t="n"/>
      <c r="F229" s="18" t="n"/>
      <c r="G229" s="18" t="n"/>
      <c r="H229" s="19">
        <f>IF(AND($F229="",$G229=""),"",N($F229)-N($G229))</f>
        <v/>
      </c>
    </row>
    <row r="230">
      <c r="A230" s="15" t="n"/>
      <c r="B230" s="16">
        <f>IF($A230="","",TEXT($A230,"mmm"))</f>
        <v/>
      </c>
      <c r="C230" s="17">
        <f>IF($A230="","",YEAR($A230))</f>
        <v/>
      </c>
      <c r="D230" s="13" t="n"/>
      <c r="E230" s="13" t="n"/>
      <c r="F230" s="18" t="n"/>
      <c r="G230" s="18" t="n"/>
      <c r="H230" s="19">
        <f>IF(AND($F230="",$G230=""),"",N($F230)-N($G230))</f>
        <v/>
      </c>
    </row>
    <row r="231">
      <c r="A231" s="15" t="n"/>
      <c r="B231" s="16">
        <f>IF($A231="","",TEXT($A231,"mmm"))</f>
        <v/>
      </c>
      <c r="C231" s="17">
        <f>IF($A231="","",YEAR($A231))</f>
        <v/>
      </c>
      <c r="D231" s="13" t="n"/>
      <c r="E231" s="13" t="n"/>
      <c r="F231" s="18" t="n"/>
      <c r="G231" s="18" t="n"/>
      <c r="H231" s="19">
        <f>IF(AND($F231="",$G231=""),"",N($F231)-N($G231))</f>
        <v/>
      </c>
    </row>
    <row r="232">
      <c r="A232" s="15" t="n"/>
      <c r="B232" s="16">
        <f>IF($A232="","",TEXT($A232,"mmm"))</f>
        <v/>
      </c>
      <c r="C232" s="17">
        <f>IF($A232="","",YEAR($A232))</f>
        <v/>
      </c>
      <c r="D232" s="13" t="n"/>
      <c r="E232" s="13" t="n"/>
      <c r="F232" s="18" t="n"/>
      <c r="G232" s="18" t="n"/>
      <c r="H232" s="19">
        <f>IF(AND($F232="",$G232=""),"",N($F232)-N($G232))</f>
        <v/>
      </c>
    </row>
    <row r="233">
      <c r="A233" s="15" t="n"/>
      <c r="B233" s="16">
        <f>IF($A233="","",TEXT($A233,"mmm"))</f>
        <v/>
      </c>
      <c r="C233" s="17">
        <f>IF($A233="","",YEAR($A233))</f>
        <v/>
      </c>
      <c r="D233" s="13" t="n"/>
      <c r="E233" s="13" t="n"/>
      <c r="F233" s="18" t="n"/>
      <c r="G233" s="18" t="n"/>
      <c r="H233" s="19">
        <f>IF(AND($F233="",$G233=""),"",N($F233)-N($G233))</f>
        <v/>
      </c>
    </row>
    <row r="234">
      <c r="A234" s="15" t="n"/>
      <c r="B234" s="16">
        <f>IF($A234="","",TEXT($A234,"mmm"))</f>
        <v/>
      </c>
      <c r="C234" s="17">
        <f>IF($A234="","",YEAR($A234))</f>
        <v/>
      </c>
      <c r="D234" s="13" t="n"/>
      <c r="E234" s="13" t="n"/>
      <c r="F234" s="18" t="n"/>
      <c r="G234" s="18" t="n"/>
      <c r="H234" s="19">
        <f>IF(AND($F234="",$G234=""),"",N($F234)-N($G234))</f>
        <v/>
      </c>
    </row>
    <row r="235">
      <c r="A235" s="15" t="n"/>
      <c r="B235" s="16">
        <f>IF($A235="","",TEXT($A235,"mmm"))</f>
        <v/>
      </c>
      <c r="C235" s="17">
        <f>IF($A235="","",YEAR($A235))</f>
        <v/>
      </c>
      <c r="D235" s="13" t="n"/>
      <c r="E235" s="13" t="n"/>
      <c r="F235" s="18" t="n"/>
      <c r="G235" s="18" t="n"/>
      <c r="H235" s="19">
        <f>IF(AND($F235="",$G235=""),"",N($F235)-N($G235))</f>
        <v/>
      </c>
    </row>
    <row r="236">
      <c r="A236" s="15" t="n"/>
      <c r="B236" s="16">
        <f>IF($A236="","",TEXT($A236,"mmm"))</f>
        <v/>
      </c>
      <c r="C236" s="17">
        <f>IF($A236="","",YEAR($A236))</f>
        <v/>
      </c>
      <c r="D236" s="13" t="n"/>
      <c r="E236" s="13" t="n"/>
      <c r="F236" s="18" t="n"/>
      <c r="G236" s="18" t="n"/>
      <c r="H236" s="19">
        <f>IF(AND($F236="",$G236=""),"",N($F236)-N($G236))</f>
        <v/>
      </c>
    </row>
    <row r="237">
      <c r="A237" s="15" t="n"/>
      <c r="B237" s="16">
        <f>IF($A237="","",TEXT($A237,"mmm"))</f>
        <v/>
      </c>
      <c r="C237" s="17">
        <f>IF($A237="","",YEAR($A237))</f>
        <v/>
      </c>
      <c r="D237" s="13" t="n"/>
      <c r="E237" s="13" t="n"/>
      <c r="F237" s="18" t="n"/>
      <c r="G237" s="18" t="n"/>
      <c r="H237" s="19">
        <f>IF(AND($F237="",$G237=""),"",N($F237)-N($G237))</f>
        <v/>
      </c>
    </row>
    <row r="238">
      <c r="A238" s="15" t="n"/>
      <c r="B238" s="16">
        <f>IF($A238="","",TEXT($A238,"mmm"))</f>
        <v/>
      </c>
      <c r="C238" s="17">
        <f>IF($A238="","",YEAR($A238))</f>
        <v/>
      </c>
      <c r="D238" s="13" t="n"/>
      <c r="E238" s="13" t="n"/>
      <c r="F238" s="18" t="n"/>
      <c r="G238" s="18" t="n"/>
      <c r="H238" s="19">
        <f>IF(AND($F238="",$G238=""),"",N($F238)-N($G238))</f>
        <v/>
      </c>
    </row>
    <row r="239">
      <c r="A239" s="15" t="n"/>
      <c r="B239" s="16">
        <f>IF($A239="","",TEXT($A239,"mmm"))</f>
        <v/>
      </c>
      <c r="C239" s="17">
        <f>IF($A239="","",YEAR($A239))</f>
        <v/>
      </c>
      <c r="D239" s="13" t="n"/>
      <c r="E239" s="13" t="n"/>
      <c r="F239" s="18" t="n"/>
      <c r="G239" s="18" t="n"/>
      <c r="H239" s="19">
        <f>IF(AND($F239="",$G239=""),"",N($F239)-N($G239))</f>
        <v/>
      </c>
    </row>
    <row r="240">
      <c r="A240" s="15" t="n"/>
      <c r="B240" s="16">
        <f>IF($A240="","",TEXT($A240,"mmm"))</f>
        <v/>
      </c>
      <c r="C240" s="17">
        <f>IF($A240="","",YEAR($A240))</f>
        <v/>
      </c>
      <c r="D240" s="13" t="n"/>
      <c r="E240" s="13" t="n"/>
      <c r="F240" s="18" t="n"/>
      <c r="G240" s="18" t="n"/>
      <c r="H240" s="19">
        <f>IF(AND($F240="",$G240=""),"",N($F240)-N($G240))</f>
        <v/>
      </c>
    </row>
    <row r="241">
      <c r="A241" s="15" t="n"/>
      <c r="B241" s="16">
        <f>IF($A241="","",TEXT($A241,"mmm"))</f>
        <v/>
      </c>
      <c r="C241" s="17">
        <f>IF($A241="","",YEAR($A241))</f>
        <v/>
      </c>
      <c r="D241" s="13" t="n"/>
      <c r="E241" s="13" t="n"/>
      <c r="F241" s="18" t="n"/>
      <c r="G241" s="18" t="n"/>
      <c r="H241" s="19">
        <f>IF(AND($F241="",$G241=""),"",N($F241)-N($G241))</f>
        <v/>
      </c>
    </row>
    <row r="242">
      <c r="A242" s="15" t="n"/>
      <c r="B242" s="16">
        <f>IF($A242="","",TEXT($A242,"mmm"))</f>
        <v/>
      </c>
      <c r="C242" s="17">
        <f>IF($A242="","",YEAR($A242))</f>
        <v/>
      </c>
      <c r="D242" s="13" t="n"/>
      <c r="E242" s="13" t="n"/>
      <c r="F242" s="18" t="n"/>
      <c r="G242" s="18" t="n"/>
      <c r="H242" s="19">
        <f>IF(AND($F242="",$G242=""),"",N($F242)-N($G242))</f>
        <v/>
      </c>
    </row>
    <row r="243">
      <c r="A243" s="15" t="n"/>
      <c r="B243" s="16">
        <f>IF($A243="","",TEXT($A243,"mmm"))</f>
        <v/>
      </c>
      <c r="C243" s="17">
        <f>IF($A243="","",YEAR($A243))</f>
        <v/>
      </c>
      <c r="D243" s="13" t="n"/>
      <c r="E243" s="13" t="n"/>
      <c r="F243" s="18" t="n"/>
      <c r="G243" s="18" t="n"/>
      <c r="H243" s="19">
        <f>IF(AND($F243="",$G243=""),"",N($F243)-N($G243))</f>
        <v/>
      </c>
    </row>
    <row r="244">
      <c r="A244" s="15" t="n"/>
      <c r="B244" s="16">
        <f>IF($A244="","",TEXT($A244,"mmm"))</f>
        <v/>
      </c>
      <c r="C244" s="17">
        <f>IF($A244="","",YEAR($A244))</f>
        <v/>
      </c>
      <c r="D244" s="13" t="n"/>
      <c r="E244" s="13" t="n"/>
      <c r="F244" s="18" t="n"/>
      <c r="G244" s="18" t="n"/>
      <c r="H244" s="19">
        <f>IF(AND($F244="",$G244=""),"",N($F244)-N($G244))</f>
        <v/>
      </c>
    </row>
    <row r="245">
      <c r="A245" s="15" t="n"/>
      <c r="B245" s="16">
        <f>IF($A245="","",TEXT($A245,"mmm"))</f>
        <v/>
      </c>
      <c r="C245" s="17">
        <f>IF($A245="","",YEAR($A245))</f>
        <v/>
      </c>
      <c r="D245" s="13" t="n"/>
      <c r="E245" s="13" t="n"/>
      <c r="F245" s="18" t="n"/>
      <c r="G245" s="18" t="n"/>
      <c r="H245" s="19">
        <f>IF(AND($F245="",$G245=""),"",N($F245)-N($G245))</f>
        <v/>
      </c>
    </row>
    <row r="246">
      <c r="A246" s="15" t="n"/>
      <c r="B246" s="16">
        <f>IF($A246="","",TEXT($A246,"mmm"))</f>
        <v/>
      </c>
      <c r="C246" s="17">
        <f>IF($A246="","",YEAR($A246))</f>
        <v/>
      </c>
      <c r="D246" s="13" t="n"/>
      <c r="E246" s="13" t="n"/>
      <c r="F246" s="18" t="n"/>
      <c r="G246" s="18" t="n"/>
      <c r="H246" s="19">
        <f>IF(AND($F246="",$G246=""),"",N($F246)-N($G246))</f>
        <v/>
      </c>
    </row>
    <row r="247">
      <c r="A247" s="15" t="n"/>
      <c r="B247" s="16">
        <f>IF($A247="","",TEXT($A247,"mmm"))</f>
        <v/>
      </c>
      <c r="C247" s="17">
        <f>IF($A247="","",YEAR($A247))</f>
        <v/>
      </c>
      <c r="D247" s="13" t="n"/>
      <c r="E247" s="13" t="n"/>
      <c r="F247" s="18" t="n"/>
      <c r="G247" s="18" t="n"/>
      <c r="H247" s="19">
        <f>IF(AND($F247="",$G247=""),"",N($F247)-N($G247))</f>
        <v/>
      </c>
    </row>
    <row r="248">
      <c r="A248" s="15" t="n"/>
      <c r="B248" s="16">
        <f>IF($A248="","",TEXT($A248,"mmm"))</f>
        <v/>
      </c>
      <c r="C248" s="17">
        <f>IF($A248="","",YEAR($A248))</f>
        <v/>
      </c>
      <c r="D248" s="13" t="n"/>
      <c r="E248" s="13" t="n"/>
      <c r="F248" s="18" t="n"/>
      <c r="G248" s="18" t="n"/>
      <c r="H248" s="19">
        <f>IF(AND($F248="",$G248=""),"",N($F248)-N($G248))</f>
        <v/>
      </c>
    </row>
    <row r="249">
      <c r="A249" s="15" t="n"/>
      <c r="B249" s="16">
        <f>IF($A249="","",TEXT($A249,"mmm"))</f>
        <v/>
      </c>
      <c r="C249" s="17">
        <f>IF($A249="","",YEAR($A249))</f>
        <v/>
      </c>
      <c r="D249" s="13" t="n"/>
      <c r="E249" s="13" t="n"/>
      <c r="F249" s="18" t="n"/>
      <c r="G249" s="18" t="n"/>
      <c r="H249" s="19">
        <f>IF(AND($F249="",$G249=""),"",N($F249)-N($G249))</f>
        <v/>
      </c>
    </row>
    <row r="250">
      <c r="A250" s="15" t="n"/>
      <c r="B250" s="16">
        <f>IF($A250="","",TEXT($A250,"mmm"))</f>
        <v/>
      </c>
      <c r="C250" s="17">
        <f>IF($A250="","",YEAR($A250))</f>
        <v/>
      </c>
      <c r="D250" s="13" t="n"/>
      <c r="E250" s="13" t="n"/>
      <c r="F250" s="18" t="n"/>
      <c r="G250" s="18" t="n"/>
      <c r="H250" s="19">
        <f>IF(AND($F250="",$G250=""),"",N($F250)-N($G250))</f>
        <v/>
      </c>
    </row>
    <row r="251">
      <c r="A251" s="15" t="n"/>
      <c r="B251" s="16">
        <f>IF($A251="","",TEXT($A251,"mmm"))</f>
        <v/>
      </c>
      <c r="C251" s="17">
        <f>IF($A251="","",YEAR($A251))</f>
        <v/>
      </c>
      <c r="D251" s="13" t="n"/>
      <c r="E251" s="13" t="n"/>
      <c r="F251" s="18" t="n"/>
      <c r="G251" s="18" t="n"/>
      <c r="H251" s="19">
        <f>IF(AND($F251="",$G251=""),"",N($F251)-N($G251))</f>
        <v/>
      </c>
    </row>
    <row r="252">
      <c r="A252" s="15" t="n"/>
      <c r="B252" s="16">
        <f>IF($A252="","",TEXT($A252,"mmm"))</f>
        <v/>
      </c>
      <c r="C252" s="17">
        <f>IF($A252="","",YEAR($A252))</f>
        <v/>
      </c>
      <c r="D252" s="13" t="n"/>
      <c r="E252" s="13" t="n"/>
      <c r="F252" s="18" t="n"/>
      <c r="G252" s="18" t="n"/>
      <c r="H252" s="19">
        <f>IF(AND($F252="",$G252=""),"",N($F252)-N($G252))</f>
        <v/>
      </c>
    </row>
    <row r="253">
      <c r="A253" s="15" t="n"/>
      <c r="B253" s="16">
        <f>IF($A253="","",TEXT($A253,"mmm"))</f>
        <v/>
      </c>
      <c r="C253" s="17">
        <f>IF($A253="","",YEAR($A253))</f>
        <v/>
      </c>
      <c r="D253" s="13" t="n"/>
      <c r="E253" s="13" t="n"/>
      <c r="F253" s="18" t="n"/>
      <c r="G253" s="18" t="n"/>
      <c r="H253" s="19">
        <f>IF(AND($F253="",$G253=""),"",N($F253)-N($G253))</f>
        <v/>
      </c>
    </row>
    <row r="254">
      <c r="A254" s="15" t="n"/>
      <c r="B254" s="16">
        <f>IF($A254="","",TEXT($A254,"mmm"))</f>
        <v/>
      </c>
      <c r="C254" s="17">
        <f>IF($A254="","",YEAR($A254))</f>
        <v/>
      </c>
      <c r="D254" s="13" t="n"/>
      <c r="E254" s="13" t="n"/>
      <c r="F254" s="18" t="n"/>
      <c r="G254" s="18" t="n"/>
      <c r="H254" s="19">
        <f>IF(AND($F254="",$G254=""),"",N($F254)-N($G254))</f>
        <v/>
      </c>
    </row>
    <row r="255">
      <c r="A255" s="15" t="n"/>
      <c r="B255" s="16">
        <f>IF($A255="","",TEXT($A255,"mmm"))</f>
        <v/>
      </c>
      <c r="C255" s="17">
        <f>IF($A255="","",YEAR($A255))</f>
        <v/>
      </c>
      <c r="D255" s="13" t="n"/>
      <c r="E255" s="13" t="n"/>
      <c r="F255" s="18" t="n"/>
      <c r="G255" s="18" t="n"/>
      <c r="H255" s="19">
        <f>IF(AND($F255="",$G255=""),"",N($F255)-N($G255))</f>
        <v/>
      </c>
    </row>
    <row r="256">
      <c r="A256" s="15" t="n"/>
      <c r="B256" s="16">
        <f>IF($A256="","",TEXT($A256,"mmm"))</f>
        <v/>
      </c>
      <c r="C256" s="17">
        <f>IF($A256="","",YEAR($A256))</f>
        <v/>
      </c>
      <c r="D256" s="13" t="n"/>
      <c r="E256" s="13" t="n"/>
      <c r="F256" s="18" t="n"/>
      <c r="G256" s="18" t="n"/>
      <c r="H256" s="19">
        <f>IF(AND($F256="",$G256=""),"",N($F256)-N($G256))</f>
        <v/>
      </c>
    </row>
    <row r="257">
      <c r="A257" s="15" t="n"/>
      <c r="B257" s="16">
        <f>IF($A257="","",TEXT($A257,"mmm"))</f>
        <v/>
      </c>
      <c r="C257" s="17">
        <f>IF($A257="","",YEAR($A257))</f>
        <v/>
      </c>
      <c r="D257" s="13" t="n"/>
      <c r="E257" s="13" t="n"/>
      <c r="F257" s="18" t="n"/>
      <c r="G257" s="18" t="n"/>
      <c r="H257" s="19">
        <f>IF(AND($F257="",$G257=""),"",N($F257)-N($G257))</f>
        <v/>
      </c>
    </row>
    <row r="258">
      <c r="A258" s="15" t="n"/>
      <c r="B258" s="16">
        <f>IF($A258="","",TEXT($A258,"mmm"))</f>
        <v/>
      </c>
      <c r="C258" s="17">
        <f>IF($A258="","",YEAR($A258))</f>
        <v/>
      </c>
      <c r="D258" s="13" t="n"/>
      <c r="E258" s="13" t="n"/>
      <c r="F258" s="18" t="n"/>
      <c r="G258" s="18" t="n"/>
      <c r="H258" s="19">
        <f>IF(AND($F258="",$G258=""),"",N($F258)-N($G258))</f>
        <v/>
      </c>
    </row>
    <row r="259">
      <c r="A259" s="15" t="n"/>
      <c r="B259" s="16">
        <f>IF($A259="","",TEXT($A259,"mmm"))</f>
        <v/>
      </c>
      <c r="C259" s="17">
        <f>IF($A259="","",YEAR($A259))</f>
        <v/>
      </c>
      <c r="D259" s="13" t="n"/>
      <c r="E259" s="13" t="n"/>
      <c r="F259" s="18" t="n"/>
      <c r="G259" s="18" t="n"/>
      <c r="H259" s="19">
        <f>IF(AND($F259="",$G259=""),"",N($F259)-N($G259))</f>
        <v/>
      </c>
    </row>
    <row r="260">
      <c r="A260" s="15" t="n"/>
      <c r="B260" s="16">
        <f>IF($A260="","",TEXT($A260,"mmm"))</f>
        <v/>
      </c>
      <c r="C260" s="17">
        <f>IF($A260="","",YEAR($A260))</f>
        <v/>
      </c>
      <c r="D260" s="13" t="n"/>
      <c r="E260" s="13" t="n"/>
      <c r="F260" s="18" t="n"/>
      <c r="G260" s="18" t="n"/>
      <c r="H260" s="19">
        <f>IF(AND($F260="",$G260=""),"",N($F260)-N($G260))</f>
        <v/>
      </c>
    </row>
    <row r="261">
      <c r="A261" s="15" t="n"/>
      <c r="B261" s="16">
        <f>IF($A261="","",TEXT($A261,"mmm"))</f>
        <v/>
      </c>
      <c r="C261" s="17">
        <f>IF($A261="","",YEAR($A261))</f>
        <v/>
      </c>
      <c r="D261" s="13" t="n"/>
      <c r="E261" s="13" t="n"/>
      <c r="F261" s="18" t="n"/>
      <c r="G261" s="18" t="n"/>
      <c r="H261" s="19">
        <f>IF(AND($F261="",$G261=""),"",N($F261)-N($G261))</f>
        <v/>
      </c>
    </row>
    <row r="262">
      <c r="A262" s="15" t="n"/>
      <c r="B262" s="16">
        <f>IF($A262="","",TEXT($A262,"mmm"))</f>
        <v/>
      </c>
      <c r="C262" s="17">
        <f>IF($A262="","",YEAR($A262))</f>
        <v/>
      </c>
      <c r="D262" s="13" t="n"/>
      <c r="E262" s="13" t="n"/>
      <c r="F262" s="18" t="n"/>
      <c r="G262" s="18" t="n"/>
      <c r="H262" s="19">
        <f>IF(AND($F262="",$G262=""),"",N($F262)-N($G262))</f>
        <v/>
      </c>
    </row>
    <row r="263">
      <c r="A263" s="15" t="n"/>
      <c r="B263" s="16">
        <f>IF($A263="","",TEXT($A263,"mmm"))</f>
        <v/>
      </c>
      <c r="C263" s="17">
        <f>IF($A263="","",YEAR($A263))</f>
        <v/>
      </c>
      <c r="D263" s="13" t="n"/>
      <c r="E263" s="13" t="n"/>
      <c r="F263" s="18" t="n"/>
      <c r="G263" s="18" t="n"/>
      <c r="H263" s="19">
        <f>IF(AND($F263="",$G263=""),"",N($F263)-N($G263))</f>
        <v/>
      </c>
    </row>
    <row r="264">
      <c r="A264" s="15" t="n"/>
      <c r="B264" s="16">
        <f>IF($A264="","",TEXT($A264,"mmm"))</f>
        <v/>
      </c>
      <c r="C264" s="17">
        <f>IF($A264="","",YEAR($A264))</f>
        <v/>
      </c>
      <c r="D264" s="13" t="n"/>
      <c r="E264" s="13" t="n"/>
      <c r="F264" s="18" t="n"/>
      <c r="G264" s="18" t="n"/>
      <c r="H264" s="19">
        <f>IF(AND($F264="",$G264=""),"",N($F264)-N($G264))</f>
        <v/>
      </c>
    </row>
    <row r="265">
      <c r="A265" s="15" t="n"/>
      <c r="B265" s="16">
        <f>IF($A265="","",TEXT($A265,"mmm"))</f>
        <v/>
      </c>
      <c r="C265" s="17">
        <f>IF($A265="","",YEAR($A265))</f>
        <v/>
      </c>
      <c r="D265" s="13" t="n"/>
      <c r="E265" s="13" t="n"/>
      <c r="F265" s="18" t="n"/>
      <c r="G265" s="18" t="n"/>
      <c r="H265" s="19">
        <f>IF(AND($F265="",$G265=""),"",N($F265)-N($G265))</f>
        <v/>
      </c>
    </row>
    <row r="266">
      <c r="A266" s="15" t="n"/>
      <c r="B266" s="16">
        <f>IF($A266="","",TEXT($A266,"mmm"))</f>
        <v/>
      </c>
      <c r="C266" s="17">
        <f>IF($A266="","",YEAR($A266))</f>
        <v/>
      </c>
      <c r="D266" s="13" t="n"/>
      <c r="E266" s="13" t="n"/>
      <c r="F266" s="18" t="n"/>
      <c r="G266" s="18" t="n"/>
      <c r="H266" s="19">
        <f>IF(AND($F266="",$G266=""),"",N($F266)-N($G266))</f>
        <v/>
      </c>
    </row>
    <row r="267">
      <c r="A267" s="15" t="n"/>
      <c r="B267" s="16">
        <f>IF($A267="","",TEXT($A267,"mmm"))</f>
        <v/>
      </c>
      <c r="C267" s="17">
        <f>IF($A267="","",YEAR($A267))</f>
        <v/>
      </c>
      <c r="D267" s="13" t="n"/>
      <c r="E267" s="13" t="n"/>
      <c r="F267" s="18" t="n"/>
      <c r="G267" s="18" t="n"/>
      <c r="H267" s="19">
        <f>IF(AND($F267="",$G267=""),"",N($F267)-N($G267))</f>
        <v/>
      </c>
    </row>
    <row r="268">
      <c r="A268" s="15" t="n"/>
      <c r="B268" s="16">
        <f>IF($A268="","",TEXT($A268,"mmm"))</f>
        <v/>
      </c>
      <c r="C268" s="17">
        <f>IF($A268="","",YEAR($A268))</f>
        <v/>
      </c>
      <c r="D268" s="13" t="n"/>
      <c r="E268" s="13" t="n"/>
      <c r="F268" s="18" t="n"/>
      <c r="G268" s="18" t="n"/>
      <c r="H268" s="19">
        <f>IF(AND($F268="",$G268=""),"",N($F268)-N($G268))</f>
        <v/>
      </c>
    </row>
    <row r="269">
      <c r="A269" s="15" t="n"/>
      <c r="B269" s="16">
        <f>IF($A269="","",TEXT($A269,"mmm"))</f>
        <v/>
      </c>
      <c r="C269" s="17">
        <f>IF($A269="","",YEAR($A269))</f>
        <v/>
      </c>
      <c r="D269" s="13" t="n"/>
      <c r="E269" s="13" t="n"/>
      <c r="F269" s="18" t="n"/>
      <c r="G269" s="18" t="n"/>
      <c r="H269" s="19">
        <f>IF(AND($F269="",$G269=""),"",N($F269)-N($G269))</f>
        <v/>
      </c>
    </row>
    <row r="270">
      <c r="A270" s="15" t="n"/>
      <c r="B270" s="16">
        <f>IF($A270="","",TEXT($A270,"mmm"))</f>
        <v/>
      </c>
      <c r="C270" s="17">
        <f>IF($A270="","",YEAR($A270))</f>
        <v/>
      </c>
      <c r="D270" s="13" t="n"/>
      <c r="E270" s="13" t="n"/>
      <c r="F270" s="18" t="n"/>
      <c r="G270" s="18" t="n"/>
      <c r="H270" s="19">
        <f>IF(AND($F270="",$G270=""),"",N($F270)-N($G270))</f>
        <v/>
      </c>
    </row>
    <row r="271">
      <c r="A271" s="15" t="n"/>
      <c r="B271" s="16">
        <f>IF($A271="","",TEXT($A271,"mmm"))</f>
        <v/>
      </c>
      <c r="C271" s="17">
        <f>IF($A271="","",YEAR($A271))</f>
        <v/>
      </c>
      <c r="D271" s="13" t="n"/>
      <c r="E271" s="13" t="n"/>
      <c r="F271" s="18" t="n"/>
      <c r="G271" s="18" t="n"/>
      <c r="H271" s="19">
        <f>IF(AND($F271="",$G271=""),"",N($F271)-N($G271))</f>
        <v/>
      </c>
    </row>
    <row r="272">
      <c r="A272" s="15" t="n"/>
      <c r="B272" s="16">
        <f>IF($A272="","",TEXT($A272,"mmm"))</f>
        <v/>
      </c>
      <c r="C272" s="17">
        <f>IF($A272="","",YEAR($A272))</f>
        <v/>
      </c>
      <c r="D272" s="13" t="n"/>
      <c r="E272" s="13" t="n"/>
      <c r="F272" s="18" t="n"/>
      <c r="G272" s="18" t="n"/>
      <c r="H272" s="19">
        <f>IF(AND($F272="",$G272=""),"",N($F272)-N($G272))</f>
        <v/>
      </c>
    </row>
    <row r="273">
      <c r="A273" s="15" t="n"/>
      <c r="B273" s="16">
        <f>IF($A273="","",TEXT($A273,"mmm"))</f>
        <v/>
      </c>
      <c r="C273" s="17">
        <f>IF($A273="","",YEAR($A273))</f>
        <v/>
      </c>
      <c r="D273" s="13" t="n"/>
      <c r="E273" s="13" t="n"/>
      <c r="F273" s="18" t="n"/>
      <c r="G273" s="18" t="n"/>
      <c r="H273" s="19">
        <f>IF(AND($F273="",$G273=""),"",N($F273)-N($G273))</f>
        <v/>
      </c>
    </row>
    <row r="274">
      <c r="A274" s="15" t="n"/>
      <c r="B274" s="16">
        <f>IF($A274="","",TEXT($A274,"mmm"))</f>
        <v/>
      </c>
      <c r="C274" s="17">
        <f>IF($A274="","",YEAR($A274))</f>
        <v/>
      </c>
      <c r="D274" s="13" t="n"/>
      <c r="E274" s="13" t="n"/>
      <c r="F274" s="18" t="n"/>
      <c r="G274" s="18" t="n"/>
      <c r="H274" s="19">
        <f>IF(AND($F274="",$G274=""),"",N($F274)-N($G274))</f>
        <v/>
      </c>
    </row>
    <row r="275">
      <c r="A275" s="15" t="n"/>
      <c r="B275" s="16">
        <f>IF($A275="","",TEXT($A275,"mmm"))</f>
        <v/>
      </c>
      <c r="C275" s="17">
        <f>IF($A275="","",YEAR($A275))</f>
        <v/>
      </c>
      <c r="D275" s="13" t="n"/>
      <c r="E275" s="13" t="n"/>
      <c r="F275" s="18" t="n"/>
      <c r="G275" s="18" t="n"/>
      <c r="H275" s="19">
        <f>IF(AND($F275="",$G275=""),"",N($F275)-N($G275))</f>
        <v/>
      </c>
    </row>
    <row r="276">
      <c r="A276" s="15" t="n"/>
      <c r="B276" s="16">
        <f>IF($A276="","",TEXT($A276,"mmm"))</f>
        <v/>
      </c>
      <c r="C276" s="17">
        <f>IF($A276="","",YEAR($A276))</f>
        <v/>
      </c>
      <c r="D276" s="13" t="n"/>
      <c r="E276" s="13" t="n"/>
      <c r="F276" s="18" t="n"/>
      <c r="G276" s="18" t="n"/>
      <c r="H276" s="19">
        <f>IF(AND($F276="",$G276=""),"",N($F276)-N($G276))</f>
        <v/>
      </c>
    </row>
    <row r="277">
      <c r="A277" s="15" t="n"/>
      <c r="B277" s="16">
        <f>IF($A277="","",TEXT($A277,"mmm"))</f>
        <v/>
      </c>
      <c r="C277" s="17">
        <f>IF($A277="","",YEAR($A277))</f>
        <v/>
      </c>
      <c r="D277" s="13" t="n"/>
      <c r="E277" s="13" t="n"/>
      <c r="F277" s="18" t="n"/>
      <c r="G277" s="18" t="n"/>
      <c r="H277" s="19">
        <f>IF(AND($F277="",$G277=""),"",N($F277)-N($G277))</f>
        <v/>
      </c>
    </row>
    <row r="278">
      <c r="A278" s="15" t="n"/>
      <c r="B278" s="16">
        <f>IF($A278="","",TEXT($A278,"mmm"))</f>
        <v/>
      </c>
      <c r="C278" s="17">
        <f>IF($A278="","",YEAR($A278))</f>
        <v/>
      </c>
      <c r="D278" s="13" t="n"/>
      <c r="E278" s="13" t="n"/>
      <c r="F278" s="18" t="n"/>
      <c r="G278" s="18" t="n"/>
      <c r="H278" s="19">
        <f>IF(AND($F278="",$G278=""),"",N($F278)-N($G278))</f>
        <v/>
      </c>
    </row>
    <row r="279">
      <c r="A279" s="15" t="n"/>
      <c r="B279" s="16">
        <f>IF($A279="","",TEXT($A279,"mmm"))</f>
        <v/>
      </c>
      <c r="C279" s="17">
        <f>IF($A279="","",YEAR($A279))</f>
        <v/>
      </c>
      <c r="D279" s="13" t="n"/>
      <c r="E279" s="13" t="n"/>
      <c r="F279" s="18" t="n"/>
      <c r="G279" s="18" t="n"/>
      <c r="H279" s="19">
        <f>IF(AND($F279="",$G279=""),"",N($F279)-N($G279))</f>
        <v/>
      </c>
    </row>
    <row r="280">
      <c r="A280" s="15" t="n"/>
      <c r="B280" s="16">
        <f>IF($A280="","",TEXT($A280,"mmm"))</f>
        <v/>
      </c>
      <c r="C280" s="17">
        <f>IF($A280="","",YEAR($A280))</f>
        <v/>
      </c>
      <c r="D280" s="13" t="n"/>
      <c r="E280" s="13" t="n"/>
      <c r="F280" s="18" t="n"/>
      <c r="G280" s="18" t="n"/>
      <c r="H280" s="19">
        <f>IF(AND($F280="",$G280=""),"",N($F280)-N($G280))</f>
        <v/>
      </c>
    </row>
    <row r="281">
      <c r="A281" s="15" t="n"/>
      <c r="B281" s="16">
        <f>IF($A281="","",TEXT($A281,"mmm"))</f>
        <v/>
      </c>
      <c r="C281" s="17">
        <f>IF($A281="","",YEAR($A281))</f>
        <v/>
      </c>
      <c r="D281" s="13" t="n"/>
      <c r="E281" s="13" t="n"/>
      <c r="F281" s="18" t="n"/>
      <c r="G281" s="18" t="n"/>
      <c r="H281" s="19">
        <f>IF(AND($F281="",$G281=""),"",N($F281)-N($G281))</f>
        <v/>
      </c>
    </row>
    <row r="282">
      <c r="A282" s="15" t="n"/>
      <c r="B282" s="16">
        <f>IF($A282="","",TEXT($A282,"mmm"))</f>
        <v/>
      </c>
      <c r="C282" s="17">
        <f>IF($A282="","",YEAR($A282))</f>
        <v/>
      </c>
      <c r="D282" s="13" t="n"/>
      <c r="E282" s="13" t="n"/>
      <c r="F282" s="18" t="n"/>
      <c r="G282" s="18" t="n"/>
      <c r="H282" s="19">
        <f>IF(AND($F282="",$G282=""),"",N($F282)-N($G282))</f>
        <v/>
      </c>
    </row>
    <row r="283">
      <c r="A283" s="15" t="n"/>
      <c r="B283" s="16">
        <f>IF($A283="","",TEXT($A283,"mmm"))</f>
        <v/>
      </c>
      <c r="C283" s="17">
        <f>IF($A283="","",YEAR($A283))</f>
        <v/>
      </c>
      <c r="D283" s="13" t="n"/>
      <c r="E283" s="13" t="n"/>
      <c r="F283" s="18" t="n"/>
      <c r="G283" s="18" t="n"/>
      <c r="H283" s="19">
        <f>IF(AND($F283="",$G283=""),"",N($F283)-N($G283))</f>
        <v/>
      </c>
    </row>
    <row r="284">
      <c r="A284" s="15" t="n"/>
      <c r="B284" s="16">
        <f>IF($A284="","",TEXT($A284,"mmm"))</f>
        <v/>
      </c>
      <c r="C284" s="17">
        <f>IF($A284="","",YEAR($A284))</f>
        <v/>
      </c>
      <c r="D284" s="13" t="n"/>
      <c r="E284" s="13" t="n"/>
      <c r="F284" s="18" t="n"/>
      <c r="G284" s="18" t="n"/>
      <c r="H284" s="19">
        <f>IF(AND($F284="",$G284=""),"",N($F284)-N($G284))</f>
        <v/>
      </c>
    </row>
    <row r="285">
      <c r="A285" s="15" t="n"/>
      <c r="B285" s="16">
        <f>IF($A285="","",TEXT($A285,"mmm"))</f>
        <v/>
      </c>
      <c r="C285" s="17">
        <f>IF($A285="","",YEAR($A285))</f>
        <v/>
      </c>
      <c r="D285" s="13" t="n"/>
      <c r="E285" s="13" t="n"/>
      <c r="F285" s="18" t="n"/>
      <c r="G285" s="18" t="n"/>
      <c r="H285" s="19">
        <f>IF(AND($F285="",$G285=""),"",N($F285)-N($G285))</f>
        <v/>
      </c>
    </row>
    <row r="286">
      <c r="A286" s="15" t="n"/>
      <c r="B286" s="16">
        <f>IF($A286="","",TEXT($A286,"mmm"))</f>
        <v/>
      </c>
      <c r="C286" s="17">
        <f>IF($A286="","",YEAR($A286))</f>
        <v/>
      </c>
      <c r="D286" s="13" t="n"/>
      <c r="E286" s="13" t="n"/>
      <c r="F286" s="18" t="n"/>
      <c r="G286" s="18" t="n"/>
      <c r="H286" s="19">
        <f>IF(AND($F286="",$G286=""),"",N($F286)-N($G286))</f>
        <v/>
      </c>
    </row>
    <row r="287">
      <c r="A287" s="15" t="n"/>
      <c r="B287" s="16">
        <f>IF($A287="","",TEXT($A287,"mmm"))</f>
        <v/>
      </c>
      <c r="C287" s="17">
        <f>IF($A287="","",YEAR($A287))</f>
        <v/>
      </c>
      <c r="D287" s="13" t="n"/>
      <c r="E287" s="13" t="n"/>
      <c r="F287" s="18" t="n"/>
      <c r="G287" s="18" t="n"/>
      <c r="H287" s="19">
        <f>IF(AND($F287="",$G287=""),"",N($F287)-N($G287))</f>
        <v/>
      </c>
    </row>
    <row r="288">
      <c r="A288" s="15" t="n"/>
      <c r="B288" s="16">
        <f>IF($A288="","",TEXT($A288,"mmm"))</f>
        <v/>
      </c>
      <c r="C288" s="17">
        <f>IF($A288="","",YEAR($A288))</f>
        <v/>
      </c>
      <c r="D288" s="13" t="n"/>
      <c r="E288" s="13" t="n"/>
      <c r="F288" s="18" t="n"/>
      <c r="G288" s="18" t="n"/>
      <c r="H288" s="19">
        <f>IF(AND($F288="",$G288=""),"",N($F288)-N($G288))</f>
        <v/>
      </c>
    </row>
    <row r="289">
      <c r="A289" s="15" t="n"/>
      <c r="B289" s="16">
        <f>IF($A289="","",TEXT($A289,"mmm"))</f>
        <v/>
      </c>
      <c r="C289" s="17">
        <f>IF($A289="","",YEAR($A289))</f>
        <v/>
      </c>
      <c r="D289" s="13" t="n"/>
      <c r="E289" s="13" t="n"/>
      <c r="F289" s="18" t="n"/>
      <c r="G289" s="18" t="n"/>
      <c r="H289" s="19">
        <f>IF(AND($F289="",$G289=""),"",N($F289)-N($G289))</f>
        <v/>
      </c>
    </row>
    <row r="290">
      <c r="A290" s="15" t="n"/>
      <c r="B290" s="16">
        <f>IF($A290="","",TEXT($A290,"mmm"))</f>
        <v/>
      </c>
      <c r="C290" s="17">
        <f>IF($A290="","",YEAR($A290))</f>
        <v/>
      </c>
      <c r="D290" s="13" t="n"/>
      <c r="E290" s="13" t="n"/>
      <c r="F290" s="18" t="n"/>
      <c r="G290" s="18" t="n"/>
      <c r="H290" s="19">
        <f>IF(AND($F290="",$G290=""),"",N($F290)-N($G290))</f>
        <v/>
      </c>
    </row>
    <row r="291">
      <c r="A291" s="15" t="n"/>
      <c r="B291" s="16">
        <f>IF($A291="","",TEXT($A291,"mmm"))</f>
        <v/>
      </c>
      <c r="C291" s="17">
        <f>IF($A291="","",YEAR($A291))</f>
        <v/>
      </c>
      <c r="D291" s="13" t="n"/>
      <c r="E291" s="13" t="n"/>
      <c r="F291" s="18" t="n"/>
      <c r="G291" s="18" t="n"/>
      <c r="H291" s="19">
        <f>IF(AND($F291="",$G291=""),"",N($F291)-N($G291))</f>
        <v/>
      </c>
    </row>
    <row r="292">
      <c r="A292" s="15" t="n"/>
      <c r="B292" s="16">
        <f>IF($A292="","",TEXT($A292,"mmm"))</f>
        <v/>
      </c>
      <c r="C292" s="17">
        <f>IF($A292="","",YEAR($A292))</f>
        <v/>
      </c>
      <c r="D292" s="13" t="n"/>
      <c r="E292" s="13" t="n"/>
      <c r="F292" s="18" t="n"/>
      <c r="G292" s="18" t="n"/>
      <c r="H292" s="19">
        <f>IF(AND($F292="",$G292=""),"",N($F292)-N($G292))</f>
        <v/>
      </c>
    </row>
    <row r="293">
      <c r="A293" s="15" t="n"/>
      <c r="B293" s="16">
        <f>IF($A293="","",TEXT($A293,"mmm"))</f>
        <v/>
      </c>
      <c r="C293" s="17">
        <f>IF($A293="","",YEAR($A293))</f>
        <v/>
      </c>
      <c r="D293" s="13" t="n"/>
      <c r="E293" s="13" t="n"/>
      <c r="F293" s="18" t="n"/>
      <c r="G293" s="18" t="n"/>
      <c r="H293" s="19">
        <f>IF(AND($F293="",$G293=""),"",N($F293)-N($G293))</f>
        <v/>
      </c>
    </row>
    <row r="294">
      <c r="A294" s="15" t="n"/>
      <c r="B294" s="16">
        <f>IF($A294="","",TEXT($A294,"mmm"))</f>
        <v/>
      </c>
      <c r="C294" s="17">
        <f>IF($A294="","",YEAR($A294))</f>
        <v/>
      </c>
      <c r="D294" s="13" t="n"/>
      <c r="E294" s="13" t="n"/>
      <c r="F294" s="18" t="n"/>
      <c r="G294" s="18" t="n"/>
      <c r="H294" s="19">
        <f>IF(AND($F294="",$G294=""),"",N($F294)-N($G294))</f>
        <v/>
      </c>
    </row>
    <row r="295">
      <c r="A295" s="15" t="n"/>
      <c r="B295" s="16">
        <f>IF($A295="","",TEXT($A295,"mmm"))</f>
        <v/>
      </c>
      <c r="C295" s="17">
        <f>IF($A295="","",YEAR($A295))</f>
        <v/>
      </c>
      <c r="D295" s="13" t="n"/>
      <c r="E295" s="13" t="n"/>
      <c r="F295" s="18" t="n"/>
      <c r="G295" s="18" t="n"/>
      <c r="H295" s="19">
        <f>IF(AND($F295="",$G295=""),"",N($F295)-N($G295))</f>
        <v/>
      </c>
    </row>
    <row r="296">
      <c r="A296" s="15" t="n"/>
      <c r="B296" s="16">
        <f>IF($A296="","",TEXT($A296,"mmm"))</f>
        <v/>
      </c>
      <c r="C296" s="17">
        <f>IF($A296="","",YEAR($A296))</f>
        <v/>
      </c>
      <c r="D296" s="13" t="n"/>
      <c r="E296" s="13" t="n"/>
      <c r="F296" s="18" t="n"/>
      <c r="G296" s="18" t="n"/>
      <c r="H296" s="19">
        <f>IF(AND($F296="",$G296=""),"",N($F296)-N($G296))</f>
        <v/>
      </c>
    </row>
    <row r="297">
      <c r="A297" s="15" t="n"/>
      <c r="B297" s="16">
        <f>IF($A297="","",TEXT($A297,"mmm"))</f>
        <v/>
      </c>
      <c r="C297" s="17">
        <f>IF($A297="","",YEAR($A297))</f>
        <v/>
      </c>
      <c r="D297" s="13" t="n"/>
      <c r="E297" s="13" t="n"/>
      <c r="F297" s="18" t="n"/>
      <c r="G297" s="18" t="n"/>
      <c r="H297" s="19">
        <f>IF(AND($F297="",$G297=""),"",N($F297)-N($G297))</f>
        <v/>
      </c>
    </row>
    <row r="298">
      <c r="A298" s="15" t="n"/>
      <c r="B298" s="16">
        <f>IF($A298="","",TEXT($A298,"mmm"))</f>
        <v/>
      </c>
      <c r="C298" s="17">
        <f>IF($A298="","",YEAR($A298))</f>
        <v/>
      </c>
      <c r="D298" s="13" t="n"/>
      <c r="E298" s="13" t="n"/>
      <c r="F298" s="18" t="n"/>
      <c r="G298" s="18" t="n"/>
      <c r="H298" s="19">
        <f>IF(AND($F298="",$G298=""),"",N($F298)-N($G298))</f>
        <v/>
      </c>
    </row>
    <row r="299">
      <c r="A299" s="15" t="n"/>
      <c r="B299" s="16">
        <f>IF($A299="","",TEXT($A299,"mmm"))</f>
        <v/>
      </c>
      <c r="C299" s="17">
        <f>IF($A299="","",YEAR($A299))</f>
        <v/>
      </c>
      <c r="D299" s="13" t="n"/>
      <c r="E299" s="13" t="n"/>
      <c r="F299" s="18" t="n"/>
      <c r="G299" s="18" t="n"/>
      <c r="H299" s="19">
        <f>IF(AND($F299="",$G299=""),"",N($F299)-N($G299))</f>
        <v/>
      </c>
    </row>
    <row r="300">
      <c r="A300" s="15" t="n"/>
      <c r="B300" s="16">
        <f>IF($A300="","",TEXT($A300,"mmm"))</f>
        <v/>
      </c>
      <c r="C300" s="17">
        <f>IF($A300="","",YEAR($A300))</f>
        <v/>
      </c>
      <c r="D300" s="13" t="n"/>
      <c r="E300" s="13" t="n"/>
      <c r="F300" s="18" t="n"/>
      <c r="G300" s="18" t="n"/>
      <c r="H300" s="19">
        <f>IF(AND($F300="",$G300=""),"",N($F300)-N($G300))</f>
        <v/>
      </c>
    </row>
    <row r="301">
      <c r="A301" s="15" t="n"/>
      <c r="B301" s="16">
        <f>IF($A301="","",TEXT($A301,"mmm"))</f>
        <v/>
      </c>
      <c r="C301" s="17">
        <f>IF($A301="","",YEAR($A301))</f>
        <v/>
      </c>
      <c r="D301" s="13" t="n"/>
      <c r="E301" s="13" t="n"/>
      <c r="F301" s="18" t="n"/>
      <c r="G301" s="18" t="n"/>
      <c r="H301" s="19">
        <f>IF(AND($F301="",$G301=""),"",N($F301)-N($G301))</f>
        <v/>
      </c>
    </row>
    <row r="302">
      <c r="A302" s="15" t="n"/>
      <c r="B302" s="16">
        <f>IF($A302="","",TEXT($A302,"mmm"))</f>
        <v/>
      </c>
      <c r="C302" s="17">
        <f>IF($A302="","",YEAR($A302))</f>
        <v/>
      </c>
      <c r="D302" s="13" t="n"/>
      <c r="E302" s="13" t="n"/>
      <c r="F302" s="18" t="n"/>
      <c r="G302" s="18" t="n"/>
      <c r="H302" s="19">
        <f>IF(AND($F302="",$G302=""),"",N($F302)-N($G302))</f>
        <v/>
      </c>
    </row>
    <row r="303">
      <c r="A303" s="15" t="n"/>
      <c r="B303" s="16">
        <f>IF($A303="","",TEXT($A303,"mmm"))</f>
        <v/>
      </c>
      <c r="C303" s="17">
        <f>IF($A303="","",YEAR($A303))</f>
        <v/>
      </c>
      <c r="D303" s="13" t="n"/>
      <c r="E303" s="13" t="n"/>
      <c r="F303" s="18" t="n"/>
      <c r="G303" s="18" t="n"/>
      <c r="H303" s="19">
        <f>IF(AND($F303="",$G303=""),"",N($F303)-N($G303))</f>
        <v/>
      </c>
    </row>
    <row r="304">
      <c r="A304" s="15" t="n"/>
      <c r="B304" s="16">
        <f>IF($A304="","",TEXT($A304,"mmm"))</f>
        <v/>
      </c>
      <c r="C304" s="17">
        <f>IF($A304="","",YEAR($A304))</f>
        <v/>
      </c>
      <c r="D304" s="13" t="n"/>
      <c r="E304" s="13" t="n"/>
      <c r="F304" s="18" t="n"/>
      <c r="G304" s="18" t="n"/>
      <c r="H304" s="19">
        <f>IF(AND($F304="",$G304=""),"",N($F304)-N($G304))</f>
        <v/>
      </c>
    </row>
    <row r="305">
      <c r="A305" s="15" t="n"/>
      <c r="B305" s="16">
        <f>IF($A305="","",TEXT($A305,"mmm"))</f>
        <v/>
      </c>
      <c r="C305" s="17">
        <f>IF($A305="","",YEAR($A305))</f>
        <v/>
      </c>
      <c r="D305" s="13" t="n"/>
      <c r="E305" s="13" t="n"/>
      <c r="F305" s="18" t="n"/>
      <c r="G305" s="18" t="n"/>
      <c r="H305" s="19">
        <f>IF(AND($F305="",$G305=""),"",N($F305)-N($G305))</f>
        <v/>
      </c>
    </row>
    <row r="306">
      <c r="A306" s="15" t="n"/>
      <c r="B306" s="16">
        <f>IF($A306="","",TEXT($A306,"mmm"))</f>
        <v/>
      </c>
      <c r="C306" s="17">
        <f>IF($A306="","",YEAR($A306))</f>
        <v/>
      </c>
      <c r="D306" s="13" t="n"/>
      <c r="E306" s="13" t="n"/>
      <c r="F306" s="18" t="n"/>
      <c r="G306" s="18" t="n"/>
      <c r="H306" s="19">
        <f>IF(AND($F306="",$G306=""),"",N($F306)-N($G306))</f>
        <v/>
      </c>
    </row>
    <row r="307">
      <c r="A307" s="15" t="n"/>
      <c r="B307" s="16">
        <f>IF($A307="","",TEXT($A307,"mmm"))</f>
        <v/>
      </c>
      <c r="C307" s="17">
        <f>IF($A307="","",YEAR($A307))</f>
        <v/>
      </c>
      <c r="D307" s="13" t="n"/>
      <c r="E307" s="13" t="n"/>
      <c r="F307" s="18" t="n"/>
      <c r="G307" s="18" t="n"/>
      <c r="H307" s="19">
        <f>IF(AND($F307="",$G307=""),"",N($F307)-N($G307))</f>
        <v/>
      </c>
    </row>
    <row r="308">
      <c r="A308" s="15" t="n"/>
      <c r="B308" s="16">
        <f>IF($A308="","",TEXT($A308,"mmm"))</f>
        <v/>
      </c>
      <c r="C308" s="17">
        <f>IF($A308="","",YEAR($A308))</f>
        <v/>
      </c>
      <c r="D308" s="13" t="n"/>
      <c r="E308" s="13" t="n"/>
      <c r="F308" s="18" t="n"/>
      <c r="G308" s="18" t="n"/>
      <c r="H308" s="19">
        <f>IF(AND($F308="",$G308=""),"",N($F308)-N($G308))</f>
        <v/>
      </c>
    </row>
    <row r="309">
      <c r="A309" s="15" t="n"/>
      <c r="B309" s="16">
        <f>IF($A309="","",TEXT($A309,"mmm"))</f>
        <v/>
      </c>
      <c r="C309" s="17">
        <f>IF($A309="","",YEAR($A309))</f>
        <v/>
      </c>
      <c r="D309" s="13" t="n"/>
      <c r="E309" s="13" t="n"/>
      <c r="F309" s="18" t="n"/>
      <c r="G309" s="18" t="n"/>
      <c r="H309" s="19">
        <f>IF(AND($F309="",$G309=""),"",N($F309)-N($G309))</f>
        <v/>
      </c>
    </row>
    <row r="310">
      <c r="A310" s="15" t="n"/>
      <c r="B310" s="16">
        <f>IF($A310="","",TEXT($A310,"mmm"))</f>
        <v/>
      </c>
      <c r="C310" s="17">
        <f>IF($A310="","",YEAR($A310))</f>
        <v/>
      </c>
      <c r="D310" s="13" t="n"/>
      <c r="E310" s="13" t="n"/>
      <c r="F310" s="18" t="n"/>
      <c r="G310" s="18" t="n"/>
      <c r="H310" s="19">
        <f>IF(AND($F310="",$G310=""),"",N($F310)-N($G310))</f>
        <v/>
      </c>
    </row>
    <row r="311">
      <c r="A311" s="15" t="n"/>
      <c r="B311" s="16">
        <f>IF($A311="","",TEXT($A311,"mmm"))</f>
        <v/>
      </c>
      <c r="C311" s="17">
        <f>IF($A311="","",YEAR($A311))</f>
        <v/>
      </c>
      <c r="D311" s="13" t="n"/>
      <c r="E311" s="13" t="n"/>
      <c r="F311" s="18" t="n"/>
      <c r="G311" s="18" t="n"/>
      <c r="H311" s="19">
        <f>IF(AND($F311="",$G311=""),"",N($F311)-N($G311))</f>
        <v/>
      </c>
    </row>
    <row r="312">
      <c r="A312" s="15" t="n"/>
      <c r="B312" s="16">
        <f>IF($A312="","",TEXT($A312,"mmm"))</f>
        <v/>
      </c>
      <c r="C312" s="17">
        <f>IF($A312="","",YEAR($A312))</f>
        <v/>
      </c>
      <c r="D312" s="13" t="n"/>
      <c r="E312" s="13" t="n"/>
      <c r="F312" s="18" t="n"/>
      <c r="G312" s="18" t="n"/>
      <c r="H312" s="19">
        <f>IF(AND($F312="",$G312=""),"",N($F312)-N($G312))</f>
        <v/>
      </c>
    </row>
    <row r="313">
      <c r="A313" s="15" t="n"/>
      <c r="B313" s="16">
        <f>IF($A313="","",TEXT($A313,"mmm"))</f>
        <v/>
      </c>
      <c r="C313" s="17">
        <f>IF($A313="","",YEAR($A313))</f>
        <v/>
      </c>
      <c r="D313" s="13" t="n"/>
      <c r="E313" s="13" t="n"/>
      <c r="F313" s="18" t="n"/>
      <c r="G313" s="18" t="n"/>
      <c r="H313" s="19">
        <f>IF(AND($F313="",$G313=""),"",N($F313)-N($G313))</f>
        <v/>
      </c>
    </row>
    <row r="314">
      <c r="A314" s="15" t="n"/>
      <c r="B314" s="16">
        <f>IF($A314="","",TEXT($A314,"mmm"))</f>
        <v/>
      </c>
      <c r="C314" s="17">
        <f>IF($A314="","",YEAR($A314))</f>
        <v/>
      </c>
      <c r="D314" s="13" t="n"/>
      <c r="E314" s="13" t="n"/>
      <c r="F314" s="18" t="n"/>
      <c r="G314" s="18" t="n"/>
      <c r="H314" s="19">
        <f>IF(AND($F314="",$G314=""),"",N($F314)-N($G314))</f>
        <v/>
      </c>
    </row>
    <row r="315">
      <c r="A315" s="15" t="n"/>
      <c r="B315" s="16">
        <f>IF($A315="","",TEXT($A315,"mmm"))</f>
        <v/>
      </c>
      <c r="C315" s="17">
        <f>IF($A315="","",YEAR($A315))</f>
        <v/>
      </c>
      <c r="D315" s="13" t="n"/>
      <c r="E315" s="13" t="n"/>
      <c r="F315" s="18" t="n"/>
      <c r="G315" s="18" t="n"/>
      <c r="H315" s="19">
        <f>IF(AND($F315="",$G315=""),"",N($F315)-N($G315))</f>
        <v/>
      </c>
    </row>
    <row r="316">
      <c r="A316" s="15" t="n"/>
      <c r="B316" s="16">
        <f>IF($A316="","",TEXT($A316,"mmm"))</f>
        <v/>
      </c>
      <c r="C316" s="17">
        <f>IF($A316="","",YEAR($A316))</f>
        <v/>
      </c>
      <c r="D316" s="13" t="n"/>
      <c r="E316" s="13" t="n"/>
      <c r="F316" s="18" t="n"/>
      <c r="G316" s="18" t="n"/>
      <c r="H316" s="19">
        <f>IF(AND($F316="",$G316=""),"",N($F316)-N($G316))</f>
        <v/>
      </c>
    </row>
    <row r="317">
      <c r="A317" s="15" t="n"/>
      <c r="B317" s="16">
        <f>IF($A317="","",TEXT($A317,"mmm"))</f>
        <v/>
      </c>
      <c r="C317" s="17">
        <f>IF($A317="","",YEAR($A317))</f>
        <v/>
      </c>
      <c r="D317" s="13" t="n"/>
      <c r="E317" s="13" t="n"/>
      <c r="F317" s="18" t="n"/>
      <c r="G317" s="18" t="n"/>
      <c r="H317" s="19">
        <f>IF(AND($F317="",$G317=""),"",N($F317)-N($G317))</f>
        <v/>
      </c>
    </row>
    <row r="318">
      <c r="A318" s="15" t="n"/>
      <c r="B318" s="16">
        <f>IF($A318="","",TEXT($A318,"mmm"))</f>
        <v/>
      </c>
      <c r="C318" s="17">
        <f>IF($A318="","",YEAR($A318))</f>
        <v/>
      </c>
      <c r="D318" s="13" t="n"/>
      <c r="E318" s="13" t="n"/>
      <c r="F318" s="18" t="n"/>
      <c r="G318" s="18" t="n"/>
      <c r="H318" s="19">
        <f>IF(AND($F318="",$G318=""),"",N($F318)-N($G318))</f>
        <v/>
      </c>
    </row>
    <row r="319">
      <c r="A319" s="15" t="n"/>
      <c r="B319" s="16">
        <f>IF($A319="","",TEXT($A319,"mmm"))</f>
        <v/>
      </c>
      <c r="C319" s="17">
        <f>IF($A319="","",YEAR($A319))</f>
        <v/>
      </c>
      <c r="D319" s="13" t="n"/>
      <c r="E319" s="13" t="n"/>
      <c r="F319" s="18" t="n"/>
      <c r="G319" s="18" t="n"/>
      <c r="H319" s="19">
        <f>IF(AND($F319="",$G319=""),"",N($F319)-N($G319))</f>
        <v/>
      </c>
    </row>
    <row r="320">
      <c r="A320" s="15" t="n"/>
      <c r="B320" s="16">
        <f>IF($A320="","",TEXT($A320,"mmm"))</f>
        <v/>
      </c>
      <c r="C320" s="17">
        <f>IF($A320="","",YEAR($A320))</f>
        <v/>
      </c>
      <c r="D320" s="13" t="n"/>
      <c r="E320" s="13" t="n"/>
      <c r="F320" s="18" t="n"/>
      <c r="G320" s="18" t="n"/>
      <c r="H320" s="19">
        <f>IF(AND($F320="",$G320=""),"",N($F320)-N($G320))</f>
        <v/>
      </c>
    </row>
    <row r="321">
      <c r="A321" s="15" t="n"/>
      <c r="B321" s="16">
        <f>IF($A321="","",TEXT($A321,"mmm"))</f>
        <v/>
      </c>
      <c r="C321" s="17">
        <f>IF($A321="","",YEAR($A321))</f>
        <v/>
      </c>
      <c r="D321" s="13" t="n"/>
      <c r="E321" s="13" t="n"/>
      <c r="F321" s="18" t="n"/>
      <c r="G321" s="18" t="n"/>
      <c r="H321" s="19">
        <f>IF(AND($F321="",$G321=""),"",N($F321)-N($G321))</f>
        <v/>
      </c>
    </row>
    <row r="322">
      <c r="A322" s="15" t="n"/>
      <c r="B322" s="16">
        <f>IF($A322="","",TEXT($A322,"mmm"))</f>
        <v/>
      </c>
      <c r="C322" s="17">
        <f>IF($A322="","",YEAR($A322))</f>
        <v/>
      </c>
      <c r="D322" s="13" t="n"/>
      <c r="E322" s="13" t="n"/>
      <c r="F322" s="18" t="n"/>
      <c r="G322" s="18" t="n"/>
      <c r="H322" s="19">
        <f>IF(AND($F322="",$G322=""),"",N($F322)-N($G322))</f>
        <v/>
      </c>
    </row>
    <row r="323">
      <c r="A323" s="15" t="n"/>
      <c r="B323" s="16">
        <f>IF($A323="","",TEXT($A323,"mmm"))</f>
        <v/>
      </c>
      <c r="C323" s="17">
        <f>IF($A323="","",YEAR($A323))</f>
        <v/>
      </c>
      <c r="D323" s="13" t="n"/>
      <c r="E323" s="13" t="n"/>
      <c r="F323" s="18" t="n"/>
      <c r="G323" s="18" t="n"/>
      <c r="H323" s="19">
        <f>IF(AND($F323="",$G323=""),"",N($F323)-N($G323))</f>
        <v/>
      </c>
    </row>
    <row r="324">
      <c r="A324" s="15" t="n"/>
      <c r="B324" s="16">
        <f>IF($A324="","",TEXT($A324,"mmm"))</f>
        <v/>
      </c>
      <c r="C324" s="17">
        <f>IF($A324="","",YEAR($A324))</f>
        <v/>
      </c>
      <c r="D324" s="13" t="n"/>
      <c r="E324" s="13" t="n"/>
      <c r="F324" s="18" t="n"/>
      <c r="G324" s="18" t="n"/>
      <c r="H324" s="19">
        <f>IF(AND($F324="",$G324=""),"",N($F324)-N($G324))</f>
        <v/>
      </c>
    </row>
    <row r="325">
      <c r="A325" s="15" t="n"/>
      <c r="B325" s="16">
        <f>IF($A325="","",TEXT($A325,"mmm"))</f>
        <v/>
      </c>
      <c r="C325" s="17">
        <f>IF($A325="","",YEAR($A325))</f>
        <v/>
      </c>
      <c r="D325" s="13" t="n"/>
      <c r="E325" s="13" t="n"/>
      <c r="F325" s="18" t="n"/>
      <c r="G325" s="18" t="n"/>
      <c r="H325" s="19">
        <f>IF(AND($F325="",$G325=""),"",N($F325)-N($G325))</f>
        <v/>
      </c>
    </row>
    <row r="326">
      <c r="A326" s="15" t="n"/>
      <c r="B326" s="16">
        <f>IF($A326="","",TEXT($A326,"mmm"))</f>
        <v/>
      </c>
      <c r="C326" s="17">
        <f>IF($A326="","",YEAR($A326))</f>
        <v/>
      </c>
      <c r="D326" s="13" t="n"/>
      <c r="E326" s="13" t="n"/>
      <c r="F326" s="18" t="n"/>
      <c r="G326" s="18" t="n"/>
      <c r="H326" s="19">
        <f>IF(AND($F326="",$G326=""),"",N($F326)-N($G326))</f>
        <v/>
      </c>
    </row>
    <row r="327">
      <c r="A327" s="15" t="n"/>
      <c r="B327" s="16">
        <f>IF($A327="","",TEXT($A327,"mmm"))</f>
        <v/>
      </c>
      <c r="C327" s="17">
        <f>IF($A327="","",YEAR($A327))</f>
        <v/>
      </c>
      <c r="D327" s="13" t="n"/>
      <c r="E327" s="13" t="n"/>
      <c r="F327" s="18" t="n"/>
      <c r="G327" s="18" t="n"/>
      <c r="H327" s="19">
        <f>IF(AND($F327="",$G327=""),"",N($F327)-N($G327))</f>
        <v/>
      </c>
    </row>
    <row r="328">
      <c r="A328" s="15" t="n"/>
      <c r="B328" s="16">
        <f>IF($A328="","",TEXT($A328,"mmm"))</f>
        <v/>
      </c>
      <c r="C328" s="17">
        <f>IF($A328="","",YEAR($A328))</f>
        <v/>
      </c>
      <c r="D328" s="13" t="n"/>
      <c r="E328" s="13" t="n"/>
      <c r="F328" s="18" t="n"/>
      <c r="G328" s="18" t="n"/>
      <c r="H328" s="19">
        <f>IF(AND($F328="",$G328=""),"",N($F328)-N($G328))</f>
        <v/>
      </c>
    </row>
    <row r="329">
      <c r="A329" s="15" t="n"/>
      <c r="B329" s="16">
        <f>IF($A329="","",TEXT($A329,"mmm"))</f>
        <v/>
      </c>
      <c r="C329" s="17">
        <f>IF($A329="","",YEAR($A329))</f>
        <v/>
      </c>
      <c r="D329" s="13" t="n"/>
      <c r="E329" s="13" t="n"/>
      <c r="F329" s="18" t="n"/>
      <c r="G329" s="18" t="n"/>
      <c r="H329" s="19">
        <f>IF(AND($F329="",$G329=""),"",N($F329)-N($G329))</f>
        <v/>
      </c>
    </row>
    <row r="330">
      <c r="A330" s="15" t="n"/>
      <c r="B330" s="16">
        <f>IF($A330="","",TEXT($A330,"mmm"))</f>
        <v/>
      </c>
      <c r="C330" s="17">
        <f>IF($A330="","",YEAR($A330))</f>
        <v/>
      </c>
      <c r="D330" s="13" t="n"/>
      <c r="E330" s="13" t="n"/>
      <c r="F330" s="18" t="n"/>
      <c r="G330" s="18" t="n"/>
      <c r="H330" s="19">
        <f>IF(AND($F330="",$G330=""),"",N($F330)-N($G330))</f>
        <v/>
      </c>
    </row>
    <row r="331">
      <c r="A331" s="15" t="n"/>
      <c r="B331" s="16">
        <f>IF($A331="","",TEXT($A331,"mmm"))</f>
        <v/>
      </c>
      <c r="C331" s="17">
        <f>IF($A331="","",YEAR($A331))</f>
        <v/>
      </c>
      <c r="D331" s="13" t="n"/>
      <c r="E331" s="13" t="n"/>
      <c r="F331" s="18" t="n"/>
      <c r="G331" s="18" t="n"/>
      <c r="H331" s="19">
        <f>IF(AND($F331="",$G331=""),"",N($F331)-N($G331))</f>
        <v/>
      </c>
    </row>
    <row r="332">
      <c r="A332" s="15" t="n"/>
      <c r="B332" s="16">
        <f>IF($A332="","",TEXT($A332,"mmm"))</f>
        <v/>
      </c>
      <c r="C332" s="17">
        <f>IF($A332="","",YEAR($A332))</f>
        <v/>
      </c>
      <c r="D332" s="13" t="n"/>
      <c r="E332" s="13" t="n"/>
      <c r="F332" s="18" t="n"/>
      <c r="G332" s="18" t="n"/>
      <c r="H332" s="19">
        <f>IF(AND($F332="",$G332=""),"",N($F332)-N($G332))</f>
        <v/>
      </c>
    </row>
    <row r="333">
      <c r="A333" s="15" t="n"/>
      <c r="B333" s="16">
        <f>IF($A333="","",TEXT($A333,"mmm"))</f>
        <v/>
      </c>
      <c r="C333" s="17">
        <f>IF($A333="","",YEAR($A333))</f>
        <v/>
      </c>
      <c r="D333" s="13" t="n"/>
      <c r="E333" s="13" t="n"/>
      <c r="F333" s="18" t="n"/>
      <c r="G333" s="18" t="n"/>
      <c r="H333" s="19">
        <f>IF(AND($F333="",$G333=""),"",N($F333)-N($G333))</f>
        <v/>
      </c>
    </row>
    <row r="334">
      <c r="A334" s="15" t="n"/>
      <c r="B334" s="16">
        <f>IF($A334="","",TEXT($A334,"mmm"))</f>
        <v/>
      </c>
      <c r="C334" s="17">
        <f>IF($A334="","",YEAR($A334))</f>
        <v/>
      </c>
      <c r="D334" s="13" t="n"/>
      <c r="E334" s="13" t="n"/>
      <c r="F334" s="18" t="n"/>
      <c r="G334" s="18" t="n"/>
      <c r="H334" s="19">
        <f>IF(AND($F334="",$G334=""),"",N($F334)-N($G334))</f>
        <v/>
      </c>
    </row>
    <row r="335">
      <c r="A335" s="15" t="n"/>
      <c r="B335" s="16">
        <f>IF($A335="","",TEXT($A335,"mmm"))</f>
        <v/>
      </c>
      <c r="C335" s="17">
        <f>IF($A335="","",YEAR($A335))</f>
        <v/>
      </c>
      <c r="D335" s="13" t="n"/>
      <c r="E335" s="13" t="n"/>
      <c r="F335" s="18" t="n"/>
      <c r="G335" s="18" t="n"/>
      <c r="H335" s="19">
        <f>IF(AND($F335="",$G335=""),"",N($F335)-N($G335))</f>
        <v/>
      </c>
    </row>
    <row r="336">
      <c r="A336" s="15" t="n"/>
      <c r="B336" s="16">
        <f>IF($A336="","",TEXT($A336,"mmm"))</f>
        <v/>
      </c>
      <c r="C336" s="17">
        <f>IF($A336="","",YEAR($A336))</f>
        <v/>
      </c>
      <c r="D336" s="13" t="n"/>
      <c r="E336" s="13" t="n"/>
      <c r="F336" s="18" t="n"/>
      <c r="G336" s="18" t="n"/>
      <c r="H336" s="19">
        <f>IF(AND($F336="",$G336=""),"",N($F336)-N($G336))</f>
        <v/>
      </c>
    </row>
    <row r="337">
      <c r="A337" s="15" t="n"/>
      <c r="B337" s="16">
        <f>IF($A337="","",TEXT($A337,"mmm"))</f>
        <v/>
      </c>
      <c r="C337" s="17">
        <f>IF($A337="","",YEAR($A337))</f>
        <v/>
      </c>
      <c r="D337" s="13" t="n"/>
      <c r="E337" s="13" t="n"/>
      <c r="F337" s="18" t="n"/>
      <c r="G337" s="18" t="n"/>
      <c r="H337" s="19">
        <f>IF(AND($F337="",$G337=""),"",N($F337)-N($G337))</f>
        <v/>
      </c>
    </row>
    <row r="338">
      <c r="A338" s="15" t="n"/>
      <c r="B338" s="16">
        <f>IF($A338="","",TEXT($A338,"mmm"))</f>
        <v/>
      </c>
      <c r="C338" s="17">
        <f>IF($A338="","",YEAR($A338))</f>
        <v/>
      </c>
      <c r="D338" s="13" t="n"/>
      <c r="E338" s="13" t="n"/>
      <c r="F338" s="18" t="n"/>
      <c r="G338" s="18" t="n"/>
      <c r="H338" s="19">
        <f>IF(AND($F338="",$G338=""),"",N($F338)-N($G338))</f>
        <v/>
      </c>
    </row>
    <row r="339">
      <c r="A339" s="15" t="n"/>
      <c r="B339" s="16">
        <f>IF($A339="","",TEXT($A339,"mmm"))</f>
        <v/>
      </c>
      <c r="C339" s="17">
        <f>IF($A339="","",YEAR($A339))</f>
        <v/>
      </c>
      <c r="D339" s="13" t="n"/>
      <c r="E339" s="13" t="n"/>
      <c r="F339" s="18" t="n"/>
      <c r="G339" s="18" t="n"/>
      <c r="H339" s="19">
        <f>IF(AND($F339="",$G339=""),"",N($F339)-N($G339))</f>
        <v/>
      </c>
    </row>
    <row r="340">
      <c r="A340" s="15" t="n"/>
      <c r="B340" s="16">
        <f>IF($A340="","",TEXT($A340,"mmm"))</f>
        <v/>
      </c>
      <c r="C340" s="17">
        <f>IF($A340="","",YEAR($A340))</f>
        <v/>
      </c>
      <c r="D340" s="13" t="n"/>
      <c r="E340" s="13" t="n"/>
      <c r="F340" s="18" t="n"/>
      <c r="G340" s="18" t="n"/>
      <c r="H340" s="19">
        <f>IF(AND($F340="",$G340=""),"",N($F340)-N($G340))</f>
        <v/>
      </c>
    </row>
    <row r="341">
      <c r="A341" s="15" t="n"/>
      <c r="B341" s="16">
        <f>IF($A341="","",TEXT($A341,"mmm"))</f>
        <v/>
      </c>
      <c r="C341" s="17">
        <f>IF($A341="","",YEAR($A341))</f>
        <v/>
      </c>
      <c r="D341" s="13" t="n"/>
      <c r="E341" s="13" t="n"/>
      <c r="F341" s="18" t="n"/>
      <c r="G341" s="18" t="n"/>
      <c r="H341" s="19">
        <f>IF(AND($F341="",$G341=""),"",N($F341)-N($G341))</f>
        <v/>
      </c>
    </row>
    <row r="342">
      <c r="A342" s="15" t="n"/>
      <c r="B342" s="16">
        <f>IF($A342="","",TEXT($A342,"mmm"))</f>
        <v/>
      </c>
      <c r="C342" s="17">
        <f>IF($A342="","",YEAR($A342))</f>
        <v/>
      </c>
      <c r="D342" s="13" t="n"/>
      <c r="E342" s="13" t="n"/>
      <c r="F342" s="18" t="n"/>
      <c r="G342" s="18" t="n"/>
      <c r="H342" s="19">
        <f>IF(AND($F342="",$G342=""),"",N($F342)-N($G342))</f>
        <v/>
      </c>
    </row>
    <row r="343">
      <c r="A343" s="15" t="n"/>
      <c r="B343" s="16">
        <f>IF($A343="","",TEXT($A343,"mmm"))</f>
        <v/>
      </c>
      <c r="C343" s="17">
        <f>IF($A343="","",YEAR($A343))</f>
        <v/>
      </c>
      <c r="D343" s="13" t="n"/>
      <c r="E343" s="13" t="n"/>
      <c r="F343" s="18" t="n"/>
      <c r="G343" s="18" t="n"/>
      <c r="H343" s="19">
        <f>IF(AND($F343="",$G343=""),"",N($F343)-N($G343))</f>
        <v/>
      </c>
    </row>
    <row r="344">
      <c r="A344" s="15" t="n"/>
      <c r="B344" s="16">
        <f>IF($A344="","",TEXT($A344,"mmm"))</f>
        <v/>
      </c>
      <c r="C344" s="17">
        <f>IF($A344="","",YEAR($A344))</f>
        <v/>
      </c>
      <c r="D344" s="13" t="n"/>
      <c r="E344" s="13" t="n"/>
      <c r="F344" s="18" t="n"/>
      <c r="G344" s="18" t="n"/>
      <c r="H344" s="19">
        <f>IF(AND($F344="",$G344=""),"",N($F344)-N($G344))</f>
        <v/>
      </c>
    </row>
    <row r="345">
      <c r="A345" s="15" t="n"/>
      <c r="B345" s="16">
        <f>IF($A345="","",TEXT($A345,"mmm"))</f>
        <v/>
      </c>
      <c r="C345" s="17">
        <f>IF($A345="","",YEAR($A345))</f>
        <v/>
      </c>
      <c r="D345" s="13" t="n"/>
      <c r="E345" s="13" t="n"/>
      <c r="F345" s="18" t="n"/>
      <c r="G345" s="18" t="n"/>
      <c r="H345" s="19">
        <f>IF(AND($F345="",$G345=""),"",N($F345)-N($G345))</f>
        <v/>
      </c>
    </row>
    <row r="346">
      <c r="A346" s="15" t="n"/>
      <c r="B346" s="16">
        <f>IF($A346="","",TEXT($A346,"mmm"))</f>
        <v/>
      </c>
      <c r="C346" s="17">
        <f>IF($A346="","",YEAR($A346))</f>
        <v/>
      </c>
      <c r="D346" s="13" t="n"/>
      <c r="E346" s="13" t="n"/>
      <c r="F346" s="18" t="n"/>
      <c r="G346" s="18" t="n"/>
      <c r="H346" s="19">
        <f>IF(AND($F346="",$G346=""),"",N($F346)-N($G346))</f>
        <v/>
      </c>
    </row>
    <row r="347">
      <c r="A347" s="15" t="n"/>
      <c r="B347" s="16">
        <f>IF($A347="","",TEXT($A347,"mmm"))</f>
        <v/>
      </c>
      <c r="C347" s="17">
        <f>IF($A347="","",YEAR($A347))</f>
        <v/>
      </c>
      <c r="D347" s="13" t="n"/>
      <c r="E347" s="13" t="n"/>
      <c r="F347" s="18" t="n"/>
      <c r="G347" s="18" t="n"/>
      <c r="H347" s="19">
        <f>IF(AND($F347="",$G347=""),"",N($F347)-N($G347))</f>
        <v/>
      </c>
    </row>
    <row r="348">
      <c r="A348" s="15" t="n"/>
      <c r="B348" s="16">
        <f>IF($A348="","",TEXT($A348,"mmm"))</f>
        <v/>
      </c>
      <c r="C348" s="17">
        <f>IF($A348="","",YEAR($A348))</f>
        <v/>
      </c>
      <c r="D348" s="13" t="n"/>
      <c r="E348" s="13" t="n"/>
      <c r="F348" s="18" t="n"/>
      <c r="G348" s="18" t="n"/>
      <c r="H348" s="19">
        <f>IF(AND($F348="",$G348=""),"",N($F348)-N($G348))</f>
        <v/>
      </c>
    </row>
    <row r="349">
      <c r="A349" s="15" t="n"/>
      <c r="B349" s="16">
        <f>IF($A349="","",TEXT($A349,"mmm"))</f>
        <v/>
      </c>
      <c r="C349" s="17">
        <f>IF($A349="","",YEAR($A349))</f>
        <v/>
      </c>
      <c r="D349" s="13" t="n"/>
      <c r="E349" s="13" t="n"/>
      <c r="F349" s="18" t="n"/>
      <c r="G349" s="18" t="n"/>
      <c r="H349" s="19">
        <f>IF(AND($F349="",$G349=""),"",N($F349)-N($G349))</f>
        <v/>
      </c>
    </row>
    <row r="350">
      <c r="A350" s="15" t="n"/>
      <c r="B350" s="16">
        <f>IF($A350="","",TEXT($A350,"mmm"))</f>
        <v/>
      </c>
      <c r="C350" s="17">
        <f>IF($A350="","",YEAR($A350))</f>
        <v/>
      </c>
      <c r="D350" s="13" t="n"/>
      <c r="E350" s="13" t="n"/>
      <c r="F350" s="18" t="n"/>
      <c r="G350" s="18" t="n"/>
      <c r="H350" s="19">
        <f>IF(AND($F350="",$G350=""),"",N($F350)-N($G350))</f>
        <v/>
      </c>
    </row>
    <row r="351">
      <c r="A351" s="15" t="n"/>
      <c r="B351" s="16">
        <f>IF($A351="","",TEXT($A351,"mmm"))</f>
        <v/>
      </c>
      <c r="C351" s="17">
        <f>IF($A351="","",YEAR($A351))</f>
        <v/>
      </c>
      <c r="D351" s="13" t="n"/>
      <c r="E351" s="13" t="n"/>
      <c r="F351" s="18" t="n"/>
      <c r="G351" s="18" t="n"/>
      <c r="H351" s="19">
        <f>IF(AND($F351="",$G351=""),"",N($F351)-N($G351))</f>
        <v/>
      </c>
    </row>
    <row r="352">
      <c r="A352" s="15" t="n"/>
      <c r="B352" s="16">
        <f>IF($A352="","",TEXT($A352,"mmm"))</f>
        <v/>
      </c>
      <c r="C352" s="17">
        <f>IF($A352="","",YEAR($A352))</f>
        <v/>
      </c>
      <c r="D352" s="13" t="n"/>
      <c r="E352" s="13" t="n"/>
      <c r="F352" s="18" t="n"/>
      <c r="G352" s="18" t="n"/>
      <c r="H352" s="19">
        <f>IF(AND($F352="",$G352=""),"",N($F352)-N($G352))</f>
        <v/>
      </c>
    </row>
    <row r="353">
      <c r="A353" s="15" t="n"/>
      <c r="B353" s="16">
        <f>IF($A353="","",TEXT($A353,"mmm"))</f>
        <v/>
      </c>
      <c r="C353" s="17">
        <f>IF($A353="","",YEAR($A353))</f>
        <v/>
      </c>
      <c r="D353" s="13" t="n"/>
      <c r="E353" s="13" t="n"/>
      <c r="F353" s="18" t="n"/>
      <c r="G353" s="18" t="n"/>
      <c r="H353" s="19">
        <f>IF(AND($F353="",$G353=""),"",N($F353)-N($G353))</f>
        <v/>
      </c>
    </row>
    <row r="354">
      <c r="A354" s="15" t="n"/>
      <c r="B354" s="16">
        <f>IF($A354="","",TEXT($A354,"mmm"))</f>
        <v/>
      </c>
      <c r="C354" s="17">
        <f>IF($A354="","",YEAR($A354))</f>
        <v/>
      </c>
      <c r="D354" s="13" t="n"/>
      <c r="E354" s="13" t="n"/>
      <c r="F354" s="18" t="n"/>
      <c r="G354" s="18" t="n"/>
      <c r="H354" s="19">
        <f>IF(AND($F354="",$G354=""),"",N($F354)-N($G354))</f>
        <v/>
      </c>
    </row>
    <row r="355">
      <c r="A355" s="15" t="n"/>
      <c r="B355" s="16">
        <f>IF($A355="","",TEXT($A355,"mmm"))</f>
        <v/>
      </c>
      <c r="C355" s="17">
        <f>IF($A355="","",YEAR($A355))</f>
        <v/>
      </c>
      <c r="D355" s="13" t="n"/>
      <c r="E355" s="13" t="n"/>
      <c r="F355" s="18" t="n"/>
      <c r="G355" s="18" t="n"/>
      <c r="H355" s="19">
        <f>IF(AND($F355="",$G355=""),"",N($F355)-N($G355))</f>
        <v/>
      </c>
    </row>
    <row r="356">
      <c r="A356" s="15" t="n"/>
      <c r="B356" s="16">
        <f>IF($A356="","",TEXT($A356,"mmm"))</f>
        <v/>
      </c>
      <c r="C356" s="17">
        <f>IF($A356="","",YEAR($A356))</f>
        <v/>
      </c>
      <c r="D356" s="13" t="n"/>
      <c r="E356" s="13" t="n"/>
      <c r="F356" s="18" t="n"/>
      <c r="G356" s="18" t="n"/>
      <c r="H356" s="19">
        <f>IF(AND($F356="",$G356=""),"",N($F356)-N($G356))</f>
        <v/>
      </c>
    </row>
    <row r="357">
      <c r="A357" s="15" t="n"/>
      <c r="B357" s="16">
        <f>IF($A357="","",TEXT($A357,"mmm"))</f>
        <v/>
      </c>
      <c r="C357" s="17">
        <f>IF($A357="","",YEAR($A357))</f>
        <v/>
      </c>
      <c r="D357" s="13" t="n"/>
      <c r="E357" s="13" t="n"/>
      <c r="F357" s="18" t="n"/>
      <c r="G357" s="18" t="n"/>
      <c r="H357" s="19">
        <f>IF(AND($F357="",$G357=""),"",N($F357)-N($G357))</f>
        <v/>
      </c>
    </row>
    <row r="358">
      <c r="A358" s="15" t="n"/>
      <c r="B358" s="16">
        <f>IF($A358="","",TEXT($A358,"mmm"))</f>
        <v/>
      </c>
      <c r="C358" s="17">
        <f>IF($A358="","",YEAR($A358))</f>
        <v/>
      </c>
      <c r="D358" s="13" t="n"/>
      <c r="E358" s="13" t="n"/>
      <c r="F358" s="18" t="n"/>
      <c r="G358" s="18" t="n"/>
      <c r="H358" s="19">
        <f>IF(AND($F358="",$G358=""),"",N($F358)-N($G358))</f>
        <v/>
      </c>
    </row>
    <row r="359">
      <c r="A359" s="15" t="n"/>
      <c r="B359" s="16">
        <f>IF($A359="","",TEXT($A359,"mmm"))</f>
        <v/>
      </c>
      <c r="C359" s="17">
        <f>IF($A359="","",YEAR($A359))</f>
        <v/>
      </c>
      <c r="D359" s="13" t="n"/>
      <c r="E359" s="13" t="n"/>
      <c r="F359" s="18" t="n"/>
      <c r="G359" s="18" t="n"/>
      <c r="H359" s="19">
        <f>IF(AND($F359="",$G359=""),"",N($F359)-N($G359))</f>
        <v/>
      </c>
    </row>
    <row r="360">
      <c r="A360" s="15" t="n"/>
      <c r="B360" s="16">
        <f>IF($A360="","",TEXT($A360,"mmm"))</f>
        <v/>
      </c>
      <c r="C360" s="17">
        <f>IF($A360="","",YEAR($A360))</f>
        <v/>
      </c>
      <c r="D360" s="13" t="n"/>
      <c r="E360" s="13" t="n"/>
      <c r="F360" s="18" t="n"/>
      <c r="G360" s="18" t="n"/>
      <c r="H360" s="19">
        <f>IF(AND($F360="",$G360=""),"",N($F360)-N($G360))</f>
        <v/>
      </c>
    </row>
    <row r="361">
      <c r="A361" s="15" t="n"/>
      <c r="B361" s="16">
        <f>IF($A361="","",TEXT($A361,"mmm"))</f>
        <v/>
      </c>
      <c r="C361" s="17">
        <f>IF($A361="","",YEAR($A361))</f>
        <v/>
      </c>
      <c r="D361" s="13" t="n"/>
      <c r="E361" s="13" t="n"/>
      <c r="F361" s="18" t="n"/>
      <c r="G361" s="18" t="n"/>
      <c r="H361" s="19">
        <f>IF(AND($F361="",$G361=""),"",N($F361)-N($G361))</f>
        <v/>
      </c>
    </row>
    <row r="362">
      <c r="A362" s="15" t="n"/>
      <c r="B362" s="16">
        <f>IF($A362="","",TEXT($A362,"mmm"))</f>
        <v/>
      </c>
      <c r="C362" s="17">
        <f>IF($A362="","",YEAR($A362))</f>
        <v/>
      </c>
      <c r="D362" s="13" t="n"/>
      <c r="E362" s="13" t="n"/>
      <c r="F362" s="18" t="n"/>
      <c r="G362" s="18" t="n"/>
      <c r="H362" s="19">
        <f>IF(AND($F362="",$G362=""),"",N($F362)-N($G362))</f>
        <v/>
      </c>
    </row>
    <row r="363">
      <c r="A363" s="15" t="n"/>
      <c r="B363" s="16">
        <f>IF($A363="","",TEXT($A363,"mmm"))</f>
        <v/>
      </c>
      <c r="C363" s="17">
        <f>IF($A363="","",YEAR($A363))</f>
        <v/>
      </c>
      <c r="D363" s="13" t="n"/>
      <c r="E363" s="13" t="n"/>
      <c r="F363" s="18" t="n"/>
      <c r="G363" s="18" t="n"/>
      <c r="H363" s="19">
        <f>IF(AND($F363="",$G363=""),"",N($F363)-N($G363))</f>
        <v/>
      </c>
    </row>
    <row r="364">
      <c r="A364" s="15" t="n"/>
      <c r="B364" s="16">
        <f>IF($A364="","",TEXT($A364,"mmm"))</f>
        <v/>
      </c>
      <c r="C364" s="17">
        <f>IF($A364="","",YEAR($A364))</f>
        <v/>
      </c>
      <c r="D364" s="13" t="n"/>
      <c r="E364" s="13" t="n"/>
      <c r="F364" s="18" t="n"/>
      <c r="G364" s="18" t="n"/>
      <c r="H364" s="19">
        <f>IF(AND($F364="",$G364=""),"",N($F364)-N($G364))</f>
        <v/>
      </c>
    </row>
    <row r="365">
      <c r="A365" s="15" t="n"/>
      <c r="B365" s="16">
        <f>IF($A365="","",TEXT($A365,"mmm"))</f>
        <v/>
      </c>
      <c r="C365" s="17">
        <f>IF($A365="","",YEAR($A365))</f>
        <v/>
      </c>
      <c r="D365" s="13" t="n"/>
      <c r="E365" s="13" t="n"/>
      <c r="F365" s="18" t="n"/>
      <c r="G365" s="18" t="n"/>
      <c r="H365" s="19">
        <f>IF(AND($F365="",$G365=""),"",N($F365)-N($G365))</f>
        <v/>
      </c>
    </row>
    <row r="366">
      <c r="A366" s="15" t="n"/>
      <c r="B366" s="16">
        <f>IF($A366="","",TEXT($A366,"mmm"))</f>
        <v/>
      </c>
      <c r="C366" s="17">
        <f>IF($A366="","",YEAR($A366))</f>
        <v/>
      </c>
      <c r="D366" s="13" t="n"/>
      <c r="E366" s="13" t="n"/>
      <c r="F366" s="18" t="n"/>
      <c r="G366" s="18" t="n"/>
      <c r="H366" s="19">
        <f>IF(AND($F366="",$G366=""),"",N($F366)-N($G366))</f>
        <v/>
      </c>
    </row>
    <row r="367">
      <c r="A367" s="15" t="n"/>
      <c r="B367" s="16">
        <f>IF($A367="","",TEXT($A367,"mmm"))</f>
        <v/>
      </c>
      <c r="C367" s="17">
        <f>IF($A367="","",YEAR($A367))</f>
        <v/>
      </c>
      <c r="D367" s="13" t="n"/>
      <c r="E367" s="13" t="n"/>
      <c r="F367" s="18" t="n"/>
      <c r="G367" s="18" t="n"/>
      <c r="H367" s="19">
        <f>IF(AND($F367="",$G367=""),"",N($F367)-N($G367))</f>
        <v/>
      </c>
    </row>
    <row r="368">
      <c r="A368" s="15" t="n"/>
      <c r="B368" s="16">
        <f>IF($A368="","",TEXT($A368,"mmm"))</f>
        <v/>
      </c>
      <c r="C368" s="17">
        <f>IF($A368="","",YEAR($A368))</f>
        <v/>
      </c>
      <c r="D368" s="13" t="n"/>
      <c r="E368" s="13" t="n"/>
      <c r="F368" s="18" t="n"/>
      <c r="G368" s="18" t="n"/>
      <c r="H368" s="19">
        <f>IF(AND($F368="",$G368=""),"",N($F368)-N($G368))</f>
        <v/>
      </c>
    </row>
    <row r="369">
      <c r="A369" s="15" t="n"/>
      <c r="B369" s="16">
        <f>IF($A369="","",TEXT($A369,"mmm"))</f>
        <v/>
      </c>
      <c r="C369" s="17">
        <f>IF($A369="","",YEAR($A369))</f>
        <v/>
      </c>
      <c r="D369" s="13" t="n"/>
      <c r="E369" s="13" t="n"/>
      <c r="F369" s="18" t="n"/>
      <c r="G369" s="18" t="n"/>
      <c r="H369" s="19">
        <f>IF(AND($F369="",$G369=""),"",N($F369)-N($G369))</f>
        <v/>
      </c>
    </row>
    <row r="370">
      <c r="A370" s="15" t="n"/>
      <c r="B370" s="16">
        <f>IF($A370="","",TEXT($A370,"mmm"))</f>
        <v/>
      </c>
      <c r="C370" s="17">
        <f>IF($A370="","",YEAR($A370))</f>
        <v/>
      </c>
      <c r="D370" s="13" t="n"/>
      <c r="E370" s="13" t="n"/>
      <c r="F370" s="18" t="n"/>
      <c r="G370" s="18" t="n"/>
      <c r="H370" s="19">
        <f>IF(AND($F370="",$G370=""),"",N($F370)-N($G370))</f>
        <v/>
      </c>
    </row>
    <row r="371">
      <c r="A371" s="15" t="n"/>
      <c r="B371" s="16">
        <f>IF($A371="","",TEXT($A371,"mmm"))</f>
        <v/>
      </c>
      <c r="C371" s="17">
        <f>IF($A371="","",YEAR($A371))</f>
        <v/>
      </c>
      <c r="D371" s="13" t="n"/>
      <c r="E371" s="13" t="n"/>
      <c r="F371" s="18" t="n"/>
      <c r="G371" s="18" t="n"/>
      <c r="H371" s="19">
        <f>IF(AND($F371="",$G371=""),"",N($F371)-N($G371))</f>
        <v/>
      </c>
    </row>
    <row r="372">
      <c r="A372" s="15" t="n"/>
      <c r="B372" s="16">
        <f>IF($A372="","",TEXT($A372,"mmm"))</f>
        <v/>
      </c>
      <c r="C372" s="17">
        <f>IF($A372="","",YEAR($A372))</f>
        <v/>
      </c>
      <c r="D372" s="13" t="n"/>
      <c r="E372" s="13" t="n"/>
      <c r="F372" s="18" t="n"/>
      <c r="G372" s="18" t="n"/>
      <c r="H372" s="19">
        <f>IF(AND($F372="",$G372=""),"",N($F372)-N($G372))</f>
        <v/>
      </c>
    </row>
    <row r="373">
      <c r="A373" s="15" t="n"/>
      <c r="B373" s="16">
        <f>IF($A373="","",TEXT($A373,"mmm"))</f>
        <v/>
      </c>
      <c r="C373" s="17">
        <f>IF($A373="","",YEAR($A373))</f>
        <v/>
      </c>
      <c r="D373" s="13" t="n"/>
      <c r="E373" s="13" t="n"/>
      <c r="F373" s="18" t="n"/>
      <c r="G373" s="18" t="n"/>
      <c r="H373" s="19">
        <f>IF(AND($F373="",$G373=""),"",N($F373)-N($G373))</f>
        <v/>
      </c>
    </row>
    <row r="374">
      <c r="A374" s="15" t="n"/>
      <c r="B374" s="16">
        <f>IF($A374="","",TEXT($A374,"mmm"))</f>
        <v/>
      </c>
      <c r="C374" s="17">
        <f>IF($A374="","",YEAR($A374))</f>
        <v/>
      </c>
      <c r="D374" s="13" t="n"/>
      <c r="E374" s="13" t="n"/>
      <c r="F374" s="18" t="n"/>
      <c r="G374" s="18" t="n"/>
      <c r="H374" s="19">
        <f>IF(AND($F374="",$G374=""),"",N($F374)-N($G374))</f>
        <v/>
      </c>
    </row>
    <row r="375">
      <c r="A375" s="15" t="n"/>
      <c r="B375" s="16">
        <f>IF($A375="","",TEXT($A375,"mmm"))</f>
        <v/>
      </c>
      <c r="C375" s="17">
        <f>IF($A375="","",YEAR($A375))</f>
        <v/>
      </c>
      <c r="D375" s="13" t="n"/>
      <c r="E375" s="13" t="n"/>
      <c r="F375" s="18" t="n"/>
      <c r="G375" s="18" t="n"/>
      <c r="H375" s="19">
        <f>IF(AND($F375="",$G375=""),"",N($F375)-N($G375))</f>
        <v/>
      </c>
    </row>
    <row r="376">
      <c r="A376" s="15" t="n"/>
      <c r="B376" s="16">
        <f>IF($A376="","",TEXT($A376,"mmm"))</f>
        <v/>
      </c>
      <c r="C376" s="17">
        <f>IF($A376="","",YEAR($A376))</f>
        <v/>
      </c>
      <c r="D376" s="13" t="n"/>
      <c r="E376" s="13" t="n"/>
      <c r="F376" s="18" t="n"/>
      <c r="G376" s="18" t="n"/>
      <c r="H376" s="19">
        <f>IF(AND($F376="",$G376=""),"",N($F376)-N($G376))</f>
        <v/>
      </c>
    </row>
    <row r="377">
      <c r="A377" s="15" t="n"/>
      <c r="B377" s="16">
        <f>IF($A377="","",TEXT($A377,"mmm"))</f>
        <v/>
      </c>
      <c r="C377" s="17">
        <f>IF($A377="","",YEAR($A377))</f>
        <v/>
      </c>
      <c r="D377" s="13" t="n"/>
      <c r="E377" s="13" t="n"/>
      <c r="F377" s="18" t="n"/>
      <c r="G377" s="18" t="n"/>
      <c r="H377" s="19">
        <f>IF(AND($F377="",$G377=""),"",N($F377)-N($G377))</f>
        <v/>
      </c>
    </row>
    <row r="378">
      <c r="A378" s="15" t="n"/>
      <c r="B378" s="16">
        <f>IF($A378="","",TEXT($A378,"mmm"))</f>
        <v/>
      </c>
      <c r="C378" s="17">
        <f>IF($A378="","",YEAR($A378))</f>
        <v/>
      </c>
      <c r="D378" s="13" t="n"/>
      <c r="E378" s="13" t="n"/>
      <c r="F378" s="18" t="n"/>
      <c r="G378" s="18" t="n"/>
      <c r="H378" s="19">
        <f>IF(AND($F378="",$G378=""),"",N($F378)-N($G378))</f>
        <v/>
      </c>
    </row>
    <row r="379">
      <c r="A379" s="15" t="n"/>
      <c r="B379" s="16">
        <f>IF($A379="","",TEXT($A379,"mmm"))</f>
        <v/>
      </c>
      <c r="C379" s="17">
        <f>IF($A379="","",YEAR($A379))</f>
        <v/>
      </c>
      <c r="D379" s="13" t="n"/>
      <c r="E379" s="13" t="n"/>
      <c r="F379" s="18" t="n"/>
      <c r="G379" s="18" t="n"/>
      <c r="H379" s="19">
        <f>IF(AND($F379="",$G379=""),"",N($F379)-N($G379))</f>
        <v/>
      </c>
    </row>
    <row r="380">
      <c r="A380" s="15" t="n"/>
      <c r="B380" s="16">
        <f>IF($A380="","",TEXT($A380,"mmm"))</f>
        <v/>
      </c>
      <c r="C380" s="17">
        <f>IF($A380="","",YEAR($A380))</f>
        <v/>
      </c>
      <c r="D380" s="13" t="n"/>
      <c r="E380" s="13" t="n"/>
      <c r="F380" s="18" t="n"/>
      <c r="G380" s="18" t="n"/>
      <c r="H380" s="19">
        <f>IF(AND($F380="",$G380=""),"",N($F380)-N($G380))</f>
        <v/>
      </c>
    </row>
    <row r="381">
      <c r="A381" s="15" t="n"/>
      <c r="B381" s="16">
        <f>IF($A381="","",TEXT($A381,"mmm"))</f>
        <v/>
      </c>
      <c r="C381" s="17">
        <f>IF($A381="","",YEAR($A381))</f>
        <v/>
      </c>
      <c r="D381" s="13" t="n"/>
      <c r="E381" s="13" t="n"/>
      <c r="F381" s="18" t="n"/>
      <c r="G381" s="18" t="n"/>
      <c r="H381" s="19">
        <f>IF(AND($F381="",$G381=""),"",N($F381)-N($G381))</f>
        <v/>
      </c>
    </row>
    <row r="382">
      <c r="A382" s="15" t="n"/>
      <c r="B382" s="16">
        <f>IF($A382="","",TEXT($A382,"mmm"))</f>
        <v/>
      </c>
      <c r="C382" s="17">
        <f>IF($A382="","",YEAR($A382))</f>
        <v/>
      </c>
      <c r="D382" s="13" t="n"/>
      <c r="E382" s="13" t="n"/>
      <c r="F382" s="18" t="n"/>
      <c r="G382" s="18" t="n"/>
      <c r="H382" s="19">
        <f>IF(AND($F382="",$G382=""),"",N($F382)-N($G382))</f>
        <v/>
      </c>
    </row>
    <row r="383">
      <c r="A383" s="15" t="n"/>
      <c r="B383" s="16">
        <f>IF($A383="","",TEXT($A383,"mmm"))</f>
        <v/>
      </c>
      <c r="C383" s="17">
        <f>IF($A383="","",YEAR($A383))</f>
        <v/>
      </c>
      <c r="D383" s="13" t="n"/>
      <c r="E383" s="13" t="n"/>
      <c r="F383" s="18" t="n"/>
      <c r="G383" s="18" t="n"/>
      <c r="H383" s="19">
        <f>IF(AND($F383="",$G383=""),"",N($F383)-N($G383))</f>
        <v/>
      </c>
    </row>
    <row r="384">
      <c r="A384" s="15" t="n"/>
      <c r="B384" s="16">
        <f>IF($A384="","",TEXT($A384,"mmm"))</f>
        <v/>
      </c>
      <c r="C384" s="17">
        <f>IF($A384="","",YEAR($A384))</f>
        <v/>
      </c>
      <c r="D384" s="13" t="n"/>
      <c r="E384" s="13" t="n"/>
      <c r="F384" s="18" t="n"/>
      <c r="G384" s="18" t="n"/>
      <c r="H384" s="19">
        <f>IF(AND($F384="",$G384=""),"",N($F384)-N($G384))</f>
        <v/>
      </c>
    </row>
    <row r="385">
      <c r="A385" s="15" t="n"/>
      <c r="B385" s="16">
        <f>IF($A385="","",TEXT($A385,"mmm"))</f>
        <v/>
      </c>
      <c r="C385" s="17">
        <f>IF($A385="","",YEAR($A385))</f>
        <v/>
      </c>
      <c r="D385" s="13" t="n"/>
      <c r="E385" s="13" t="n"/>
      <c r="F385" s="18" t="n"/>
      <c r="G385" s="18" t="n"/>
      <c r="H385" s="19">
        <f>IF(AND($F385="",$G385=""),"",N($F385)-N($G385))</f>
        <v/>
      </c>
    </row>
    <row r="386">
      <c r="A386" s="15" t="n"/>
      <c r="B386" s="16">
        <f>IF($A386="","",TEXT($A386,"mmm"))</f>
        <v/>
      </c>
      <c r="C386" s="17">
        <f>IF($A386="","",YEAR($A386))</f>
        <v/>
      </c>
      <c r="D386" s="13" t="n"/>
      <c r="E386" s="13" t="n"/>
      <c r="F386" s="18" t="n"/>
      <c r="G386" s="18" t="n"/>
      <c r="H386" s="19">
        <f>IF(AND($F386="",$G386=""),"",N($F386)-N($G386))</f>
        <v/>
      </c>
    </row>
    <row r="387">
      <c r="A387" s="15" t="n"/>
      <c r="B387" s="16">
        <f>IF($A387="","",TEXT($A387,"mmm"))</f>
        <v/>
      </c>
      <c r="C387" s="17">
        <f>IF($A387="","",YEAR($A387))</f>
        <v/>
      </c>
      <c r="D387" s="13" t="n"/>
      <c r="E387" s="13" t="n"/>
      <c r="F387" s="18" t="n"/>
      <c r="G387" s="18" t="n"/>
      <c r="H387" s="19">
        <f>IF(AND($F387="",$G387=""),"",N($F387)-N($G387))</f>
        <v/>
      </c>
    </row>
    <row r="388">
      <c r="A388" s="15" t="n"/>
      <c r="B388" s="16">
        <f>IF($A388="","",TEXT($A388,"mmm"))</f>
        <v/>
      </c>
      <c r="C388" s="17">
        <f>IF($A388="","",YEAR($A388))</f>
        <v/>
      </c>
      <c r="D388" s="13" t="n"/>
      <c r="E388" s="13" t="n"/>
      <c r="F388" s="18" t="n"/>
      <c r="G388" s="18" t="n"/>
      <c r="H388" s="19">
        <f>IF(AND($F388="",$G388=""),"",N($F388)-N($G388))</f>
        <v/>
      </c>
    </row>
    <row r="389">
      <c r="A389" s="15" t="n"/>
      <c r="B389" s="16">
        <f>IF($A389="","",TEXT($A389,"mmm"))</f>
        <v/>
      </c>
      <c r="C389" s="17">
        <f>IF($A389="","",YEAR($A389))</f>
        <v/>
      </c>
      <c r="D389" s="13" t="n"/>
      <c r="E389" s="13" t="n"/>
      <c r="F389" s="18" t="n"/>
      <c r="G389" s="18" t="n"/>
      <c r="H389" s="19">
        <f>IF(AND($F389="",$G389=""),"",N($F389)-N($G389))</f>
        <v/>
      </c>
    </row>
    <row r="390">
      <c r="A390" s="15" t="n"/>
      <c r="B390" s="16">
        <f>IF($A390="","",TEXT($A390,"mmm"))</f>
        <v/>
      </c>
      <c r="C390" s="17">
        <f>IF($A390="","",YEAR($A390))</f>
        <v/>
      </c>
      <c r="D390" s="13" t="n"/>
      <c r="E390" s="13" t="n"/>
      <c r="F390" s="18" t="n"/>
      <c r="G390" s="18" t="n"/>
      <c r="H390" s="19">
        <f>IF(AND($F390="",$G390=""),"",N($F390)-N($G390))</f>
        <v/>
      </c>
    </row>
    <row r="391">
      <c r="A391" s="15" t="n"/>
      <c r="B391" s="16">
        <f>IF($A391="","",TEXT($A391,"mmm"))</f>
        <v/>
      </c>
      <c r="C391" s="17">
        <f>IF($A391="","",YEAR($A391))</f>
        <v/>
      </c>
      <c r="D391" s="13" t="n"/>
      <c r="E391" s="13" t="n"/>
      <c r="F391" s="18" t="n"/>
      <c r="G391" s="18" t="n"/>
      <c r="H391" s="19">
        <f>IF(AND($F391="",$G391=""),"",N($F391)-N($G391))</f>
        <v/>
      </c>
    </row>
    <row r="392">
      <c r="A392" s="15" t="n"/>
      <c r="B392" s="16">
        <f>IF($A392="","",TEXT($A392,"mmm"))</f>
        <v/>
      </c>
      <c r="C392" s="17">
        <f>IF($A392="","",YEAR($A392))</f>
        <v/>
      </c>
      <c r="D392" s="13" t="n"/>
      <c r="E392" s="13" t="n"/>
      <c r="F392" s="18" t="n"/>
      <c r="G392" s="18" t="n"/>
      <c r="H392" s="19">
        <f>IF(AND($F392="",$G392=""),"",N($F392)-N($G392))</f>
        <v/>
      </c>
    </row>
    <row r="393">
      <c r="A393" s="15" t="n"/>
      <c r="B393" s="16">
        <f>IF($A393="","",TEXT($A393,"mmm"))</f>
        <v/>
      </c>
      <c r="C393" s="17">
        <f>IF($A393="","",YEAR($A393))</f>
        <v/>
      </c>
      <c r="D393" s="13" t="n"/>
      <c r="E393" s="13" t="n"/>
      <c r="F393" s="18" t="n"/>
      <c r="G393" s="18" t="n"/>
      <c r="H393" s="19">
        <f>IF(AND($F393="",$G393=""),"",N($F393)-N($G393))</f>
        <v/>
      </c>
    </row>
    <row r="394">
      <c r="A394" s="15" t="n"/>
      <c r="B394" s="16">
        <f>IF($A394="","",TEXT($A394,"mmm"))</f>
        <v/>
      </c>
      <c r="C394" s="17">
        <f>IF($A394="","",YEAR($A394))</f>
        <v/>
      </c>
      <c r="D394" s="13" t="n"/>
      <c r="E394" s="13" t="n"/>
      <c r="F394" s="18" t="n"/>
      <c r="G394" s="18" t="n"/>
      <c r="H394" s="19">
        <f>IF(AND($F394="",$G394=""),"",N($F394)-N($G394))</f>
        <v/>
      </c>
    </row>
    <row r="395">
      <c r="A395" s="15" t="n"/>
      <c r="B395" s="16">
        <f>IF($A395="","",TEXT($A395,"mmm"))</f>
        <v/>
      </c>
      <c r="C395" s="17">
        <f>IF($A395="","",YEAR($A395))</f>
        <v/>
      </c>
      <c r="D395" s="13" t="n"/>
      <c r="E395" s="13" t="n"/>
      <c r="F395" s="18" t="n"/>
      <c r="G395" s="18" t="n"/>
      <c r="H395" s="19">
        <f>IF(AND($F395="",$G395=""),"",N($F395)-N($G395))</f>
        <v/>
      </c>
    </row>
    <row r="396">
      <c r="A396" s="15" t="n"/>
      <c r="B396" s="16">
        <f>IF($A396="","",TEXT($A396,"mmm"))</f>
        <v/>
      </c>
      <c r="C396" s="17">
        <f>IF($A396="","",YEAR($A396))</f>
        <v/>
      </c>
      <c r="D396" s="13" t="n"/>
      <c r="E396" s="13" t="n"/>
      <c r="F396" s="18" t="n"/>
      <c r="G396" s="18" t="n"/>
      <c r="H396" s="19">
        <f>IF(AND($F396="",$G396=""),"",N($F396)-N($G396))</f>
        <v/>
      </c>
    </row>
    <row r="397">
      <c r="A397" s="15" t="n"/>
      <c r="B397" s="16">
        <f>IF($A397="","",TEXT($A397,"mmm"))</f>
        <v/>
      </c>
      <c r="C397" s="17">
        <f>IF($A397="","",YEAR($A397))</f>
        <v/>
      </c>
      <c r="D397" s="13" t="n"/>
      <c r="E397" s="13" t="n"/>
      <c r="F397" s="18" t="n"/>
      <c r="G397" s="18" t="n"/>
      <c r="H397" s="19">
        <f>IF(AND($F397="",$G397=""),"",N($F397)-N($G397))</f>
        <v/>
      </c>
    </row>
    <row r="398">
      <c r="A398" s="15" t="n"/>
      <c r="B398" s="16">
        <f>IF($A398="","",TEXT($A398,"mmm"))</f>
        <v/>
      </c>
      <c r="C398" s="17">
        <f>IF($A398="","",YEAR($A398))</f>
        <v/>
      </c>
      <c r="D398" s="13" t="n"/>
      <c r="E398" s="13" t="n"/>
      <c r="F398" s="18" t="n"/>
      <c r="G398" s="18" t="n"/>
      <c r="H398" s="19">
        <f>IF(AND($F398="",$G398=""),"",N($F398)-N($G398))</f>
        <v/>
      </c>
    </row>
    <row r="399">
      <c r="A399" s="15" t="n"/>
      <c r="B399" s="16">
        <f>IF($A399="","",TEXT($A399,"mmm"))</f>
        <v/>
      </c>
      <c r="C399" s="17">
        <f>IF($A399="","",YEAR($A399))</f>
        <v/>
      </c>
      <c r="D399" s="13" t="n"/>
      <c r="E399" s="13" t="n"/>
      <c r="F399" s="18" t="n"/>
      <c r="G399" s="18" t="n"/>
      <c r="H399" s="19">
        <f>IF(AND($F399="",$G399=""),"",N($F399)-N($G399))</f>
        <v/>
      </c>
    </row>
    <row r="400">
      <c r="A400" s="15" t="n"/>
      <c r="B400" s="16">
        <f>IF($A400="","",TEXT($A400,"mmm"))</f>
        <v/>
      </c>
      <c r="C400" s="17">
        <f>IF($A400="","",YEAR($A400))</f>
        <v/>
      </c>
      <c r="D400" s="13" t="n"/>
      <c r="E400" s="13" t="n"/>
      <c r="F400" s="18" t="n"/>
      <c r="G400" s="18" t="n"/>
      <c r="H400" s="19">
        <f>IF(AND($F400="",$G400=""),"",N($F400)-N($G400))</f>
        <v/>
      </c>
    </row>
    <row r="401">
      <c r="A401" s="15" t="n"/>
      <c r="B401" s="16">
        <f>IF($A401="","",TEXT($A401,"mmm"))</f>
        <v/>
      </c>
      <c r="C401" s="17">
        <f>IF($A401="","",YEAR($A401))</f>
        <v/>
      </c>
      <c r="D401" s="13" t="n"/>
      <c r="E401" s="13" t="n"/>
      <c r="F401" s="18" t="n"/>
      <c r="G401" s="18" t="n"/>
      <c r="H401" s="19">
        <f>IF(AND($F401="",$G401=""),"",N($F401)-N($G401))</f>
        <v/>
      </c>
    </row>
    <row r="402">
      <c r="A402" s="15" t="n"/>
      <c r="B402" s="16">
        <f>IF($A402="","",TEXT($A402,"mmm"))</f>
        <v/>
      </c>
      <c r="C402" s="17">
        <f>IF($A402="","",YEAR($A402))</f>
        <v/>
      </c>
      <c r="D402" s="13" t="n"/>
      <c r="E402" s="13" t="n"/>
      <c r="F402" s="18" t="n"/>
      <c r="G402" s="18" t="n"/>
      <c r="H402" s="19">
        <f>IF(AND($F402="",$G402=""),"",N($F402)-N($G402))</f>
        <v/>
      </c>
    </row>
    <row r="403">
      <c r="A403" s="15" t="n"/>
      <c r="B403" s="16">
        <f>IF($A403="","",TEXT($A403,"mmm"))</f>
        <v/>
      </c>
      <c r="C403" s="17">
        <f>IF($A403="","",YEAR($A403))</f>
        <v/>
      </c>
      <c r="D403" s="13" t="n"/>
      <c r="E403" s="13" t="n"/>
      <c r="F403" s="18" t="n"/>
      <c r="G403" s="18" t="n"/>
      <c r="H403" s="19">
        <f>IF(AND($F403="",$G403=""),"",N($F403)-N($G403))</f>
        <v/>
      </c>
    </row>
    <row r="404">
      <c r="A404" s="15" t="n"/>
      <c r="B404" s="16">
        <f>IF($A404="","",TEXT($A404,"mmm"))</f>
        <v/>
      </c>
      <c r="C404" s="17">
        <f>IF($A404="","",YEAR($A404))</f>
        <v/>
      </c>
      <c r="D404" s="13" t="n"/>
      <c r="E404" s="13" t="n"/>
      <c r="F404" s="18" t="n"/>
      <c r="G404" s="18" t="n"/>
      <c r="H404" s="19">
        <f>IF(AND($F404="",$G404=""),"",N($F404)-N($G404))</f>
        <v/>
      </c>
    </row>
    <row r="405">
      <c r="A405" s="15" t="n"/>
      <c r="B405" s="16">
        <f>IF($A405="","",TEXT($A405,"mmm"))</f>
        <v/>
      </c>
      <c r="C405" s="17">
        <f>IF($A405="","",YEAR($A405))</f>
        <v/>
      </c>
      <c r="D405" s="13" t="n"/>
      <c r="E405" s="13" t="n"/>
      <c r="F405" s="18" t="n"/>
      <c r="G405" s="18" t="n"/>
      <c r="H405" s="19">
        <f>IF(AND($F405="",$G405=""),"",N($F405)-N($G405))</f>
        <v/>
      </c>
    </row>
    <row r="406">
      <c r="A406" s="15" t="n"/>
      <c r="B406" s="16">
        <f>IF($A406="","",TEXT($A406,"mmm"))</f>
        <v/>
      </c>
      <c r="C406" s="17">
        <f>IF($A406="","",YEAR($A406))</f>
        <v/>
      </c>
      <c r="D406" s="13" t="n"/>
      <c r="E406" s="13" t="n"/>
      <c r="F406" s="18" t="n"/>
      <c r="G406" s="18" t="n"/>
      <c r="H406" s="19">
        <f>IF(AND($F406="",$G406=""),"",N($F406)-N($G406))</f>
        <v/>
      </c>
    </row>
    <row r="407">
      <c r="A407" s="15" t="n"/>
      <c r="B407" s="16">
        <f>IF($A407="","",TEXT($A407,"mmm"))</f>
        <v/>
      </c>
      <c r="C407" s="17">
        <f>IF($A407="","",YEAR($A407))</f>
        <v/>
      </c>
      <c r="D407" s="13" t="n"/>
      <c r="E407" s="13" t="n"/>
      <c r="F407" s="18" t="n"/>
      <c r="G407" s="18" t="n"/>
      <c r="H407" s="19">
        <f>IF(AND($F407="",$G407=""),"",N($F407)-N($G407))</f>
        <v/>
      </c>
    </row>
    <row r="408">
      <c r="A408" s="15" t="n"/>
      <c r="B408" s="16">
        <f>IF($A408="","",TEXT($A408,"mmm"))</f>
        <v/>
      </c>
      <c r="C408" s="17">
        <f>IF($A408="","",YEAR($A408))</f>
        <v/>
      </c>
      <c r="D408" s="13" t="n"/>
      <c r="E408" s="13" t="n"/>
      <c r="F408" s="18" t="n"/>
      <c r="G408" s="18" t="n"/>
      <c r="H408" s="19">
        <f>IF(AND($F408="",$G408=""),"",N($F408)-N($G408))</f>
        <v/>
      </c>
    </row>
    <row r="409">
      <c r="A409" s="15" t="n"/>
      <c r="B409" s="16">
        <f>IF($A409="","",TEXT($A409,"mmm"))</f>
        <v/>
      </c>
      <c r="C409" s="17">
        <f>IF($A409="","",YEAR($A409))</f>
        <v/>
      </c>
      <c r="D409" s="13" t="n"/>
      <c r="E409" s="13" t="n"/>
      <c r="F409" s="18" t="n"/>
      <c r="G409" s="18" t="n"/>
      <c r="H409" s="19">
        <f>IF(AND($F409="",$G409=""),"",N($F409)-N($G409))</f>
        <v/>
      </c>
    </row>
    <row r="410">
      <c r="A410" s="15" t="n"/>
      <c r="B410" s="16">
        <f>IF($A410="","",TEXT($A410,"mmm"))</f>
        <v/>
      </c>
      <c r="C410" s="17">
        <f>IF($A410="","",YEAR($A410))</f>
        <v/>
      </c>
      <c r="D410" s="13" t="n"/>
      <c r="E410" s="13" t="n"/>
      <c r="F410" s="18" t="n"/>
      <c r="G410" s="18" t="n"/>
      <c r="H410" s="19">
        <f>IF(AND($F410="",$G410=""),"",N($F410)-N($G410))</f>
        <v/>
      </c>
    </row>
    <row r="411">
      <c r="A411" s="15" t="n"/>
      <c r="B411" s="16">
        <f>IF($A411="","",TEXT($A411,"mmm"))</f>
        <v/>
      </c>
      <c r="C411" s="17">
        <f>IF($A411="","",YEAR($A411))</f>
        <v/>
      </c>
      <c r="D411" s="13" t="n"/>
      <c r="E411" s="13" t="n"/>
      <c r="F411" s="18" t="n"/>
      <c r="G411" s="18" t="n"/>
      <c r="H411" s="19">
        <f>IF(AND($F411="",$G411=""),"",N($F411)-N($G411))</f>
        <v/>
      </c>
    </row>
    <row r="412">
      <c r="A412" s="15" t="n"/>
      <c r="B412" s="16">
        <f>IF($A412="","",TEXT($A412,"mmm"))</f>
        <v/>
      </c>
      <c r="C412" s="17">
        <f>IF($A412="","",YEAR($A412))</f>
        <v/>
      </c>
      <c r="D412" s="13" t="n"/>
      <c r="E412" s="13" t="n"/>
      <c r="F412" s="18" t="n"/>
      <c r="G412" s="18" t="n"/>
      <c r="H412" s="19">
        <f>IF(AND($F412="",$G412=""),"",N($F412)-N($G412))</f>
        <v/>
      </c>
    </row>
    <row r="413">
      <c r="A413" s="15" t="n"/>
      <c r="B413" s="16">
        <f>IF($A413="","",TEXT($A413,"mmm"))</f>
        <v/>
      </c>
      <c r="C413" s="17">
        <f>IF($A413="","",YEAR($A413))</f>
        <v/>
      </c>
      <c r="D413" s="13" t="n"/>
      <c r="E413" s="13" t="n"/>
      <c r="F413" s="18" t="n"/>
      <c r="G413" s="18" t="n"/>
      <c r="H413" s="19">
        <f>IF(AND($F413="",$G413=""),"",N($F413)-N($G413))</f>
        <v/>
      </c>
    </row>
    <row r="414">
      <c r="A414" s="15" t="n"/>
      <c r="B414" s="16">
        <f>IF($A414="","",TEXT($A414,"mmm"))</f>
        <v/>
      </c>
      <c r="C414" s="17">
        <f>IF($A414="","",YEAR($A414))</f>
        <v/>
      </c>
      <c r="D414" s="13" t="n"/>
      <c r="E414" s="13" t="n"/>
      <c r="F414" s="18" t="n"/>
      <c r="G414" s="18" t="n"/>
      <c r="H414" s="19">
        <f>IF(AND($F414="",$G414=""),"",N($F414)-N($G414))</f>
        <v/>
      </c>
    </row>
    <row r="415">
      <c r="A415" s="15" t="n"/>
      <c r="B415" s="16">
        <f>IF($A415="","",TEXT($A415,"mmm"))</f>
        <v/>
      </c>
      <c r="C415" s="17">
        <f>IF($A415="","",YEAR($A415))</f>
        <v/>
      </c>
      <c r="D415" s="13" t="n"/>
      <c r="E415" s="13" t="n"/>
      <c r="F415" s="18" t="n"/>
      <c r="G415" s="18" t="n"/>
      <c r="H415" s="19">
        <f>IF(AND($F415="",$G415=""),"",N($F415)-N($G415))</f>
        <v/>
      </c>
    </row>
    <row r="416">
      <c r="A416" s="15" t="n"/>
      <c r="B416" s="16">
        <f>IF($A416="","",TEXT($A416,"mmm"))</f>
        <v/>
      </c>
      <c r="C416" s="17">
        <f>IF($A416="","",YEAR($A416))</f>
        <v/>
      </c>
      <c r="D416" s="13" t="n"/>
      <c r="E416" s="13" t="n"/>
      <c r="F416" s="18" t="n"/>
      <c r="G416" s="18" t="n"/>
      <c r="H416" s="19">
        <f>IF(AND($F416="",$G416=""),"",N($F416)-N($G416))</f>
        <v/>
      </c>
    </row>
    <row r="417">
      <c r="A417" s="15" t="n"/>
      <c r="B417" s="16">
        <f>IF($A417="","",TEXT($A417,"mmm"))</f>
        <v/>
      </c>
      <c r="C417" s="17">
        <f>IF($A417="","",YEAR($A417))</f>
        <v/>
      </c>
      <c r="D417" s="13" t="n"/>
      <c r="E417" s="13" t="n"/>
      <c r="F417" s="18" t="n"/>
      <c r="G417" s="18" t="n"/>
      <c r="H417" s="19">
        <f>IF(AND($F417="",$G417=""),"",N($F417)-N($G417))</f>
        <v/>
      </c>
    </row>
    <row r="418">
      <c r="A418" s="15" t="n"/>
      <c r="B418" s="16">
        <f>IF($A418="","",TEXT($A418,"mmm"))</f>
        <v/>
      </c>
      <c r="C418" s="17">
        <f>IF($A418="","",YEAR($A418))</f>
        <v/>
      </c>
      <c r="D418" s="13" t="n"/>
      <c r="E418" s="13" t="n"/>
      <c r="F418" s="18" t="n"/>
      <c r="G418" s="18" t="n"/>
      <c r="H418" s="19">
        <f>IF(AND($F418="",$G418=""),"",N($F418)-N($G418))</f>
        <v/>
      </c>
    </row>
    <row r="419">
      <c r="A419" s="15" t="n"/>
      <c r="B419" s="16">
        <f>IF($A419="","",TEXT($A419,"mmm"))</f>
        <v/>
      </c>
      <c r="C419" s="17">
        <f>IF($A419="","",YEAR($A419))</f>
        <v/>
      </c>
      <c r="D419" s="13" t="n"/>
      <c r="E419" s="13" t="n"/>
      <c r="F419" s="18" t="n"/>
      <c r="G419" s="18" t="n"/>
      <c r="H419" s="19">
        <f>IF(AND($F419="",$G419=""),"",N($F419)-N($G419))</f>
        <v/>
      </c>
    </row>
    <row r="420">
      <c r="A420" s="15" t="n"/>
      <c r="B420" s="16">
        <f>IF($A420="","",TEXT($A420,"mmm"))</f>
        <v/>
      </c>
      <c r="C420" s="17">
        <f>IF($A420="","",YEAR($A420))</f>
        <v/>
      </c>
      <c r="D420" s="13" t="n"/>
      <c r="E420" s="13" t="n"/>
      <c r="F420" s="18" t="n"/>
      <c r="G420" s="18" t="n"/>
      <c r="H420" s="19">
        <f>IF(AND($F420="",$G420=""),"",N($F420)-N($G420))</f>
        <v/>
      </c>
    </row>
    <row r="421">
      <c r="A421" s="15" t="n"/>
      <c r="B421" s="16">
        <f>IF($A421="","",TEXT($A421,"mmm"))</f>
        <v/>
      </c>
      <c r="C421" s="17">
        <f>IF($A421="","",YEAR($A421))</f>
        <v/>
      </c>
      <c r="D421" s="13" t="n"/>
      <c r="E421" s="13" t="n"/>
      <c r="F421" s="18" t="n"/>
      <c r="G421" s="18" t="n"/>
      <c r="H421" s="19">
        <f>IF(AND($F421="",$G421=""),"",N($F421)-N($G421))</f>
        <v/>
      </c>
    </row>
    <row r="422">
      <c r="A422" s="15" t="n"/>
      <c r="B422" s="16">
        <f>IF($A422="","",TEXT($A422,"mmm"))</f>
        <v/>
      </c>
      <c r="C422" s="17">
        <f>IF($A422="","",YEAR($A422))</f>
        <v/>
      </c>
      <c r="D422" s="13" t="n"/>
      <c r="E422" s="13" t="n"/>
      <c r="F422" s="18" t="n"/>
      <c r="G422" s="18" t="n"/>
      <c r="H422" s="19">
        <f>IF(AND($F422="",$G422=""),"",N($F422)-N($G422))</f>
        <v/>
      </c>
    </row>
    <row r="423">
      <c r="A423" s="15" t="n"/>
      <c r="B423" s="16">
        <f>IF($A423="","",TEXT($A423,"mmm"))</f>
        <v/>
      </c>
      <c r="C423" s="17">
        <f>IF($A423="","",YEAR($A423))</f>
        <v/>
      </c>
      <c r="D423" s="13" t="n"/>
      <c r="E423" s="13" t="n"/>
      <c r="F423" s="18" t="n"/>
      <c r="G423" s="18" t="n"/>
      <c r="H423" s="19">
        <f>IF(AND($F423="",$G423=""),"",N($F423)-N($G423))</f>
        <v/>
      </c>
    </row>
    <row r="424">
      <c r="A424" s="15" t="n"/>
      <c r="B424" s="16">
        <f>IF($A424="","",TEXT($A424,"mmm"))</f>
        <v/>
      </c>
      <c r="C424" s="17">
        <f>IF($A424="","",YEAR($A424))</f>
        <v/>
      </c>
      <c r="D424" s="13" t="n"/>
      <c r="E424" s="13" t="n"/>
      <c r="F424" s="18" t="n"/>
      <c r="G424" s="18" t="n"/>
      <c r="H424" s="19">
        <f>IF(AND($F424="",$G424=""),"",N($F424)-N($G424))</f>
        <v/>
      </c>
    </row>
    <row r="425">
      <c r="A425" s="15" t="n"/>
      <c r="B425" s="16">
        <f>IF($A425="","",TEXT($A425,"mmm"))</f>
        <v/>
      </c>
      <c r="C425" s="17">
        <f>IF($A425="","",YEAR($A425))</f>
        <v/>
      </c>
      <c r="D425" s="13" t="n"/>
      <c r="E425" s="13" t="n"/>
      <c r="F425" s="18" t="n"/>
      <c r="G425" s="18" t="n"/>
      <c r="H425" s="19">
        <f>IF(AND($F425="",$G425=""),"",N($F425)-N($G425))</f>
        <v/>
      </c>
    </row>
    <row r="426">
      <c r="A426" s="15" t="n"/>
      <c r="B426" s="16">
        <f>IF($A426="","",TEXT($A426,"mmm"))</f>
        <v/>
      </c>
      <c r="C426" s="17">
        <f>IF($A426="","",YEAR($A426))</f>
        <v/>
      </c>
      <c r="D426" s="13" t="n"/>
      <c r="E426" s="13" t="n"/>
      <c r="F426" s="18" t="n"/>
      <c r="G426" s="18" t="n"/>
      <c r="H426" s="19">
        <f>IF(AND($F426="",$G426=""),"",N($F426)-N($G426))</f>
        <v/>
      </c>
    </row>
    <row r="427">
      <c r="A427" s="15" t="n"/>
      <c r="B427" s="16">
        <f>IF($A427="","",TEXT($A427,"mmm"))</f>
        <v/>
      </c>
      <c r="C427" s="17">
        <f>IF($A427="","",YEAR($A427))</f>
        <v/>
      </c>
      <c r="D427" s="13" t="n"/>
      <c r="E427" s="13" t="n"/>
      <c r="F427" s="18" t="n"/>
      <c r="G427" s="18" t="n"/>
      <c r="H427" s="19">
        <f>IF(AND($F427="",$G427=""),"",N($F427)-N($G427))</f>
        <v/>
      </c>
    </row>
    <row r="428">
      <c r="A428" s="15" t="n"/>
      <c r="B428" s="16">
        <f>IF($A428="","",TEXT($A428,"mmm"))</f>
        <v/>
      </c>
      <c r="C428" s="17">
        <f>IF($A428="","",YEAR($A428))</f>
        <v/>
      </c>
      <c r="D428" s="13" t="n"/>
      <c r="E428" s="13" t="n"/>
      <c r="F428" s="18" t="n"/>
      <c r="G428" s="18" t="n"/>
      <c r="H428" s="19">
        <f>IF(AND($F428="",$G428=""),"",N($F428)-N($G428))</f>
        <v/>
      </c>
    </row>
    <row r="429">
      <c r="A429" s="15" t="n"/>
      <c r="B429" s="16">
        <f>IF($A429="","",TEXT($A429,"mmm"))</f>
        <v/>
      </c>
      <c r="C429" s="17">
        <f>IF($A429="","",YEAR($A429))</f>
        <v/>
      </c>
      <c r="D429" s="13" t="n"/>
      <c r="E429" s="13" t="n"/>
      <c r="F429" s="18" t="n"/>
      <c r="G429" s="18" t="n"/>
      <c r="H429" s="19">
        <f>IF(AND($F429="",$G429=""),"",N($F429)-N($G429))</f>
        <v/>
      </c>
    </row>
    <row r="430">
      <c r="A430" s="15" t="n"/>
      <c r="B430" s="16">
        <f>IF($A430="","",TEXT($A430,"mmm"))</f>
        <v/>
      </c>
      <c r="C430" s="17">
        <f>IF($A430="","",YEAR($A430))</f>
        <v/>
      </c>
      <c r="D430" s="13" t="n"/>
      <c r="E430" s="13" t="n"/>
      <c r="F430" s="18" t="n"/>
      <c r="G430" s="18" t="n"/>
      <c r="H430" s="19">
        <f>IF(AND($F430="",$G430=""),"",N($F430)-N($G430))</f>
        <v/>
      </c>
    </row>
    <row r="431">
      <c r="A431" s="15" t="n"/>
      <c r="B431" s="16">
        <f>IF($A431="","",TEXT($A431,"mmm"))</f>
        <v/>
      </c>
      <c r="C431" s="17">
        <f>IF($A431="","",YEAR($A431))</f>
        <v/>
      </c>
      <c r="D431" s="13" t="n"/>
      <c r="E431" s="13" t="n"/>
      <c r="F431" s="18" t="n"/>
      <c r="G431" s="18" t="n"/>
      <c r="H431" s="19">
        <f>IF(AND($F431="",$G431=""),"",N($F431)-N($G431))</f>
        <v/>
      </c>
    </row>
    <row r="432">
      <c r="A432" s="15" t="n"/>
      <c r="B432" s="16">
        <f>IF($A432="","",TEXT($A432,"mmm"))</f>
        <v/>
      </c>
      <c r="C432" s="17">
        <f>IF($A432="","",YEAR($A432))</f>
        <v/>
      </c>
      <c r="D432" s="13" t="n"/>
      <c r="E432" s="13" t="n"/>
      <c r="F432" s="18" t="n"/>
      <c r="G432" s="18" t="n"/>
      <c r="H432" s="19">
        <f>IF(AND($F432="",$G432=""),"",N($F432)-N($G432))</f>
        <v/>
      </c>
    </row>
    <row r="433">
      <c r="A433" s="15" t="n"/>
      <c r="B433" s="16">
        <f>IF($A433="","",TEXT($A433,"mmm"))</f>
        <v/>
      </c>
      <c r="C433" s="17">
        <f>IF($A433="","",YEAR($A433))</f>
        <v/>
      </c>
      <c r="D433" s="13" t="n"/>
      <c r="E433" s="13" t="n"/>
      <c r="F433" s="18" t="n"/>
      <c r="G433" s="18" t="n"/>
      <c r="H433" s="19">
        <f>IF(AND($F433="",$G433=""),"",N($F433)-N($G433))</f>
        <v/>
      </c>
    </row>
    <row r="434">
      <c r="A434" s="15" t="n"/>
      <c r="B434" s="16">
        <f>IF($A434="","",TEXT($A434,"mmm"))</f>
        <v/>
      </c>
      <c r="C434" s="17">
        <f>IF($A434="","",YEAR($A434))</f>
        <v/>
      </c>
      <c r="D434" s="13" t="n"/>
      <c r="E434" s="13" t="n"/>
      <c r="F434" s="18" t="n"/>
      <c r="G434" s="18" t="n"/>
      <c r="H434" s="19">
        <f>IF(AND($F434="",$G434=""),"",N($F434)-N($G434))</f>
        <v/>
      </c>
    </row>
    <row r="435">
      <c r="A435" s="15" t="n"/>
      <c r="B435" s="16">
        <f>IF($A435="","",TEXT($A435,"mmm"))</f>
        <v/>
      </c>
      <c r="C435" s="17">
        <f>IF($A435="","",YEAR($A435))</f>
        <v/>
      </c>
      <c r="D435" s="13" t="n"/>
      <c r="E435" s="13" t="n"/>
      <c r="F435" s="18" t="n"/>
      <c r="G435" s="18" t="n"/>
      <c r="H435" s="19">
        <f>IF(AND($F435="",$G435=""),"",N($F435)-N($G435))</f>
        <v/>
      </c>
    </row>
    <row r="436">
      <c r="A436" s="15" t="n"/>
      <c r="B436" s="16">
        <f>IF($A436="","",TEXT($A436,"mmm"))</f>
        <v/>
      </c>
      <c r="C436" s="17">
        <f>IF($A436="","",YEAR($A436))</f>
        <v/>
      </c>
      <c r="D436" s="13" t="n"/>
      <c r="E436" s="13" t="n"/>
      <c r="F436" s="18" t="n"/>
      <c r="G436" s="18" t="n"/>
      <c r="H436" s="19">
        <f>IF(AND($F436="",$G436=""),"",N($F436)-N($G436))</f>
        <v/>
      </c>
    </row>
    <row r="437">
      <c r="A437" s="15" t="n"/>
      <c r="B437" s="16">
        <f>IF($A437="","",TEXT($A437,"mmm"))</f>
        <v/>
      </c>
      <c r="C437" s="17">
        <f>IF($A437="","",YEAR($A437))</f>
        <v/>
      </c>
      <c r="D437" s="13" t="n"/>
      <c r="E437" s="13" t="n"/>
      <c r="F437" s="18" t="n"/>
      <c r="G437" s="18" t="n"/>
      <c r="H437" s="19">
        <f>IF(AND($F437="",$G437=""),"",N($F437)-N($G437))</f>
        <v/>
      </c>
    </row>
    <row r="438">
      <c r="A438" s="15" t="n"/>
      <c r="B438" s="16">
        <f>IF($A438="","",TEXT($A438,"mmm"))</f>
        <v/>
      </c>
      <c r="C438" s="17">
        <f>IF($A438="","",YEAR($A438))</f>
        <v/>
      </c>
      <c r="D438" s="13" t="n"/>
      <c r="E438" s="13" t="n"/>
      <c r="F438" s="18" t="n"/>
      <c r="G438" s="18" t="n"/>
      <c r="H438" s="19">
        <f>IF(AND($F438="",$G438=""),"",N($F438)-N($G438))</f>
        <v/>
      </c>
    </row>
    <row r="439">
      <c r="A439" s="15" t="n"/>
      <c r="B439" s="16">
        <f>IF($A439="","",TEXT($A439,"mmm"))</f>
        <v/>
      </c>
      <c r="C439" s="17">
        <f>IF($A439="","",YEAR($A439))</f>
        <v/>
      </c>
      <c r="D439" s="13" t="n"/>
      <c r="E439" s="13" t="n"/>
      <c r="F439" s="18" t="n"/>
      <c r="G439" s="18" t="n"/>
      <c r="H439" s="19">
        <f>IF(AND($F439="",$G439=""),"",N($F439)-N($G439))</f>
        <v/>
      </c>
    </row>
    <row r="440">
      <c r="A440" s="15" t="n"/>
      <c r="B440" s="16">
        <f>IF($A440="","",TEXT($A440,"mmm"))</f>
        <v/>
      </c>
      <c r="C440" s="17">
        <f>IF($A440="","",YEAR($A440))</f>
        <v/>
      </c>
      <c r="D440" s="13" t="n"/>
      <c r="E440" s="13" t="n"/>
      <c r="F440" s="18" t="n"/>
      <c r="G440" s="18" t="n"/>
      <c r="H440" s="19">
        <f>IF(AND($F440="",$G440=""),"",N($F440)-N($G440))</f>
        <v/>
      </c>
    </row>
    <row r="441">
      <c r="A441" s="15" t="n"/>
      <c r="B441" s="16">
        <f>IF($A441="","",TEXT($A441,"mmm"))</f>
        <v/>
      </c>
      <c r="C441" s="17">
        <f>IF($A441="","",YEAR($A441))</f>
        <v/>
      </c>
      <c r="D441" s="13" t="n"/>
      <c r="E441" s="13" t="n"/>
      <c r="F441" s="18" t="n"/>
      <c r="G441" s="18" t="n"/>
      <c r="H441" s="19">
        <f>IF(AND($F441="",$G441=""),"",N($F441)-N($G441))</f>
        <v/>
      </c>
    </row>
    <row r="442">
      <c r="A442" s="15" t="n"/>
      <c r="B442" s="16">
        <f>IF($A442="","",TEXT($A442,"mmm"))</f>
        <v/>
      </c>
      <c r="C442" s="17">
        <f>IF($A442="","",YEAR($A442))</f>
        <v/>
      </c>
      <c r="D442" s="13" t="n"/>
      <c r="E442" s="13" t="n"/>
      <c r="F442" s="18" t="n"/>
      <c r="G442" s="18" t="n"/>
      <c r="H442" s="19">
        <f>IF(AND($F442="",$G442=""),"",N($F442)-N($G442))</f>
        <v/>
      </c>
    </row>
    <row r="443">
      <c r="A443" s="15" t="n"/>
      <c r="B443" s="16">
        <f>IF($A443="","",TEXT($A443,"mmm"))</f>
        <v/>
      </c>
      <c r="C443" s="17">
        <f>IF($A443="","",YEAR($A443))</f>
        <v/>
      </c>
      <c r="D443" s="13" t="n"/>
      <c r="E443" s="13" t="n"/>
      <c r="F443" s="18" t="n"/>
      <c r="G443" s="18" t="n"/>
      <c r="H443" s="19">
        <f>IF(AND($F443="",$G443=""),"",N($F443)-N($G443))</f>
        <v/>
      </c>
    </row>
    <row r="444">
      <c r="A444" s="15" t="n"/>
      <c r="B444" s="16">
        <f>IF($A444="","",TEXT($A444,"mmm"))</f>
        <v/>
      </c>
      <c r="C444" s="17">
        <f>IF($A444="","",YEAR($A444))</f>
        <v/>
      </c>
      <c r="D444" s="13" t="n"/>
      <c r="E444" s="13" t="n"/>
      <c r="F444" s="18" t="n"/>
      <c r="G444" s="18" t="n"/>
      <c r="H444" s="19">
        <f>IF(AND($F444="",$G444=""),"",N($F444)-N($G444))</f>
        <v/>
      </c>
    </row>
    <row r="445">
      <c r="A445" s="15" t="n"/>
      <c r="B445" s="16">
        <f>IF($A445="","",TEXT($A445,"mmm"))</f>
        <v/>
      </c>
      <c r="C445" s="17">
        <f>IF($A445="","",YEAR($A445))</f>
        <v/>
      </c>
      <c r="D445" s="13" t="n"/>
      <c r="E445" s="13" t="n"/>
      <c r="F445" s="18" t="n"/>
      <c r="G445" s="18" t="n"/>
      <c r="H445" s="19">
        <f>IF(AND($F445="",$G445=""),"",N($F445)-N($G445))</f>
        <v/>
      </c>
    </row>
    <row r="446">
      <c r="A446" s="15" t="n"/>
      <c r="B446" s="16">
        <f>IF($A446="","",TEXT($A446,"mmm"))</f>
        <v/>
      </c>
      <c r="C446" s="17">
        <f>IF($A446="","",YEAR($A446))</f>
        <v/>
      </c>
      <c r="D446" s="13" t="n"/>
      <c r="E446" s="13" t="n"/>
      <c r="F446" s="18" t="n"/>
      <c r="G446" s="18" t="n"/>
      <c r="H446" s="19">
        <f>IF(AND($F446="",$G446=""),"",N($F446)-N($G446))</f>
        <v/>
      </c>
    </row>
    <row r="447">
      <c r="A447" s="15" t="n"/>
      <c r="B447" s="16">
        <f>IF($A447="","",TEXT($A447,"mmm"))</f>
        <v/>
      </c>
      <c r="C447" s="17">
        <f>IF($A447="","",YEAR($A447))</f>
        <v/>
      </c>
      <c r="D447" s="13" t="n"/>
      <c r="E447" s="13" t="n"/>
      <c r="F447" s="18" t="n"/>
      <c r="G447" s="18" t="n"/>
      <c r="H447" s="19">
        <f>IF(AND($F447="",$G447=""),"",N($F447)-N($G447))</f>
        <v/>
      </c>
    </row>
    <row r="448">
      <c r="A448" s="15" t="n"/>
      <c r="B448" s="16">
        <f>IF($A448="","",TEXT($A448,"mmm"))</f>
        <v/>
      </c>
      <c r="C448" s="17">
        <f>IF($A448="","",YEAR($A448))</f>
        <v/>
      </c>
      <c r="D448" s="13" t="n"/>
      <c r="E448" s="13" t="n"/>
      <c r="F448" s="18" t="n"/>
      <c r="G448" s="18" t="n"/>
      <c r="H448" s="19">
        <f>IF(AND($F448="",$G448=""),"",N($F448)-N($G448))</f>
        <v/>
      </c>
    </row>
    <row r="449">
      <c r="A449" s="15" t="n"/>
      <c r="B449" s="16">
        <f>IF($A449="","",TEXT($A449,"mmm"))</f>
        <v/>
      </c>
      <c r="C449" s="17">
        <f>IF($A449="","",YEAR($A449))</f>
        <v/>
      </c>
      <c r="D449" s="13" t="n"/>
      <c r="E449" s="13" t="n"/>
      <c r="F449" s="18" t="n"/>
      <c r="G449" s="18" t="n"/>
      <c r="H449" s="19">
        <f>IF(AND($F449="",$G449=""),"",N($F449)-N($G449))</f>
        <v/>
      </c>
    </row>
    <row r="450">
      <c r="A450" s="15" t="n"/>
      <c r="B450" s="16">
        <f>IF($A450="","",TEXT($A450,"mmm"))</f>
        <v/>
      </c>
      <c r="C450" s="17">
        <f>IF($A450="","",YEAR($A450))</f>
        <v/>
      </c>
      <c r="D450" s="13" t="n"/>
      <c r="E450" s="13" t="n"/>
      <c r="F450" s="18" t="n"/>
      <c r="G450" s="18" t="n"/>
      <c r="H450" s="19">
        <f>IF(AND($F450="",$G450=""),"",N($F450)-N($G450))</f>
        <v/>
      </c>
    </row>
    <row r="451">
      <c r="A451" s="15" t="n"/>
      <c r="B451" s="16">
        <f>IF($A451="","",TEXT($A451,"mmm"))</f>
        <v/>
      </c>
      <c r="C451" s="17">
        <f>IF($A451="","",YEAR($A451))</f>
        <v/>
      </c>
      <c r="D451" s="13" t="n"/>
      <c r="E451" s="13" t="n"/>
      <c r="F451" s="18" t="n"/>
      <c r="G451" s="18" t="n"/>
      <c r="H451" s="19">
        <f>IF(AND($F451="",$G451=""),"",N($F451)-N($G451))</f>
        <v/>
      </c>
    </row>
    <row r="452">
      <c r="A452" s="15" t="n"/>
      <c r="B452" s="16">
        <f>IF($A452="","",TEXT($A452,"mmm"))</f>
        <v/>
      </c>
      <c r="C452" s="17">
        <f>IF($A452="","",YEAR($A452))</f>
        <v/>
      </c>
      <c r="D452" s="13" t="n"/>
      <c r="E452" s="13" t="n"/>
      <c r="F452" s="18" t="n"/>
      <c r="G452" s="18" t="n"/>
      <c r="H452" s="19">
        <f>IF(AND($F452="",$G452=""),"",N($F452)-N($G452))</f>
        <v/>
      </c>
    </row>
    <row r="453">
      <c r="A453" s="15" t="n"/>
      <c r="B453" s="16">
        <f>IF($A453="","",TEXT($A453,"mmm"))</f>
        <v/>
      </c>
      <c r="C453" s="17">
        <f>IF($A453="","",YEAR($A453))</f>
        <v/>
      </c>
      <c r="D453" s="13" t="n"/>
      <c r="E453" s="13" t="n"/>
      <c r="F453" s="18" t="n"/>
      <c r="G453" s="18" t="n"/>
      <c r="H453" s="19">
        <f>IF(AND($F453="",$G453=""),"",N($F453)-N($G453))</f>
        <v/>
      </c>
    </row>
    <row r="454">
      <c r="A454" s="15" t="n"/>
      <c r="B454" s="16">
        <f>IF($A454="","",TEXT($A454,"mmm"))</f>
        <v/>
      </c>
      <c r="C454" s="17">
        <f>IF($A454="","",YEAR($A454))</f>
        <v/>
      </c>
      <c r="D454" s="13" t="n"/>
      <c r="E454" s="13" t="n"/>
      <c r="F454" s="18" t="n"/>
      <c r="G454" s="18" t="n"/>
      <c r="H454" s="19">
        <f>IF(AND($F454="",$G454=""),"",N($F454)-N($G454))</f>
        <v/>
      </c>
    </row>
    <row r="455">
      <c r="A455" s="15" t="n"/>
      <c r="B455" s="16">
        <f>IF($A455="","",TEXT($A455,"mmm"))</f>
        <v/>
      </c>
      <c r="C455" s="17">
        <f>IF($A455="","",YEAR($A455))</f>
        <v/>
      </c>
      <c r="D455" s="13" t="n"/>
      <c r="E455" s="13" t="n"/>
      <c r="F455" s="18" t="n"/>
      <c r="G455" s="18" t="n"/>
      <c r="H455" s="19">
        <f>IF(AND($F455="",$G455=""),"",N($F455)-N($G455))</f>
        <v/>
      </c>
    </row>
    <row r="456">
      <c r="A456" s="15" t="n"/>
      <c r="B456" s="16">
        <f>IF($A456="","",TEXT($A456,"mmm"))</f>
        <v/>
      </c>
      <c r="C456" s="17">
        <f>IF($A456="","",YEAR($A456))</f>
        <v/>
      </c>
      <c r="D456" s="13" t="n"/>
      <c r="E456" s="13" t="n"/>
      <c r="F456" s="18" t="n"/>
      <c r="G456" s="18" t="n"/>
      <c r="H456" s="19">
        <f>IF(AND($F456="",$G456=""),"",N($F456)-N($G456))</f>
        <v/>
      </c>
    </row>
    <row r="457">
      <c r="A457" s="15" t="n"/>
      <c r="B457" s="16">
        <f>IF($A457="","",TEXT($A457,"mmm"))</f>
        <v/>
      </c>
      <c r="C457" s="17">
        <f>IF($A457="","",YEAR($A457))</f>
        <v/>
      </c>
      <c r="D457" s="13" t="n"/>
      <c r="E457" s="13" t="n"/>
      <c r="F457" s="18" t="n"/>
      <c r="G457" s="18" t="n"/>
      <c r="H457" s="19">
        <f>IF(AND($F457="",$G457=""),"",N($F457)-N($G457))</f>
        <v/>
      </c>
    </row>
    <row r="458">
      <c r="A458" s="15" t="n"/>
      <c r="B458" s="16">
        <f>IF($A458="","",TEXT($A458,"mmm"))</f>
        <v/>
      </c>
      <c r="C458" s="17">
        <f>IF($A458="","",YEAR($A458))</f>
        <v/>
      </c>
      <c r="D458" s="13" t="n"/>
      <c r="E458" s="13" t="n"/>
      <c r="F458" s="18" t="n"/>
      <c r="G458" s="18" t="n"/>
      <c r="H458" s="19">
        <f>IF(AND($F458="",$G458=""),"",N($F458)-N($G458))</f>
        <v/>
      </c>
    </row>
    <row r="459">
      <c r="A459" s="15" t="n"/>
      <c r="B459" s="16">
        <f>IF($A459="","",TEXT($A459,"mmm"))</f>
        <v/>
      </c>
      <c r="C459" s="17">
        <f>IF($A459="","",YEAR($A459))</f>
        <v/>
      </c>
      <c r="D459" s="13" t="n"/>
      <c r="E459" s="13" t="n"/>
      <c r="F459" s="18" t="n"/>
      <c r="G459" s="18" t="n"/>
      <c r="H459" s="19">
        <f>IF(AND($F459="",$G459=""),"",N($F459)-N($G459))</f>
        <v/>
      </c>
    </row>
    <row r="460">
      <c r="A460" s="15" t="n"/>
      <c r="B460" s="16">
        <f>IF($A460="","",TEXT($A460,"mmm"))</f>
        <v/>
      </c>
      <c r="C460" s="17">
        <f>IF($A460="","",YEAR($A460))</f>
        <v/>
      </c>
      <c r="D460" s="13" t="n"/>
      <c r="E460" s="13" t="n"/>
      <c r="F460" s="18" t="n"/>
      <c r="G460" s="18" t="n"/>
      <c r="H460" s="19">
        <f>IF(AND($F460="",$G460=""),"",N($F460)-N($G460))</f>
        <v/>
      </c>
    </row>
    <row r="461">
      <c r="A461" s="15" t="n"/>
      <c r="B461" s="16">
        <f>IF($A461="","",TEXT($A461,"mmm"))</f>
        <v/>
      </c>
      <c r="C461" s="17">
        <f>IF($A461="","",YEAR($A461))</f>
        <v/>
      </c>
      <c r="D461" s="13" t="n"/>
      <c r="E461" s="13" t="n"/>
      <c r="F461" s="18" t="n"/>
      <c r="G461" s="18" t="n"/>
      <c r="H461" s="19">
        <f>IF(AND($F461="",$G461=""),"",N($F461)-N($G461))</f>
        <v/>
      </c>
    </row>
    <row r="462">
      <c r="A462" s="15" t="n"/>
      <c r="B462" s="16">
        <f>IF($A462="","",TEXT($A462,"mmm"))</f>
        <v/>
      </c>
      <c r="C462" s="17">
        <f>IF($A462="","",YEAR($A462))</f>
        <v/>
      </c>
      <c r="D462" s="13" t="n"/>
      <c r="E462" s="13" t="n"/>
      <c r="F462" s="18" t="n"/>
      <c r="G462" s="18" t="n"/>
      <c r="H462" s="19">
        <f>IF(AND($F462="",$G462=""),"",N($F462)-N($G462))</f>
        <v/>
      </c>
    </row>
    <row r="463">
      <c r="A463" s="15" t="n"/>
      <c r="B463" s="16">
        <f>IF($A463="","",TEXT($A463,"mmm"))</f>
        <v/>
      </c>
      <c r="C463" s="17">
        <f>IF($A463="","",YEAR($A463))</f>
        <v/>
      </c>
      <c r="D463" s="13" t="n"/>
      <c r="E463" s="13" t="n"/>
      <c r="F463" s="18" t="n"/>
      <c r="G463" s="18" t="n"/>
      <c r="H463" s="19">
        <f>IF(AND($F463="",$G463=""),"",N($F463)-N($G463))</f>
        <v/>
      </c>
    </row>
    <row r="464">
      <c r="A464" s="15" t="n"/>
      <c r="B464" s="16">
        <f>IF($A464="","",TEXT($A464,"mmm"))</f>
        <v/>
      </c>
      <c r="C464" s="17">
        <f>IF($A464="","",YEAR($A464))</f>
        <v/>
      </c>
      <c r="D464" s="13" t="n"/>
      <c r="E464" s="13" t="n"/>
      <c r="F464" s="18" t="n"/>
      <c r="G464" s="18" t="n"/>
      <c r="H464" s="19">
        <f>IF(AND($F464="",$G464=""),"",N($F464)-N($G464))</f>
        <v/>
      </c>
    </row>
    <row r="465">
      <c r="A465" s="15" t="n"/>
      <c r="B465" s="16">
        <f>IF($A465="","",TEXT($A465,"mmm"))</f>
        <v/>
      </c>
      <c r="C465" s="17">
        <f>IF($A465="","",YEAR($A465))</f>
        <v/>
      </c>
      <c r="D465" s="13" t="n"/>
      <c r="E465" s="13" t="n"/>
      <c r="F465" s="18" t="n"/>
      <c r="G465" s="18" t="n"/>
      <c r="H465" s="19">
        <f>IF(AND($F465="",$G465=""),"",N($F465)-N($G465))</f>
        <v/>
      </c>
    </row>
    <row r="466">
      <c r="A466" s="15" t="n"/>
      <c r="B466" s="16">
        <f>IF($A466="","",TEXT($A466,"mmm"))</f>
        <v/>
      </c>
      <c r="C466" s="17">
        <f>IF($A466="","",YEAR($A466))</f>
        <v/>
      </c>
      <c r="D466" s="13" t="n"/>
      <c r="E466" s="13" t="n"/>
      <c r="F466" s="18" t="n"/>
      <c r="G466" s="18" t="n"/>
      <c r="H466" s="19">
        <f>IF(AND($F466="",$G466=""),"",N($F466)-N($G466))</f>
        <v/>
      </c>
    </row>
    <row r="467">
      <c r="A467" s="15" t="n"/>
      <c r="B467" s="16">
        <f>IF($A467="","",TEXT($A467,"mmm"))</f>
        <v/>
      </c>
      <c r="C467" s="17">
        <f>IF($A467="","",YEAR($A467))</f>
        <v/>
      </c>
      <c r="D467" s="13" t="n"/>
      <c r="E467" s="13" t="n"/>
      <c r="F467" s="18" t="n"/>
      <c r="G467" s="18" t="n"/>
      <c r="H467" s="19">
        <f>IF(AND($F467="",$G467=""),"",N($F467)-N($G467))</f>
        <v/>
      </c>
    </row>
    <row r="468">
      <c r="A468" s="15" t="n"/>
      <c r="B468" s="16">
        <f>IF($A468="","",TEXT($A468,"mmm"))</f>
        <v/>
      </c>
      <c r="C468" s="17">
        <f>IF($A468="","",YEAR($A468))</f>
        <v/>
      </c>
      <c r="D468" s="13" t="n"/>
      <c r="E468" s="13" t="n"/>
      <c r="F468" s="18" t="n"/>
      <c r="G468" s="18" t="n"/>
      <c r="H468" s="19">
        <f>IF(AND($F468="",$G468=""),"",N($F468)-N($G468))</f>
        <v/>
      </c>
    </row>
    <row r="469">
      <c r="A469" s="15" t="n"/>
      <c r="B469" s="16">
        <f>IF($A469="","",TEXT($A469,"mmm"))</f>
        <v/>
      </c>
      <c r="C469" s="17">
        <f>IF($A469="","",YEAR($A469))</f>
        <v/>
      </c>
      <c r="D469" s="13" t="n"/>
      <c r="E469" s="13" t="n"/>
      <c r="F469" s="18" t="n"/>
      <c r="G469" s="18" t="n"/>
      <c r="H469" s="19">
        <f>IF(AND($F469="",$G469=""),"",N($F469)-N($G469))</f>
        <v/>
      </c>
    </row>
    <row r="470">
      <c r="A470" s="15" t="n"/>
      <c r="B470" s="16">
        <f>IF($A470="","",TEXT($A470,"mmm"))</f>
        <v/>
      </c>
      <c r="C470" s="17">
        <f>IF($A470="","",YEAR($A470))</f>
        <v/>
      </c>
      <c r="D470" s="13" t="n"/>
      <c r="E470" s="13" t="n"/>
      <c r="F470" s="18" t="n"/>
      <c r="G470" s="18" t="n"/>
      <c r="H470" s="19">
        <f>IF(AND($F470="",$G470=""),"",N($F470)-N($G470))</f>
        <v/>
      </c>
    </row>
    <row r="471">
      <c r="A471" s="15" t="n"/>
      <c r="B471" s="16">
        <f>IF($A471="","",TEXT($A471,"mmm"))</f>
        <v/>
      </c>
      <c r="C471" s="17">
        <f>IF($A471="","",YEAR($A471))</f>
        <v/>
      </c>
      <c r="D471" s="13" t="n"/>
      <c r="E471" s="13" t="n"/>
      <c r="F471" s="18" t="n"/>
      <c r="G471" s="18" t="n"/>
      <c r="H471" s="19">
        <f>IF(AND($F471="",$G471=""),"",N($F471)-N($G471))</f>
        <v/>
      </c>
    </row>
    <row r="472">
      <c r="A472" s="15" t="n"/>
      <c r="B472" s="16">
        <f>IF($A472="","",TEXT($A472,"mmm"))</f>
        <v/>
      </c>
      <c r="C472" s="17">
        <f>IF($A472="","",YEAR($A472))</f>
        <v/>
      </c>
      <c r="D472" s="13" t="n"/>
      <c r="E472" s="13" t="n"/>
      <c r="F472" s="18" t="n"/>
      <c r="G472" s="18" t="n"/>
      <c r="H472" s="19">
        <f>IF(AND($F472="",$G472=""),"",N($F472)-N($G472))</f>
        <v/>
      </c>
    </row>
    <row r="473">
      <c r="A473" s="15" t="n"/>
      <c r="B473" s="16">
        <f>IF($A473="","",TEXT($A473,"mmm"))</f>
        <v/>
      </c>
      <c r="C473" s="17">
        <f>IF($A473="","",YEAR($A473))</f>
        <v/>
      </c>
      <c r="D473" s="13" t="n"/>
      <c r="E473" s="13" t="n"/>
      <c r="F473" s="18" t="n"/>
      <c r="G473" s="18" t="n"/>
      <c r="H473" s="19">
        <f>IF(AND($F473="",$G473=""),"",N($F473)-N($G473))</f>
        <v/>
      </c>
    </row>
    <row r="474">
      <c r="A474" s="15" t="n"/>
      <c r="B474" s="16">
        <f>IF($A474="","",TEXT($A474,"mmm"))</f>
        <v/>
      </c>
      <c r="C474" s="17">
        <f>IF($A474="","",YEAR($A474))</f>
        <v/>
      </c>
      <c r="D474" s="13" t="n"/>
      <c r="E474" s="13" t="n"/>
      <c r="F474" s="18" t="n"/>
      <c r="G474" s="18" t="n"/>
      <c r="H474" s="19">
        <f>IF(AND($F474="",$G474=""),"",N($F474)-N($G474))</f>
        <v/>
      </c>
    </row>
    <row r="475">
      <c r="A475" s="15" t="n"/>
      <c r="B475" s="16">
        <f>IF($A475="","",TEXT($A475,"mmm"))</f>
        <v/>
      </c>
      <c r="C475" s="17">
        <f>IF($A475="","",YEAR($A475))</f>
        <v/>
      </c>
      <c r="D475" s="13" t="n"/>
      <c r="E475" s="13" t="n"/>
      <c r="F475" s="18" t="n"/>
      <c r="G475" s="18" t="n"/>
      <c r="H475" s="19">
        <f>IF(AND($F475="",$G475=""),"",N($F475)-N($G475))</f>
        <v/>
      </c>
    </row>
    <row r="476">
      <c r="A476" s="15" t="n"/>
      <c r="B476" s="16">
        <f>IF($A476="","",TEXT($A476,"mmm"))</f>
        <v/>
      </c>
      <c r="C476" s="17">
        <f>IF($A476="","",YEAR($A476))</f>
        <v/>
      </c>
      <c r="D476" s="13" t="n"/>
      <c r="E476" s="13" t="n"/>
      <c r="F476" s="18" t="n"/>
      <c r="G476" s="18" t="n"/>
      <c r="H476" s="19">
        <f>IF(AND($F476="",$G476=""),"",N($F476)-N($G476))</f>
        <v/>
      </c>
    </row>
    <row r="477">
      <c r="A477" s="15" t="n"/>
      <c r="B477" s="16">
        <f>IF($A477="","",TEXT($A477,"mmm"))</f>
        <v/>
      </c>
      <c r="C477" s="17">
        <f>IF($A477="","",YEAR($A477))</f>
        <v/>
      </c>
      <c r="D477" s="13" t="n"/>
      <c r="E477" s="13" t="n"/>
      <c r="F477" s="18" t="n"/>
      <c r="G477" s="18" t="n"/>
      <c r="H477" s="19">
        <f>IF(AND($F477="",$G477=""),"",N($F477)-N($G477))</f>
        <v/>
      </c>
    </row>
    <row r="478">
      <c r="A478" s="15" t="n"/>
      <c r="B478" s="16">
        <f>IF($A478="","",TEXT($A478,"mmm"))</f>
        <v/>
      </c>
      <c r="C478" s="17">
        <f>IF($A478="","",YEAR($A478))</f>
        <v/>
      </c>
      <c r="D478" s="13" t="n"/>
      <c r="E478" s="13" t="n"/>
      <c r="F478" s="18" t="n"/>
      <c r="G478" s="18" t="n"/>
      <c r="H478" s="19">
        <f>IF(AND($F478="",$G478=""),"",N($F478)-N($G478))</f>
        <v/>
      </c>
    </row>
    <row r="479">
      <c r="A479" s="15" t="n"/>
      <c r="B479" s="16">
        <f>IF($A479="","",TEXT($A479,"mmm"))</f>
        <v/>
      </c>
      <c r="C479" s="17">
        <f>IF($A479="","",YEAR($A479))</f>
        <v/>
      </c>
      <c r="D479" s="13" t="n"/>
      <c r="E479" s="13" t="n"/>
      <c r="F479" s="18" t="n"/>
      <c r="G479" s="18" t="n"/>
      <c r="H479" s="19">
        <f>IF(AND($F479="",$G479=""),"",N($F479)-N($G479))</f>
        <v/>
      </c>
    </row>
    <row r="480">
      <c r="A480" s="15" t="n"/>
      <c r="B480" s="16">
        <f>IF($A480="","",TEXT($A480,"mmm"))</f>
        <v/>
      </c>
      <c r="C480" s="17">
        <f>IF($A480="","",YEAR($A480))</f>
        <v/>
      </c>
      <c r="D480" s="13" t="n"/>
      <c r="E480" s="13" t="n"/>
      <c r="F480" s="18" t="n"/>
      <c r="G480" s="18" t="n"/>
      <c r="H480" s="19">
        <f>IF(AND($F480="",$G480=""),"",N($F480)-N($G480))</f>
        <v/>
      </c>
    </row>
    <row r="481">
      <c r="A481" s="15" t="n"/>
      <c r="B481" s="16">
        <f>IF($A481="","",TEXT($A481,"mmm"))</f>
        <v/>
      </c>
      <c r="C481" s="17">
        <f>IF($A481="","",YEAR($A481))</f>
        <v/>
      </c>
      <c r="D481" s="13" t="n"/>
      <c r="E481" s="13" t="n"/>
      <c r="F481" s="18" t="n"/>
      <c r="G481" s="18" t="n"/>
      <c r="H481" s="19">
        <f>IF(AND($F481="",$G481=""),"",N($F481)-N($G481))</f>
        <v/>
      </c>
    </row>
    <row r="482">
      <c r="A482" s="15" t="n"/>
      <c r="B482" s="16">
        <f>IF($A482="","",TEXT($A482,"mmm"))</f>
        <v/>
      </c>
      <c r="C482" s="17">
        <f>IF($A482="","",YEAR($A482))</f>
        <v/>
      </c>
      <c r="D482" s="13" t="n"/>
      <c r="E482" s="13" t="n"/>
      <c r="F482" s="18" t="n"/>
      <c r="G482" s="18" t="n"/>
      <c r="H482" s="19">
        <f>IF(AND($F482="",$G482=""),"",N($F482)-N($G482))</f>
        <v/>
      </c>
    </row>
    <row r="483">
      <c r="A483" s="15" t="n"/>
      <c r="B483" s="16">
        <f>IF($A483="","",TEXT($A483,"mmm"))</f>
        <v/>
      </c>
      <c r="C483" s="17">
        <f>IF($A483="","",YEAR($A483))</f>
        <v/>
      </c>
      <c r="D483" s="13" t="n"/>
      <c r="E483" s="13" t="n"/>
      <c r="F483" s="18" t="n"/>
      <c r="G483" s="18" t="n"/>
      <c r="H483" s="19">
        <f>IF(AND($F483="",$G483=""),"",N($F483)-N($G483))</f>
        <v/>
      </c>
    </row>
    <row r="484">
      <c r="A484" s="15" t="n"/>
      <c r="B484" s="16">
        <f>IF($A484="","",TEXT($A484,"mmm"))</f>
        <v/>
      </c>
      <c r="C484" s="17">
        <f>IF($A484="","",YEAR($A484))</f>
        <v/>
      </c>
      <c r="D484" s="13" t="n"/>
      <c r="E484" s="13" t="n"/>
      <c r="F484" s="18" t="n"/>
      <c r="G484" s="18" t="n"/>
      <c r="H484" s="19">
        <f>IF(AND($F484="",$G484=""),"",N($F484)-N($G484))</f>
        <v/>
      </c>
    </row>
    <row r="485">
      <c r="A485" s="15" t="n"/>
      <c r="B485" s="16">
        <f>IF($A485="","",TEXT($A485,"mmm"))</f>
        <v/>
      </c>
      <c r="C485" s="17">
        <f>IF($A485="","",YEAR($A485))</f>
        <v/>
      </c>
      <c r="D485" s="13" t="n"/>
      <c r="E485" s="13" t="n"/>
      <c r="F485" s="18" t="n"/>
      <c r="G485" s="18" t="n"/>
      <c r="H485" s="19">
        <f>IF(AND($F485="",$G485=""),"",N($F485)-N($G485))</f>
        <v/>
      </c>
    </row>
    <row r="486">
      <c r="A486" s="15" t="n"/>
      <c r="B486" s="16">
        <f>IF($A486="","",TEXT($A486,"mmm"))</f>
        <v/>
      </c>
      <c r="C486" s="17">
        <f>IF($A486="","",YEAR($A486))</f>
        <v/>
      </c>
      <c r="D486" s="13" t="n"/>
      <c r="E486" s="13" t="n"/>
      <c r="F486" s="18" t="n"/>
      <c r="G486" s="18" t="n"/>
      <c r="H486" s="19">
        <f>IF(AND($F486="",$G486=""),"",N($F486)-N($G486))</f>
        <v/>
      </c>
    </row>
    <row r="487">
      <c r="A487" s="15" t="n"/>
      <c r="B487" s="16">
        <f>IF($A487="","",TEXT($A487,"mmm"))</f>
        <v/>
      </c>
      <c r="C487" s="17">
        <f>IF($A487="","",YEAR($A487))</f>
        <v/>
      </c>
      <c r="D487" s="13" t="n"/>
      <c r="E487" s="13" t="n"/>
      <c r="F487" s="18" t="n"/>
      <c r="G487" s="18" t="n"/>
      <c r="H487" s="19">
        <f>IF(AND($F487="",$G487=""),"",N($F487)-N($G487))</f>
        <v/>
      </c>
    </row>
    <row r="488">
      <c r="A488" s="15" t="n"/>
      <c r="B488" s="16">
        <f>IF($A488="","",TEXT($A488,"mmm"))</f>
        <v/>
      </c>
      <c r="C488" s="17">
        <f>IF($A488="","",YEAR($A488))</f>
        <v/>
      </c>
      <c r="D488" s="13" t="n"/>
      <c r="E488" s="13" t="n"/>
      <c r="F488" s="18" t="n"/>
      <c r="G488" s="18" t="n"/>
      <c r="H488" s="19">
        <f>IF(AND($F488="",$G488=""),"",N($F488)-N($G488))</f>
        <v/>
      </c>
    </row>
    <row r="489">
      <c r="A489" s="15" t="n"/>
      <c r="B489" s="16">
        <f>IF($A489="","",TEXT($A489,"mmm"))</f>
        <v/>
      </c>
      <c r="C489" s="17">
        <f>IF($A489="","",YEAR($A489))</f>
        <v/>
      </c>
      <c r="D489" s="13" t="n"/>
      <c r="E489" s="13" t="n"/>
      <c r="F489" s="18" t="n"/>
      <c r="G489" s="18" t="n"/>
      <c r="H489" s="19">
        <f>IF(AND($F489="",$G489=""),"",N($F489)-N($G489))</f>
        <v/>
      </c>
    </row>
    <row r="490">
      <c r="A490" s="15" t="n"/>
      <c r="B490" s="16">
        <f>IF($A490="","",TEXT($A490,"mmm"))</f>
        <v/>
      </c>
      <c r="C490" s="17">
        <f>IF($A490="","",YEAR($A490))</f>
        <v/>
      </c>
      <c r="D490" s="13" t="n"/>
      <c r="E490" s="13" t="n"/>
      <c r="F490" s="18" t="n"/>
      <c r="G490" s="18" t="n"/>
      <c r="H490" s="19">
        <f>IF(AND($F490="",$G490=""),"",N($F490)-N($G490))</f>
        <v/>
      </c>
    </row>
    <row r="491">
      <c r="A491" s="15" t="n"/>
      <c r="B491" s="16">
        <f>IF($A491="","",TEXT($A491,"mmm"))</f>
        <v/>
      </c>
      <c r="C491" s="17">
        <f>IF($A491="","",YEAR($A491))</f>
        <v/>
      </c>
      <c r="D491" s="13" t="n"/>
      <c r="E491" s="13" t="n"/>
      <c r="F491" s="18" t="n"/>
      <c r="G491" s="18" t="n"/>
      <c r="H491" s="19">
        <f>IF(AND($F491="",$G491=""),"",N($F491)-N($G491))</f>
        <v/>
      </c>
    </row>
    <row r="492">
      <c r="A492" s="15" t="n"/>
      <c r="B492" s="16">
        <f>IF($A492="","",TEXT($A492,"mmm"))</f>
        <v/>
      </c>
      <c r="C492" s="17">
        <f>IF($A492="","",YEAR($A492))</f>
        <v/>
      </c>
      <c r="D492" s="13" t="n"/>
      <c r="E492" s="13" t="n"/>
      <c r="F492" s="18" t="n"/>
      <c r="G492" s="18" t="n"/>
      <c r="H492" s="19">
        <f>IF(AND($F492="",$G492=""),"",N($F492)-N($G492))</f>
        <v/>
      </c>
    </row>
    <row r="493">
      <c r="A493" s="15" t="n"/>
      <c r="B493" s="16">
        <f>IF($A493="","",TEXT($A493,"mmm"))</f>
        <v/>
      </c>
      <c r="C493" s="17">
        <f>IF($A493="","",YEAR($A493))</f>
        <v/>
      </c>
      <c r="D493" s="13" t="n"/>
      <c r="E493" s="13" t="n"/>
      <c r="F493" s="18" t="n"/>
      <c r="G493" s="18" t="n"/>
      <c r="H493" s="19">
        <f>IF(AND($F493="",$G493=""),"",N($F493)-N($G493))</f>
        <v/>
      </c>
    </row>
    <row r="494">
      <c r="A494" s="15" t="n"/>
      <c r="B494" s="16">
        <f>IF($A494="","",TEXT($A494,"mmm"))</f>
        <v/>
      </c>
      <c r="C494" s="17">
        <f>IF($A494="","",YEAR($A494))</f>
        <v/>
      </c>
      <c r="D494" s="13" t="n"/>
      <c r="E494" s="13" t="n"/>
      <c r="F494" s="18" t="n"/>
      <c r="G494" s="18" t="n"/>
      <c r="H494" s="19">
        <f>IF(AND($F494="",$G494=""),"",N($F494)-N($G494))</f>
        <v/>
      </c>
    </row>
    <row r="495">
      <c r="A495" s="15" t="n"/>
      <c r="B495" s="16">
        <f>IF($A495="","",TEXT($A495,"mmm"))</f>
        <v/>
      </c>
      <c r="C495" s="17">
        <f>IF($A495="","",YEAR($A495))</f>
        <v/>
      </c>
      <c r="D495" s="13" t="n"/>
      <c r="E495" s="13" t="n"/>
      <c r="F495" s="18" t="n"/>
      <c r="G495" s="18" t="n"/>
      <c r="H495" s="19">
        <f>IF(AND($F495="",$G495=""),"",N($F495)-N($G495))</f>
        <v/>
      </c>
    </row>
    <row r="496">
      <c r="A496" s="15" t="n"/>
      <c r="B496" s="16">
        <f>IF($A496="","",TEXT($A496,"mmm"))</f>
        <v/>
      </c>
      <c r="C496" s="17">
        <f>IF($A496="","",YEAR($A496))</f>
        <v/>
      </c>
      <c r="D496" s="13" t="n"/>
      <c r="E496" s="13" t="n"/>
      <c r="F496" s="18" t="n"/>
      <c r="G496" s="18" t="n"/>
      <c r="H496" s="19">
        <f>IF(AND($F496="",$G496=""),"",N($F496)-N($G496))</f>
        <v/>
      </c>
    </row>
    <row r="497">
      <c r="A497" s="15" t="n"/>
      <c r="B497" s="16">
        <f>IF($A497="","",TEXT($A497,"mmm"))</f>
        <v/>
      </c>
      <c r="C497" s="17">
        <f>IF($A497="","",YEAR($A497))</f>
        <v/>
      </c>
      <c r="D497" s="13" t="n"/>
      <c r="E497" s="13" t="n"/>
      <c r="F497" s="18" t="n"/>
      <c r="G497" s="18" t="n"/>
      <c r="H497" s="19">
        <f>IF(AND($F497="",$G497=""),"",N($F497)-N($G497))</f>
        <v/>
      </c>
    </row>
    <row r="498">
      <c r="A498" s="15" t="n"/>
      <c r="B498" s="16">
        <f>IF($A498="","",TEXT($A498,"mmm"))</f>
        <v/>
      </c>
      <c r="C498" s="17">
        <f>IF($A498="","",YEAR($A498))</f>
        <v/>
      </c>
      <c r="D498" s="13" t="n"/>
      <c r="E498" s="13" t="n"/>
      <c r="F498" s="18" t="n"/>
      <c r="G498" s="18" t="n"/>
      <c r="H498" s="19">
        <f>IF(AND($F498="",$G498=""),"",N($F498)-N($G498))</f>
        <v/>
      </c>
    </row>
    <row r="499">
      <c r="A499" s="15" t="n"/>
      <c r="B499" s="16">
        <f>IF($A499="","",TEXT($A499,"mmm"))</f>
        <v/>
      </c>
      <c r="C499" s="17">
        <f>IF($A499="","",YEAR($A499))</f>
        <v/>
      </c>
      <c r="D499" s="13" t="n"/>
      <c r="E499" s="13" t="n"/>
      <c r="F499" s="18" t="n"/>
      <c r="G499" s="18" t="n"/>
      <c r="H499" s="19">
        <f>IF(AND($F499="",$G499=""),"",N($F499)-N($G499))</f>
        <v/>
      </c>
    </row>
    <row r="500">
      <c r="A500" s="15" t="n"/>
      <c r="B500" s="16">
        <f>IF($A500="","",TEXT($A500,"mmm"))</f>
        <v/>
      </c>
      <c r="C500" s="17">
        <f>IF($A500="","",YEAR($A500))</f>
        <v/>
      </c>
      <c r="D500" s="13" t="n"/>
      <c r="E500" s="13" t="n"/>
      <c r="F500" s="18" t="n"/>
      <c r="G500" s="18" t="n"/>
      <c r="H500" s="19">
        <f>IF(AND($F500="",$G500=""),"",N($F500)-N($G500))</f>
        <v/>
      </c>
    </row>
    <row r="501">
      <c r="A501" s="15" t="n"/>
      <c r="B501" s="16">
        <f>IF($A501="","",TEXT($A501,"mmm"))</f>
        <v/>
      </c>
      <c r="C501" s="17">
        <f>IF($A501="","",YEAR($A501))</f>
        <v/>
      </c>
      <c r="D501" s="13" t="n"/>
      <c r="E501" s="13" t="n"/>
      <c r="F501" s="18" t="n"/>
      <c r="G501" s="18" t="n"/>
      <c r="H501" s="19">
        <f>IF(AND($F501="",$G501=""),"",N($F501)-N($G501))</f>
        <v/>
      </c>
    </row>
    <row r="502">
      <c r="A502" s="15" t="n"/>
      <c r="B502" s="16">
        <f>IF($A502="","",TEXT($A502,"mmm"))</f>
        <v/>
      </c>
      <c r="C502" s="17">
        <f>IF($A502="","",YEAR($A502))</f>
        <v/>
      </c>
      <c r="D502" s="13" t="n"/>
      <c r="E502" s="13" t="n"/>
      <c r="F502" s="18" t="n"/>
      <c r="G502" s="18" t="n"/>
      <c r="H502" s="19">
        <f>IF(AND($F502="",$G502=""),"",N($F502)-N($G502))</f>
        <v/>
      </c>
    </row>
    <row r="503">
      <c r="A503" s="15" t="n"/>
      <c r="B503" s="16">
        <f>IF($A503="","",TEXT($A503,"mmm"))</f>
        <v/>
      </c>
      <c r="C503" s="17">
        <f>IF($A503="","",YEAR($A503))</f>
        <v/>
      </c>
      <c r="D503" s="13" t="n"/>
      <c r="E503" s="13" t="n"/>
      <c r="F503" s="18" t="n"/>
      <c r="G503" s="18" t="n"/>
      <c r="H503" s="19">
        <f>IF(AND($F503="",$G503=""),"",N($F503)-N($G503))</f>
        <v/>
      </c>
    </row>
    <row r="504">
      <c r="A504" s="15" t="n"/>
      <c r="B504" s="16">
        <f>IF($A504="","",TEXT($A504,"mmm"))</f>
        <v/>
      </c>
      <c r="C504" s="17">
        <f>IF($A504="","",YEAR($A504))</f>
        <v/>
      </c>
      <c r="D504" s="13" t="n"/>
      <c r="E504" s="13" t="n"/>
      <c r="F504" s="18" t="n"/>
      <c r="G504" s="18" t="n"/>
      <c r="H504" s="19">
        <f>IF(AND($F504="",$G504=""),"",N($F504)-N($G504))</f>
        <v/>
      </c>
    </row>
    <row r="505">
      <c r="A505" s="15" t="n"/>
      <c r="B505" s="16">
        <f>IF($A505="","",TEXT($A505,"mmm"))</f>
        <v/>
      </c>
      <c r="C505" s="17">
        <f>IF($A505="","",YEAR($A505))</f>
        <v/>
      </c>
      <c r="D505" s="13" t="n"/>
      <c r="E505" s="13" t="n"/>
      <c r="F505" s="18" t="n"/>
      <c r="G505" s="18" t="n"/>
      <c r="H505" s="19">
        <f>IF(AND($F505="",$G505=""),"",N($F505)-N($G505))</f>
        <v/>
      </c>
    </row>
    <row r="506">
      <c r="A506" s="15" t="n"/>
      <c r="B506" s="16">
        <f>IF($A506="","",TEXT($A506,"mmm"))</f>
        <v/>
      </c>
      <c r="C506" s="17">
        <f>IF($A506="","",YEAR($A506))</f>
        <v/>
      </c>
      <c r="D506" s="13" t="n"/>
      <c r="E506" s="13" t="n"/>
      <c r="F506" s="18" t="n"/>
      <c r="G506" s="18" t="n"/>
      <c r="H506" s="19">
        <f>IF(AND($F506="",$G506=""),"",N($F506)-N($G506))</f>
        <v/>
      </c>
    </row>
    <row r="507">
      <c r="A507" s="15" t="n"/>
      <c r="B507" s="16">
        <f>IF($A507="","",TEXT($A507,"mmm"))</f>
        <v/>
      </c>
      <c r="C507" s="17">
        <f>IF($A507="","",YEAR($A507))</f>
        <v/>
      </c>
      <c r="D507" s="13" t="n"/>
      <c r="E507" s="13" t="n"/>
      <c r="F507" s="18" t="n"/>
      <c r="G507" s="18" t="n"/>
      <c r="H507" s="19">
        <f>IF(AND($F507="",$G507=""),"",N($F507)-N($G507))</f>
        <v/>
      </c>
    </row>
    <row r="508">
      <c r="A508" s="15" t="n"/>
      <c r="B508" s="16">
        <f>IF($A508="","",TEXT($A508,"mmm"))</f>
        <v/>
      </c>
      <c r="C508" s="17">
        <f>IF($A508="","",YEAR($A508))</f>
        <v/>
      </c>
      <c r="D508" s="13" t="n"/>
      <c r="E508" s="13" t="n"/>
      <c r="F508" s="18" t="n"/>
      <c r="G508" s="18" t="n"/>
      <c r="H508" s="19">
        <f>IF(AND($F508="",$G508=""),"",N($F508)-N($G508))</f>
        <v/>
      </c>
    </row>
    <row r="509">
      <c r="A509" s="15" t="n"/>
      <c r="B509" s="16">
        <f>IF($A509="","",TEXT($A509,"mmm"))</f>
        <v/>
      </c>
      <c r="C509" s="17">
        <f>IF($A509="","",YEAR($A509))</f>
        <v/>
      </c>
      <c r="D509" s="13" t="n"/>
      <c r="E509" s="13" t="n"/>
      <c r="F509" s="18" t="n"/>
      <c r="G509" s="18" t="n"/>
      <c r="H509" s="19">
        <f>IF(AND($F509="",$G509=""),"",N($F509)-N($G509))</f>
        <v/>
      </c>
    </row>
    <row r="510">
      <c r="A510" s="15" t="n"/>
      <c r="B510" s="16">
        <f>IF($A510="","",TEXT($A510,"mmm"))</f>
        <v/>
      </c>
      <c r="C510" s="17">
        <f>IF($A510="","",YEAR($A510))</f>
        <v/>
      </c>
      <c r="D510" s="13" t="n"/>
      <c r="E510" s="13" t="n"/>
      <c r="F510" s="18" t="n"/>
      <c r="G510" s="18" t="n"/>
      <c r="H510" s="19">
        <f>IF(AND($F510="",$G510=""),"",N($F510)-N($G510))</f>
        <v/>
      </c>
    </row>
    <row r="511">
      <c r="A511" s="15" t="n"/>
      <c r="B511" s="16">
        <f>IF($A511="","",TEXT($A511,"mmm"))</f>
        <v/>
      </c>
      <c r="C511" s="17">
        <f>IF($A511="","",YEAR($A511))</f>
        <v/>
      </c>
      <c r="D511" s="13" t="n"/>
      <c r="E511" s="13" t="n"/>
      <c r="F511" s="18" t="n"/>
      <c r="G511" s="18" t="n"/>
      <c r="H511" s="19">
        <f>IF(AND($F511="",$G511=""),"",N($F511)-N($G511))</f>
        <v/>
      </c>
    </row>
    <row r="512">
      <c r="A512" s="15" t="n"/>
      <c r="B512" s="16">
        <f>IF($A512="","",TEXT($A512,"mmm"))</f>
        <v/>
      </c>
      <c r="C512" s="17">
        <f>IF($A512="","",YEAR($A512))</f>
        <v/>
      </c>
      <c r="D512" s="13" t="n"/>
      <c r="E512" s="13" t="n"/>
      <c r="F512" s="18" t="n"/>
      <c r="G512" s="18" t="n"/>
      <c r="H512" s="19">
        <f>IF(AND($F512="",$G512=""),"",N($F512)-N($G512))</f>
        <v/>
      </c>
    </row>
    <row r="513">
      <c r="A513" s="15" t="n"/>
      <c r="B513" s="16">
        <f>IF($A513="","",TEXT($A513,"mmm"))</f>
        <v/>
      </c>
      <c r="C513" s="17">
        <f>IF($A513="","",YEAR($A513))</f>
        <v/>
      </c>
      <c r="D513" s="13" t="n"/>
      <c r="E513" s="13" t="n"/>
      <c r="F513" s="18" t="n"/>
      <c r="G513" s="18" t="n"/>
      <c r="H513" s="19">
        <f>IF(AND($F513="",$G513=""),"",N($F513)-N($G513))</f>
        <v/>
      </c>
    </row>
    <row r="514">
      <c r="A514" s="15" t="n"/>
      <c r="B514" s="16">
        <f>IF($A514="","",TEXT($A514,"mmm"))</f>
        <v/>
      </c>
      <c r="C514" s="17">
        <f>IF($A514="","",YEAR($A514))</f>
        <v/>
      </c>
      <c r="D514" s="13" t="n"/>
      <c r="E514" s="13" t="n"/>
      <c r="F514" s="18" t="n"/>
      <c r="G514" s="18" t="n"/>
      <c r="H514" s="19">
        <f>IF(AND($F514="",$G514=""),"",N($F514)-N($G514))</f>
        <v/>
      </c>
    </row>
    <row r="515">
      <c r="A515" s="15" t="n"/>
      <c r="B515" s="16">
        <f>IF($A515="","",TEXT($A515,"mmm"))</f>
        <v/>
      </c>
      <c r="C515" s="17">
        <f>IF($A515="","",YEAR($A515))</f>
        <v/>
      </c>
      <c r="D515" s="13" t="n"/>
      <c r="E515" s="13" t="n"/>
      <c r="F515" s="18" t="n"/>
      <c r="G515" s="18" t="n"/>
      <c r="H515" s="19">
        <f>IF(AND($F515="",$G515=""),"",N($F515)-N($G515))</f>
        <v/>
      </c>
    </row>
    <row r="516">
      <c r="A516" s="15" t="n"/>
      <c r="B516" s="16">
        <f>IF($A516="","",TEXT($A516,"mmm"))</f>
        <v/>
      </c>
      <c r="C516" s="17">
        <f>IF($A516="","",YEAR($A516))</f>
        <v/>
      </c>
      <c r="D516" s="13" t="n"/>
      <c r="E516" s="13" t="n"/>
      <c r="F516" s="18" t="n"/>
      <c r="G516" s="18" t="n"/>
      <c r="H516" s="19">
        <f>IF(AND($F516="",$G516=""),"",N($F516)-N($G516))</f>
        <v/>
      </c>
    </row>
    <row r="517">
      <c r="A517" s="15" t="n"/>
      <c r="B517" s="16">
        <f>IF($A517="","",TEXT($A517,"mmm"))</f>
        <v/>
      </c>
      <c r="C517" s="17">
        <f>IF($A517="","",YEAR($A517))</f>
        <v/>
      </c>
      <c r="D517" s="13" t="n"/>
      <c r="E517" s="13" t="n"/>
      <c r="F517" s="18" t="n"/>
      <c r="G517" s="18" t="n"/>
      <c r="H517" s="19">
        <f>IF(AND($F517="",$G517=""),"",N($F517)-N($G517))</f>
        <v/>
      </c>
    </row>
    <row r="518">
      <c r="A518" s="15" t="n"/>
      <c r="B518" s="16">
        <f>IF($A518="","",TEXT($A518,"mmm"))</f>
        <v/>
      </c>
      <c r="C518" s="17">
        <f>IF($A518="","",YEAR($A518))</f>
        <v/>
      </c>
      <c r="D518" s="13" t="n"/>
      <c r="E518" s="13" t="n"/>
      <c r="F518" s="18" t="n"/>
      <c r="G518" s="18" t="n"/>
      <c r="H518" s="19">
        <f>IF(AND($F518="",$G518=""),"",N($F518)-N($G518))</f>
        <v/>
      </c>
    </row>
    <row r="519">
      <c r="A519" s="15" t="n"/>
      <c r="B519" s="16">
        <f>IF($A519="","",TEXT($A519,"mmm"))</f>
        <v/>
      </c>
      <c r="C519" s="17">
        <f>IF($A519="","",YEAR($A519))</f>
        <v/>
      </c>
      <c r="D519" s="13" t="n"/>
      <c r="E519" s="13" t="n"/>
      <c r="F519" s="18" t="n"/>
      <c r="G519" s="18" t="n"/>
      <c r="H519" s="19">
        <f>IF(AND($F519="",$G519=""),"",N($F519)-N($G519))</f>
        <v/>
      </c>
    </row>
    <row r="520">
      <c r="A520" s="15" t="n"/>
      <c r="B520" s="16">
        <f>IF($A520="","",TEXT($A520,"mmm"))</f>
        <v/>
      </c>
      <c r="C520" s="17">
        <f>IF($A520="","",YEAR($A520))</f>
        <v/>
      </c>
      <c r="D520" s="13" t="n"/>
      <c r="E520" s="13" t="n"/>
      <c r="F520" s="18" t="n"/>
      <c r="G520" s="18" t="n"/>
      <c r="H520" s="19">
        <f>IF(AND($F520="",$G520=""),"",N($F520)-N($G520))</f>
        <v/>
      </c>
    </row>
    <row r="521">
      <c r="A521" s="15" t="n"/>
      <c r="B521" s="16">
        <f>IF($A521="","",TEXT($A521,"mmm"))</f>
        <v/>
      </c>
      <c r="C521" s="17">
        <f>IF($A521="","",YEAR($A521))</f>
        <v/>
      </c>
      <c r="D521" s="13" t="n"/>
      <c r="E521" s="13" t="n"/>
      <c r="F521" s="18" t="n"/>
      <c r="G521" s="18" t="n"/>
      <c r="H521" s="19">
        <f>IF(AND($F521="",$G521=""),"",N($F521)-N($G521))</f>
        <v/>
      </c>
    </row>
    <row r="522">
      <c r="A522" s="15" t="n"/>
      <c r="B522" s="16">
        <f>IF($A522="","",TEXT($A522,"mmm"))</f>
        <v/>
      </c>
      <c r="C522" s="17">
        <f>IF($A522="","",YEAR($A522))</f>
        <v/>
      </c>
      <c r="D522" s="13" t="n"/>
      <c r="E522" s="13" t="n"/>
      <c r="F522" s="18" t="n"/>
      <c r="G522" s="18" t="n"/>
      <c r="H522" s="19">
        <f>IF(AND($F522="",$G522=""),"",N($F522)-N($G522))</f>
        <v/>
      </c>
    </row>
    <row r="523">
      <c r="A523" s="15" t="n"/>
      <c r="B523" s="16">
        <f>IF($A523="","",TEXT($A523,"mmm"))</f>
        <v/>
      </c>
      <c r="C523" s="17">
        <f>IF($A523="","",YEAR($A523))</f>
        <v/>
      </c>
      <c r="D523" s="13" t="n"/>
      <c r="E523" s="13" t="n"/>
      <c r="F523" s="18" t="n"/>
      <c r="G523" s="18" t="n"/>
      <c r="H523" s="19">
        <f>IF(AND($F523="",$G523=""),"",N($F523)-N($G523))</f>
        <v/>
      </c>
    </row>
    <row r="524">
      <c r="A524" s="15" t="n"/>
      <c r="B524" s="16">
        <f>IF($A524="","",TEXT($A524,"mmm"))</f>
        <v/>
      </c>
      <c r="C524" s="17">
        <f>IF($A524="","",YEAR($A524))</f>
        <v/>
      </c>
      <c r="D524" s="13" t="n"/>
      <c r="E524" s="13" t="n"/>
      <c r="F524" s="18" t="n"/>
      <c r="G524" s="18" t="n"/>
      <c r="H524" s="19">
        <f>IF(AND($F524="",$G524=""),"",N($F524)-N($G524))</f>
        <v/>
      </c>
    </row>
    <row r="525">
      <c r="A525" s="15" t="n"/>
      <c r="B525" s="16">
        <f>IF($A525="","",TEXT($A525,"mmm"))</f>
        <v/>
      </c>
      <c r="C525" s="17">
        <f>IF($A525="","",YEAR($A525))</f>
        <v/>
      </c>
      <c r="D525" s="13" t="n"/>
      <c r="E525" s="13" t="n"/>
      <c r="F525" s="18" t="n"/>
      <c r="G525" s="18" t="n"/>
      <c r="H525" s="19">
        <f>IF(AND($F525="",$G525=""),"",N($F525)-N($G525))</f>
        <v/>
      </c>
    </row>
    <row r="526">
      <c r="A526" s="15" t="n"/>
      <c r="B526" s="16">
        <f>IF($A526="","",TEXT($A526,"mmm"))</f>
        <v/>
      </c>
      <c r="C526" s="17">
        <f>IF($A526="","",YEAR($A526))</f>
        <v/>
      </c>
      <c r="D526" s="13" t="n"/>
      <c r="E526" s="13" t="n"/>
      <c r="F526" s="18" t="n"/>
      <c r="G526" s="18" t="n"/>
      <c r="H526" s="19">
        <f>IF(AND($F526="",$G526=""),"",N($F526)-N($G526))</f>
        <v/>
      </c>
    </row>
    <row r="527">
      <c r="A527" s="15" t="n"/>
      <c r="B527" s="16">
        <f>IF($A527="","",TEXT($A527,"mmm"))</f>
        <v/>
      </c>
      <c r="C527" s="17">
        <f>IF($A527="","",YEAR($A527))</f>
        <v/>
      </c>
      <c r="D527" s="13" t="n"/>
      <c r="E527" s="13" t="n"/>
      <c r="F527" s="18" t="n"/>
      <c r="G527" s="18" t="n"/>
      <c r="H527" s="19">
        <f>IF(AND($F527="",$G527=""),"",N($F527)-N($G527))</f>
        <v/>
      </c>
    </row>
    <row r="528">
      <c r="A528" s="15" t="n"/>
      <c r="B528" s="16">
        <f>IF($A528="","",TEXT($A528,"mmm"))</f>
        <v/>
      </c>
      <c r="C528" s="17">
        <f>IF($A528="","",YEAR($A528))</f>
        <v/>
      </c>
      <c r="D528" s="13" t="n"/>
      <c r="E528" s="13" t="n"/>
      <c r="F528" s="18" t="n"/>
      <c r="G528" s="18" t="n"/>
      <c r="H528" s="19">
        <f>IF(AND($F528="",$G528=""),"",N($F528)-N($G528))</f>
        <v/>
      </c>
    </row>
    <row r="529">
      <c r="A529" s="15" t="n"/>
      <c r="B529" s="16">
        <f>IF($A529="","",TEXT($A529,"mmm"))</f>
        <v/>
      </c>
      <c r="C529" s="17">
        <f>IF($A529="","",YEAR($A529))</f>
        <v/>
      </c>
      <c r="D529" s="13" t="n"/>
      <c r="E529" s="13" t="n"/>
      <c r="F529" s="18" t="n"/>
      <c r="G529" s="18" t="n"/>
      <c r="H529" s="19">
        <f>IF(AND($F529="",$G529=""),"",N($F529)-N($G529))</f>
        <v/>
      </c>
    </row>
    <row r="530">
      <c r="A530" s="15" t="n"/>
      <c r="B530" s="16">
        <f>IF($A530="","",TEXT($A530,"mmm"))</f>
        <v/>
      </c>
      <c r="C530" s="17">
        <f>IF($A530="","",YEAR($A530))</f>
        <v/>
      </c>
      <c r="D530" s="13" t="n"/>
      <c r="E530" s="13" t="n"/>
      <c r="F530" s="18" t="n"/>
      <c r="G530" s="18" t="n"/>
      <c r="H530" s="19">
        <f>IF(AND($F530="",$G530=""),"",N($F530)-N($G530))</f>
        <v/>
      </c>
    </row>
    <row r="531">
      <c r="A531" s="15" t="n"/>
      <c r="B531" s="16">
        <f>IF($A531="","",TEXT($A531,"mmm"))</f>
        <v/>
      </c>
      <c r="C531" s="17">
        <f>IF($A531="","",YEAR($A531))</f>
        <v/>
      </c>
      <c r="D531" s="13" t="n"/>
      <c r="E531" s="13" t="n"/>
      <c r="F531" s="18" t="n"/>
      <c r="G531" s="18" t="n"/>
      <c r="H531" s="19">
        <f>IF(AND($F531="",$G531=""),"",N($F531)-N($G531))</f>
        <v/>
      </c>
    </row>
    <row r="532">
      <c r="A532" s="15" t="n"/>
      <c r="B532" s="16">
        <f>IF($A532="","",TEXT($A532,"mmm"))</f>
        <v/>
      </c>
      <c r="C532" s="17">
        <f>IF($A532="","",YEAR($A532))</f>
        <v/>
      </c>
      <c r="D532" s="13" t="n"/>
      <c r="E532" s="13" t="n"/>
      <c r="F532" s="18" t="n"/>
      <c r="G532" s="18" t="n"/>
      <c r="H532" s="19">
        <f>IF(AND($F532="",$G532=""),"",N($F532)-N($G532))</f>
        <v/>
      </c>
    </row>
    <row r="533">
      <c r="A533" s="15" t="n"/>
      <c r="B533" s="16">
        <f>IF($A533="","",TEXT($A533,"mmm"))</f>
        <v/>
      </c>
      <c r="C533" s="17">
        <f>IF($A533="","",YEAR($A533))</f>
        <v/>
      </c>
      <c r="D533" s="13" t="n"/>
      <c r="E533" s="13" t="n"/>
      <c r="F533" s="18" t="n"/>
      <c r="G533" s="18" t="n"/>
      <c r="H533" s="19">
        <f>IF(AND($F533="",$G533=""),"",N($F533)-N($G533))</f>
        <v/>
      </c>
    </row>
    <row r="534">
      <c r="A534" s="15" t="n"/>
      <c r="B534" s="16">
        <f>IF($A534="","",TEXT($A534,"mmm"))</f>
        <v/>
      </c>
      <c r="C534" s="17">
        <f>IF($A534="","",YEAR($A534))</f>
        <v/>
      </c>
      <c r="D534" s="13" t="n"/>
      <c r="E534" s="13" t="n"/>
      <c r="F534" s="18" t="n"/>
      <c r="G534" s="18" t="n"/>
      <c r="H534" s="19">
        <f>IF(AND($F534="",$G534=""),"",N($F534)-N($G534))</f>
        <v/>
      </c>
    </row>
    <row r="535">
      <c r="A535" s="15" t="n"/>
      <c r="B535" s="16">
        <f>IF($A535="","",TEXT($A535,"mmm"))</f>
        <v/>
      </c>
      <c r="C535" s="17">
        <f>IF($A535="","",YEAR($A535))</f>
        <v/>
      </c>
      <c r="D535" s="13" t="n"/>
      <c r="E535" s="13" t="n"/>
      <c r="F535" s="18" t="n"/>
      <c r="G535" s="18" t="n"/>
      <c r="H535" s="19">
        <f>IF(AND($F535="",$G535=""),"",N($F535)-N($G535))</f>
        <v/>
      </c>
    </row>
    <row r="536">
      <c r="A536" s="15" t="n"/>
      <c r="B536" s="16">
        <f>IF($A536="","",TEXT($A536,"mmm"))</f>
        <v/>
      </c>
      <c r="C536" s="17">
        <f>IF($A536="","",YEAR($A536))</f>
        <v/>
      </c>
      <c r="D536" s="13" t="n"/>
      <c r="E536" s="13" t="n"/>
      <c r="F536" s="18" t="n"/>
      <c r="G536" s="18" t="n"/>
      <c r="H536" s="19">
        <f>IF(AND($F536="",$G536=""),"",N($F536)-N($G536))</f>
        <v/>
      </c>
    </row>
    <row r="537">
      <c r="A537" s="15" t="n"/>
      <c r="B537" s="16">
        <f>IF($A537="","",TEXT($A537,"mmm"))</f>
        <v/>
      </c>
      <c r="C537" s="17">
        <f>IF($A537="","",YEAR($A537))</f>
        <v/>
      </c>
      <c r="D537" s="13" t="n"/>
      <c r="E537" s="13" t="n"/>
      <c r="F537" s="18" t="n"/>
      <c r="G537" s="18" t="n"/>
      <c r="H537" s="19">
        <f>IF(AND($F537="",$G537=""),"",N($F537)-N($G537))</f>
        <v/>
      </c>
    </row>
    <row r="538">
      <c r="A538" s="15" t="n"/>
      <c r="B538" s="16">
        <f>IF($A538="","",TEXT($A538,"mmm"))</f>
        <v/>
      </c>
      <c r="C538" s="17">
        <f>IF($A538="","",YEAR($A538))</f>
        <v/>
      </c>
      <c r="D538" s="13" t="n"/>
      <c r="E538" s="13" t="n"/>
      <c r="F538" s="18" t="n"/>
      <c r="G538" s="18" t="n"/>
      <c r="H538" s="19">
        <f>IF(AND($F538="",$G538=""),"",N($F538)-N($G538))</f>
        <v/>
      </c>
    </row>
    <row r="539">
      <c r="A539" s="15" t="n"/>
      <c r="B539" s="16">
        <f>IF($A539="","",TEXT($A539,"mmm"))</f>
        <v/>
      </c>
      <c r="C539" s="17">
        <f>IF($A539="","",YEAR($A539))</f>
        <v/>
      </c>
      <c r="D539" s="13" t="n"/>
      <c r="E539" s="13" t="n"/>
      <c r="F539" s="18" t="n"/>
      <c r="G539" s="18" t="n"/>
      <c r="H539" s="19">
        <f>IF(AND($F539="",$G539=""),"",N($F539)-N($G539))</f>
        <v/>
      </c>
    </row>
    <row r="540">
      <c r="A540" s="15" t="n"/>
      <c r="B540" s="16">
        <f>IF($A540="","",TEXT($A540,"mmm"))</f>
        <v/>
      </c>
      <c r="C540" s="17">
        <f>IF($A540="","",YEAR($A540))</f>
        <v/>
      </c>
      <c r="D540" s="13" t="n"/>
      <c r="E540" s="13" t="n"/>
      <c r="F540" s="18" t="n"/>
      <c r="G540" s="18" t="n"/>
      <c r="H540" s="19">
        <f>IF(AND($F540="",$G540=""),"",N($F540)-N($G540))</f>
        <v/>
      </c>
    </row>
    <row r="541">
      <c r="A541" s="15" t="n"/>
      <c r="B541" s="16">
        <f>IF($A541="","",TEXT($A541,"mmm"))</f>
        <v/>
      </c>
      <c r="C541" s="17">
        <f>IF($A541="","",YEAR($A541))</f>
        <v/>
      </c>
      <c r="D541" s="13" t="n"/>
      <c r="E541" s="13" t="n"/>
      <c r="F541" s="18" t="n"/>
      <c r="G541" s="18" t="n"/>
      <c r="H541" s="19">
        <f>IF(AND($F541="",$G541=""),"",N($F541)-N($G541))</f>
        <v/>
      </c>
    </row>
    <row r="542">
      <c r="A542" s="15" t="n"/>
      <c r="B542" s="16">
        <f>IF($A542="","",TEXT($A542,"mmm"))</f>
        <v/>
      </c>
      <c r="C542" s="17">
        <f>IF($A542="","",YEAR($A542))</f>
        <v/>
      </c>
      <c r="D542" s="13" t="n"/>
      <c r="E542" s="13" t="n"/>
      <c r="F542" s="18" t="n"/>
      <c r="G542" s="18" t="n"/>
      <c r="H542" s="19">
        <f>IF(AND($F542="",$G542=""),"",N($F542)-N($G542))</f>
        <v/>
      </c>
    </row>
    <row r="543">
      <c r="A543" s="15" t="n"/>
      <c r="B543" s="16">
        <f>IF($A543="","",TEXT($A543,"mmm"))</f>
        <v/>
      </c>
      <c r="C543" s="17">
        <f>IF($A543="","",YEAR($A543))</f>
        <v/>
      </c>
      <c r="D543" s="13" t="n"/>
      <c r="E543" s="13" t="n"/>
      <c r="F543" s="18" t="n"/>
      <c r="G543" s="18" t="n"/>
      <c r="H543" s="19">
        <f>IF(AND($F543="",$G543=""),"",N($F543)-N($G543))</f>
        <v/>
      </c>
    </row>
    <row r="544">
      <c r="A544" s="15" t="n"/>
      <c r="B544" s="16">
        <f>IF($A544="","",TEXT($A544,"mmm"))</f>
        <v/>
      </c>
      <c r="C544" s="17">
        <f>IF($A544="","",YEAR($A544))</f>
        <v/>
      </c>
      <c r="D544" s="13" t="n"/>
      <c r="E544" s="13" t="n"/>
      <c r="F544" s="18" t="n"/>
      <c r="G544" s="18" t="n"/>
      <c r="H544" s="19">
        <f>IF(AND($F544="",$G544=""),"",N($F544)-N($G544))</f>
        <v/>
      </c>
    </row>
    <row r="545">
      <c r="A545" s="15" t="n"/>
      <c r="B545" s="16">
        <f>IF($A545="","",TEXT($A545,"mmm"))</f>
        <v/>
      </c>
      <c r="C545" s="17">
        <f>IF($A545="","",YEAR($A545))</f>
        <v/>
      </c>
      <c r="D545" s="13" t="n"/>
      <c r="E545" s="13" t="n"/>
      <c r="F545" s="18" t="n"/>
      <c r="G545" s="18" t="n"/>
      <c r="H545" s="19">
        <f>IF(AND($F545="",$G545=""),"",N($F545)-N($G545))</f>
        <v/>
      </c>
    </row>
    <row r="546">
      <c r="A546" s="15" t="n"/>
      <c r="B546" s="16">
        <f>IF($A546="","",TEXT($A546,"mmm"))</f>
        <v/>
      </c>
      <c r="C546" s="17">
        <f>IF($A546="","",YEAR($A546))</f>
        <v/>
      </c>
      <c r="D546" s="13" t="n"/>
      <c r="E546" s="13" t="n"/>
      <c r="F546" s="18" t="n"/>
      <c r="G546" s="18" t="n"/>
      <c r="H546" s="19">
        <f>IF(AND($F546="",$G546=""),"",N($F546)-N($G546))</f>
        <v/>
      </c>
    </row>
    <row r="547">
      <c r="A547" s="15" t="n"/>
      <c r="B547" s="16">
        <f>IF($A547="","",TEXT($A547,"mmm"))</f>
        <v/>
      </c>
      <c r="C547" s="17">
        <f>IF($A547="","",YEAR($A547))</f>
        <v/>
      </c>
      <c r="D547" s="13" t="n"/>
      <c r="E547" s="13" t="n"/>
      <c r="F547" s="18" t="n"/>
      <c r="G547" s="18" t="n"/>
      <c r="H547" s="19">
        <f>IF(AND($F547="",$G547=""),"",N($F547)-N($G547))</f>
        <v/>
      </c>
    </row>
    <row r="548">
      <c r="A548" s="15" t="n"/>
      <c r="B548" s="16">
        <f>IF($A548="","",TEXT($A548,"mmm"))</f>
        <v/>
      </c>
      <c r="C548" s="17">
        <f>IF($A548="","",YEAR($A548))</f>
        <v/>
      </c>
      <c r="D548" s="13" t="n"/>
      <c r="E548" s="13" t="n"/>
      <c r="F548" s="18" t="n"/>
      <c r="G548" s="18" t="n"/>
      <c r="H548" s="19">
        <f>IF(AND($F548="",$G548=""),"",N($F548)-N($G548))</f>
        <v/>
      </c>
    </row>
    <row r="549">
      <c r="A549" s="15" t="n"/>
      <c r="B549" s="16">
        <f>IF($A549="","",TEXT($A549,"mmm"))</f>
        <v/>
      </c>
      <c r="C549" s="17">
        <f>IF($A549="","",YEAR($A549))</f>
        <v/>
      </c>
      <c r="D549" s="13" t="n"/>
      <c r="E549" s="13" t="n"/>
      <c r="F549" s="18" t="n"/>
      <c r="G549" s="18" t="n"/>
      <c r="H549" s="19">
        <f>IF(AND($F549="",$G549=""),"",N($F549)-N($G549))</f>
        <v/>
      </c>
    </row>
    <row r="550">
      <c r="A550" s="15" t="n"/>
      <c r="B550" s="16">
        <f>IF($A550="","",TEXT($A550,"mmm"))</f>
        <v/>
      </c>
      <c r="C550" s="17">
        <f>IF($A550="","",YEAR($A550))</f>
        <v/>
      </c>
      <c r="D550" s="13" t="n"/>
      <c r="E550" s="13" t="n"/>
      <c r="F550" s="18" t="n"/>
      <c r="G550" s="18" t="n"/>
      <c r="H550" s="19">
        <f>IF(AND($F550="",$G550=""),"",N($F550)-N($G550))</f>
        <v/>
      </c>
    </row>
    <row r="551">
      <c r="A551" s="15" t="n"/>
      <c r="B551" s="16">
        <f>IF($A551="","",TEXT($A551,"mmm"))</f>
        <v/>
      </c>
      <c r="C551" s="17">
        <f>IF($A551="","",YEAR($A551))</f>
        <v/>
      </c>
      <c r="D551" s="13" t="n"/>
      <c r="E551" s="13" t="n"/>
      <c r="F551" s="18" t="n"/>
      <c r="G551" s="18" t="n"/>
      <c r="H551" s="19">
        <f>IF(AND($F551="",$G551=""),"",N($F551)-N($G551))</f>
        <v/>
      </c>
    </row>
    <row r="552">
      <c r="A552" s="15" t="n"/>
      <c r="B552" s="16">
        <f>IF($A552="","",TEXT($A552,"mmm"))</f>
        <v/>
      </c>
      <c r="C552" s="17">
        <f>IF($A552="","",YEAR($A552))</f>
        <v/>
      </c>
      <c r="D552" s="13" t="n"/>
      <c r="E552" s="13" t="n"/>
      <c r="F552" s="18" t="n"/>
      <c r="G552" s="18" t="n"/>
      <c r="H552" s="19">
        <f>IF(AND($F552="",$G552=""),"",N($F552)-N($G552))</f>
        <v/>
      </c>
    </row>
    <row r="553">
      <c r="A553" s="15" t="n"/>
      <c r="B553" s="16">
        <f>IF($A553="","",TEXT($A553,"mmm"))</f>
        <v/>
      </c>
      <c r="C553" s="17">
        <f>IF($A553="","",YEAR($A553))</f>
        <v/>
      </c>
      <c r="D553" s="13" t="n"/>
      <c r="E553" s="13" t="n"/>
      <c r="F553" s="18" t="n"/>
      <c r="G553" s="18" t="n"/>
      <c r="H553" s="19">
        <f>IF(AND($F553="",$G553=""),"",N($F553)-N($G553))</f>
        <v/>
      </c>
    </row>
    <row r="554">
      <c r="A554" s="15" t="n"/>
      <c r="B554" s="16">
        <f>IF($A554="","",TEXT($A554,"mmm"))</f>
        <v/>
      </c>
      <c r="C554" s="17">
        <f>IF($A554="","",YEAR($A554))</f>
        <v/>
      </c>
      <c r="D554" s="13" t="n"/>
      <c r="E554" s="13" t="n"/>
      <c r="F554" s="18" t="n"/>
      <c r="G554" s="18" t="n"/>
      <c r="H554" s="19">
        <f>IF(AND($F554="",$G554=""),"",N($F554)-N($G554))</f>
        <v/>
      </c>
    </row>
    <row r="555">
      <c r="A555" s="15" t="n"/>
      <c r="B555" s="16">
        <f>IF($A555="","",TEXT($A555,"mmm"))</f>
        <v/>
      </c>
      <c r="C555" s="17">
        <f>IF($A555="","",YEAR($A555))</f>
        <v/>
      </c>
      <c r="D555" s="13" t="n"/>
      <c r="E555" s="13" t="n"/>
      <c r="F555" s="18" t="n"/>
      <c r="G555" s="18" t="n"/>
      <c r="H555" s="19">
        <f>IF(AND($F555="",$G555=""),"",N($F555)-N($G555))</f>
        <v/>
      </c>
    </row>
    <row r="556">
      <c r="A556" s="15" t="n"/>
      <c r="B556" s="16">
        <f>IF($A556="","",TEXT($A556,"mmm"))</f>
        <v/>
      </c>
      <c r="C556" s="17">
        <f>IF($A556="","",YEAR($A556))</f>
        <v/>
      </c>
      <c r="D556" s="13" t="n"/>
      <c r="E556" s="13" t="n"/>
      <c r="F556" s="18" t="n"/>
      <c r="G556" s="18" t="n"/>
      <c r="H556" s="19">
        <f>IF(AND($F556="",$G556=""),"",N($F556)-N($G556))</f>
        <v/>
      </c>
    </row>
    <row r="557">
      <c r="A557" s="15" t="n"/>
      <c r="B557" s="16">
        <f>IF($A557="","",TEXT($A557,"mmm"))</f>
        <v/>
      </c>
      <c r="C557" s="17">
        <f>IF($A557="","",YEAR($A557))</f>
        <v/>
      </c>
      <c r="D557" s="13" t="n"/>
      <c r="E557" s="13" t="n"/>
      <c r="F557" s="18" t="n"/>
      <c r="G557" s="18" t="n"/>
      <c r="H557" s="19">
        <f>IF(AND($F557="",$G557=""),"",N($F557)-N($G557))</f>
        <v/>
      </c>
    </row>
    <row r="558">
      <c r="A558" s="15" t="n"/>
      <c r="B558" s="16">
        <f>IF($A558="","",TEXT($A558,"mmm"))</f>
        <v/>
      </c>
      <c r="C558" s="17">
        <f>IF($A558="","",YEAR($A558))</f>
        <v/>
      </c>
      <c r="D558" s="13" t="n"/>
      <c r="E558" s="13" t="n"/>
      <c r="F558" s="18" t="n"/>
      <c r="G558" s="18" t="n"/>
      <c r="H558" s="19">
        <f>IF(AND($F558="",$G558=""),"",N($F558)-N($G558))</f>
        <v/>
      </c>
    </row>
    <row r="559">
      <c r="A559" s="15" t="n"/>
      <c r="B559" s="16">
        <f>IF($A559="","",TEXT($A559,"mmm"))</f>
        <v/>
      </c>
      <c r="C559" s="17">
        <f>IF($A559="","",YEAR($A559))</f>
        <v/>
      </c>
      <c r="D559" s="13" t="n"/>
      <c r="E559" s="13" t="n"/>
      <c r="F559" s="18" t="n"/>
      <c r="G559" s="18" t="n"/>
      <c r="H559" s="19">
        <f>IF(AND($F559="",$G559=""),"",N($F559)-N($G559))</f>
        <v/>
      </c>
    </row>
    <row r="560">
      <c r="A560" s="15" t="n"/>
      <c r="B560" s="16">
        <f>IF($A560="","",TEXT($A560,"mmm"))</f>
        <v/>
      </c>
      <c r="C560" s="17">
        <f>IF($A560="","",YEAR($A560))</f>
        <v/>
      </c>
      <c r="D560" s="13" t="n"/>
      <c r="E560" s="13" t="n"/>
      <c r="F560" s="18" t="n"/>
      <c r="G560" s="18" t="n"/>
      <c r="H560" s="19">
        <f>IF(AND($F560="",$G560=""),"",N($F560)-N($G560))</f>
        <v/>
      </c>
    </row>
    <row r="561">
      <c r="A561" s="15" t="n"/>
      <c r="B561" s="16">
        <f>IF($A561="","",TEXT($A561,"mmm"))</f>
        <v/>
      </c>
      <c r="C561" s="17">
        <f>IF($A561="","",YEAR($A561))</f>
        <v/>
      </c>
      <c r="D561" s="13" t="n"/>
      <c r="E561" s="13" t="n"/>
      <c r="F561" s="18" t="n"/>
      <c r="G561" s="18" t="n"/>
      <c r="H561" s="19">
        <f>IF(AND($F561="",$G561=""),"",N($F561)-N($G561))</f>
        <v/>
      </c>
    </row>
    <row r="562">
      <c r="A562" s="15" t="n"/>
      <c r="B562" s="16">
        <f>IF($A562="","",TEXT($A562,"mmm"))</f>
        <v/>
      </c>
      <c r="C562" s="17">
        <f>IF($A562="","",YEAR($A562))</f>
        <v/>
      </c>
      <c r="D562" s="13" t="n"/>
      <c r="E562" s="13" t="n"/>
      <c r="F562" s="18" t="n"/>
      <c r="G562" s="18" t="n"/>
      <c r="H562" s="19">
        <f>IF(AND($F562="",$G562=""),"",N($F562)-N($G562))</f>
        <v/>
      </c>
    </row>
    <row r="563">
      <c r="A563" s="15" t="n"/>
      <c r="B563" s="16">
        <f>IF($A563="","",TEXT($A563,"mmm"))</f>
        <v/>
      </c>
      <c r="C563" s="17">
        <f>IF($A563="","",YEAR($A563))</f>
        <v/>
      </c>
      <c r="D563" s="13" t="n"/>
      <c r="E563" s="13" t="n"/>
      <c r="F563" s="18" t="n"/>
      <c r="G563" s="18" t="n"/>
      <c r="H563" s="19">
        <f>IF(AND($F563="",$G563=""),"",N($F563)-N($G563))</f>
        <v/>
      </c>
    </row>
    <row r="564">
      <c r="A564" s="15" t="n"/>
      <c r="B564" s="16">
        <f>IF($A564="","",TEXT($A564,"mmm"))</f>
        <v/>
      </c>
      <c r="C564" s="17">
        <f>IF($A564="","",YEAR($A564))</f>
        <v/>
      </c>
      <c r="D564" s="13" t="n"/>
      <c r="E564" s="13" t="n"/>
      <c r="F564" s="18" t="n"/>
      <c r="G564" s="18" t="n"/>
      <c r="H564" s="19">
        <f>IF(AND($F564="",$G564=""),"",N($F564)-N($G564))</f>
        <v/>
      </c>
    </row>
    <row r="565">
      <c r="A565" s="15" t="n"/>
      <c r="B565" s="16">
        <f>IF($A565="","",TEXT($A565,"mmm"))</f>
        <v/>
      </c>
      <c r="C565" s="17">
        <f>IF($A565="","",YEAR($A565))</f>
        <v/>
      </c>
      <c r="D565" s="13" t="n"/>
      <c r="E565" s="13" t="n"/>
      <c r="F565" s="18" t="n"/>
      <c r="G565" s="18" t="n"/>
      <c r="H565" s="19">
        <f>IF(AND($F565="",$G565=""),"",N($F565)-N($G565))</f>
        <v/>
      </c>
    </row>
    <row r="566">
      <c r="A566" s="15" t="n"/>
      <c r="B566" s="16">
        <f>IF($A566="","",TEXT($A566,"mmm"))</f>
        <v/>
      </c>
      <c r="C566" s="17">
        <f>IF($A566="","",YEAR($A566))</f>
        <v/>
      </c>
      <c r="D566" s="13" t="n"/>
      <c r="E566" s="13" t="n"/>
      <c r="F566" s="18" t="n"/>
      <c r="G566" s="18" t="n"/>
      <c r="H566" s="19">
        <f>IF(AND($F566="",$G566=""),"",N($F566)-N($G566))</f>
        <v/>
      </c>
    </row>
    <row r="567">
      <c r="A567" s="15" t="n"/>
      <c r="B567" s="16">
        <f>IF($A567="","",TEXT($A567,"mmm"))</f>
        <v/>
      </c>
      <c r="C567" s="17">
        <f>IF($A567="","",YEAR($A567))</f>
        <v/>
      </c>
      <c r="D567" s="13" t="n"/>
      <c r="E567" s="13" t="n"/>
      <c r="F567" s="18" t="n"/>
      <c r="G567" s="18" t="n"/>
      <c r="H567" s="19">
        <f>IF(AND($F567="",$G567=""),"",N($F567)-N($G567))</f>
        <v/>
      </c>
    </row>
    <row r="568">
      <c r="A568" s="15" t="n"/>
      <c r="B568" s="16">
        <f>IF($A568="","",TEXT($A568,"mmm"))</f>
        <v/>
      </c>
      <c r="C568" s="17">
        <f>IF($A568="","",YEAR($A568))</f>
        <v/>
      </c>
      <c r="D568" s="13" t="n"/>
      <c r="E568" s="13" t="n"/>
      <c r="F568" s="18" t="n"/>
      <c r="G568" s="18" t="n"/>
      <c r="H568" s="19">
        <f>IF(AND($F568="",$G568=""),"",N($F568)-N($G568))</f>
        <v/>
      </c>
    </row>
    <row r="569">
      <c r="A569" s="15" t="n"/>
      <c r="B569" s="16">
        <f>IF($A569="","",TEXT($A569,"mmm"))</f>
        <v/>
      </c>
      <c r="C569" s="17">
        <f>IF($A569="","",YEAR($A569))</f>
        <v/>
      </c>
      <c r="D569" s="13" t="n"/>
      <c r="E569" s="13" t="n"/>
      <c r="F569" s="18" t="n"/>
      <c r="G569" s="18" t="n"/>
      <c r="H569" s="19">
        <f>IF(AND($F569="",$G569=""),"",N($F569)-N($G569))</f>
        <v/>
      </c>
    </row>
    <row r="570">
      <c r="A570" s="15" t="n"/>
      <c r="B570" s="16">
        <f>IF($A570="","",TEXT($A570,"mmm"))</f>
        <v/>
      </c>
      <c r="C570" s="17">
        <f>IF($A570="","",YEAR($A570))</f>
        <v/>
      </c>
      <c r="D570" s="13" t="n"/>
      <c r="E570" s="13" t="n"/>
      <c r="F570" s="18" t="n"/>
      <c r="G570" s="18" t="n"/>
      <c r="H570" s="19">
        <f>IF(AND($F570="",$G570=""),"",N($F570)-N($G570))</f>
        <v/>
      </c>
    </row>
    <row r="571">
      <c r="A571" s="15" t="n"/>
      <c r="B571" s="16">
        <f>IF($A571="","",TEXT($A571,"mmm"))</f>
        <v/>
      </c>
      <c r="C571" s="17">
        <f>IF($A571="","",YEAR($A571))</f>
        <v/>
      </c>
      <c r="D571" s="13" t="n"/>
      <c r="E571" s="13" t="n"/>
      <c r="F571" s="18" t="n"/>
      <c r="G571" s="18" t="n"/>
      <c r="H571" s="19">
        <f>IF(AND($F571="",$G571=""),"",N($F571)-N($G571))</f>
        <v/>
      </c>
    </row>
    <row r="572">
      <c r="A572" s="15" t="n"/>
      <c r="B572" s="16">
        <f>IF($A572="","",TEXT($A572,"mmm"))</f>
        <v/>
      </c>
      <c r="C572" s="17">
        <f>IF($A572="","",YEAR($A572))</f>
        <v/>
      </c>
      <c r="D572" s="13" t="n"/>
      <c r="E572" s="13" t="n"/>
      <c r="F572" s="18" t="n"/>
      <c r="G572" s="18" t="n"/>
      <c r="H572" s="19">
        <f>IF(AND($F572="",$G572=""),"",N($F572)-N($G572))</f>
        <v/>
      </c>
    </row>
    <row r="573">
      <c r="A573" s="15" t="n"/>
      <c r="B573" s="16">
        <f>IF($A573="","",TEXT($A573,"mmm"))</f>
        <v/>
      </c>
      <c r="C573" s="17">
        <f>IF($A573="","",YEAR($A573))</f>
        <v/>
      </c>
      <c r="D573" s="13" t="n"/>
      <c r="E573" s="13" t="n"/>
      <c r="F573" s="18" t="n"/>
      <c r="G573" s="18" t="n"/>
      <c r="H573" s="19">
        <f>IF(AND($F573="",$G573=""),"",N($F573)-N($G573))</f>
        <v/>
      </c>
    </row>
    <row r="574">
      <c r="A574" s="15" t="n"/>
      <c r="B574" s="16">
        <f>IF($A574="","",TEXT($A574,"mmm"))</f>
        <v/>
      </c>
      <c r="C574" s="17">
        <f>IF($A574="","",YEAR($A574))</f>
        <v/>
      </c>
      <c r="D574" s="13" t="n"/>
      <c r="E574" s="13" t="n"/>
      <c r="F574" s="18" t="n"/>
      <c r="G574" s="18" t="n"/>
      <c r="H574" s="19">
        <f>IF(AND($F574="",$G574=""),"",N($F574)-N($G574))</f>
        <v/>
      </c>
    </row>
    <row r="575">
      <c r="A575" s="15" t="n"/>
      <c r="B575" s="16">
        <f>IF($A575="","",TEXT($A575,"mmm"))</f>
        <v/>
      </c>
      <c r="C575" s="17">
        <f>IF($A575="","",YEAR($A575))</f>
        <v/>
      </c>
      <c r="D575" s="13" t="n"/>
      <c r="E575" s="13" t="n"/>
      <c r="F575" s="18" t="n"/>
      <c r="G575" s="18" t="n"/>
      <c r="H575" s="19">
        <f>IF(AND($F575="",$G575=""),"",N($F575)-N($G575))</f>
        <v/>
      </c>
    </row>
    <row r="576">
      <c r="A576" s="15" t="n"/>
      <c r="B576" s="16">
        <f>IF($A576="","",TEXT($A576,"mmm"))</f>
        <v/>
      </c>
      <c r="C576" s="17">
        <f>IF($A576="","",YEAR($A576))</f>
        <v/>
      </c>
      <c r="D576" s="13" t="n"/>
      <c r="E576" s="13" t="n"/>
      <c r="F576" s="18" t="n"/>
      <c r="G576" s="18" t="n"/>
      <c r="H576" s="19">
        <f>IF(AND($F576="",$G576=""),"",N($F576)-N($G576))</f>
        <v/>
      </c>
    </row>
    <row r="577">
      <c r="A577" s="15" t="n"/>
      <c r="B577" s="16">
        <f>IF($A577="","",TEXT($A577,"mmm"))</f>
        <v/>
      </c>
      <c r="C577" s="17">
        <f>IF($A577="","",YEAR($A577))</f>
        <v/>
      </c>
      <c r="D577" s="13" t="n"/>
      <c r="E577" s="13" t="n"/>
      <c r="F577" s="18" t="n"/>
      <c r="G577" s="18" t="n"/>
      <c r="H577" s="19">
        <f>IF(AND($F577="",$G577=""),"",N($F577)-N($G577))</f>
        <v/>
      </c>
    </row>
    <row r="578">
      <c r="A578" s="15" t="n"/>
      <c r="B578" s="16">
        <f>IF($A578="","",TEXT($A578,"mmm"))</f>
        <v/>
      </c>
      <c r="C578" s="17">
        <f>IF($A578="","",YEAR($A578))</f>
        <v/>
      </c>
      <c r="D578" s="13" t="n"/>
      <c r="E578" s="13" t="n"/>
      <c r="F578" s="18" t="n"/>
      <c r="G578" s="18" t="n"/>
      <c r="H578" s="19">
        <f>IF(AND($F578="",$G578=""),"",N($F578)-N($G578))</f>
        <v/>
      </c>
    </row>
    <row r="579">
      <c r="A579" s="15" t="n"/>
      <c r="B579" s="16">
        <f>IF($A579="","",TEXT($A579,"mmm"))</f>
        <v/>
      </c>
      <c r="C579" s="17">
        <f>IF($A579="","",YEAR($A579))</f>
        <v/>
      </c>
      <c r="D579" s="13" t="n"/>
      <c r="E579" s="13" t="n"/>
      <c r="F579" s="18" t="n"/>
      <c r="G579" s="18" t="n"/>
      <c r="H579" s="19">
        <f>IF(AND($F579="",$G579=""),"",N($F579)-N($G579))</f>
        <v/>
      </c>
    </row>
    <row r="580">
      <c r="A580" s="15" t="n"/>
      <c r="B580" s="16">
        <f>IF($A580="","",TEXT($A580,"mmm"))</f>
        <v/>
      </c>
      <c r="C580" s="17">
        <f>IF($A580="","",YEAR($A580))</f>
        <v/>
      </c>
      <c r="D580" s="13" t="n"/>
      <c r="E580" s="13" t="n"/>
      <c r="F580" s="18" t="n"/>
      <c r="G580" s="18" t="n"/>
      <c r="H580" s="19">
        <f>IF(AND($F580="",$G580=""),"",N($F580)-N($G580))</f>
        <v/>
      </c>
    </row>
    <row r="581">
      <c r="A581" s="15" t="n"/>
      <c r="B581" s="16">
        <f>IF($A581="","",TEXT($A581,"mmm"))</f>
        <v/>
      </c>
      <c r="C581" s="17">
        <f>IF($A581="","",YEAR($A581))</f>
        <v/>
      </c>
      <c r="D581" s="13" t="n"/>
      <c r="E581" s="13" t="n"/>
      <c r="F581" s="18" t="n"/>
      <c r="G581" s="18" t="n"/>
      <c r="H581" s="19">
        <f>IF(AND($F581="",$G581=""),"",N($F581)-N($G581))</f>
        <v/>
      </c>
    </row>
    <row r="582">
      <c r="A582" s="15" t="n"/>
      <c r="B582" s="16">
        <f>IF($A582="","",TEXT($A582,"mmm"))</f>
        <v/>
      </c>
      <c r="C582" s="17">
        <f>IF($A582="","",YEAR($A582))</f>
        <v/>
      </c>
      <c r="D582" s="13" t="n"/>
      <c r="E582" s="13" t="n"/>
      <c r="F582" s="18" t="n"/>
      <c r="G582" s="18" t="n"/>
      <c r="H582" s="19">
        <f>IF(AND($F582="",$G582=""),"",N($F582)-N($G582))</f>
        <v/>
      </c>
    </row>
    <row r="583">
      <c r="A583" s="15" t="n"/>
      <c r="B583" s="16">
        <f>IF($A583="","",TEXT($A583,"mmm"))</f>
        <v/>
      </c>
      <c r="C583" s="17">
        <f>IF($A583="","",YEAR($A583))</f>
        <v/>
      </c>
      <c r="D583" s="13" t="n"/>
      <c r="E583" s="13" t="n"/>
      <c r="F583" s="18" t="n"/>
      <c r="G583" s="18" t="n"/>
      <c r="H583" s="19">
        <f>IF(AND($F583="",$G583=""),"",N($F583)-N($G583))</f>
        <v/>
      </c>
    </row>
    <row r="584">
      <c r="A584" s="15" t="n"/>
      <c r="B584" s="16">
        <f>IF($A584="","",TEXT($A584,"mmm"))</f>
        <v/>
      </c>
      <c r="C584" s="17">
        <f>IF($A584="","",YEAR($A584))</f>
        <v/>
      </c>
      <c r="D584" s="13" t="n"/>
      <c r="E584" s="13" t="n"/>
      <c r="F584" s="18" t="n"/>
      <c r="G584" s="18" t="n"/>
      <c r="H584" s="19">
        <f>IF(AND($F584="",$G584=""),"",N($F584)-N($G584))</f>
        <v/>
      </c>
    </row>
    <row r="585">
      <c r="A585" s="15" t="n"/>
      <c r="B585" s="16">
        <f>IF($A585="","",TEXT($A585,"mmm"))</f>
        <v/>
      </c>
      <c r="C585" s="17">
        <f>IF($A585="","",YEAR($A585))</f>
        <v/>
      </c>
      <c r="D585" s="13" t="n"/>
      <c r="E585" s="13" t="n"/>
      <c r="F585" s="18" t="n"/>
      <c r="G585" s="18" t="n"/>
      <c r="H585" s="19">
        <f>IF(AND($F585="",$G585=""),"",N($F585)-N($G585))</f>
        <v/>
      </c>
    </row>
    <row r="586">
      <c r="A586" s="15" t="n"/>
      <c r="B586" s="16">
        <f>IF($A586="","",TEXT($A586,"mmm"))</f>
        <v/>
      </c>
      <c r="C586" s="17">
        <f>IF($A586="","",YEAR($A586))</f>
        <v/>
      </c>
      <c r="D586" s="13" t="n"/>
      <c r="E586" s="13" t="n"/>
      <c r="F586" s="18" t="n"/>
      <c r="G586" s="18" t="n"/>
      <c r="H586" s="19">
        <f>IF(AND($F586="",$G586=""),"",N($F586)-N($G586))</f>
        <v/>
      </c>
    </row>
    <row r="587">
      <c r="A587" s="15" t="n"/>
      <c r="B587" s="16">
        <f>IF($A587="","",TEXT($A587,"mmm"))</f>
        <v/>
      </c>
      <c r="C587" s="17">
        <f>IF($A587="","",YEAR($A587))</f>
        <v/>
      </c>
      <c r="D587" s="13" t="n"/>
      <c r="E587" s="13" t="n"/>
      <c r="F587" s="18" t="n"/>
      <c r="G587" s="18" t="n"/>
      <c r="H587" s="19">
        <f>IF(AND($F587="",$G587=""),"",N($F587)-N($G587))</f>
        <v/>
      </c>
    </row>
    <row r="588">
      <c r="A588" s="15" t="n"/>
      <c r="B588" s="16">
        <f>IF($A588="","",TEXT($A588,"mmm"))</f>
        <v/>
      </c>
      <c r="C588" s="17">
        <f>IF($A588="","",YEAR($A588))</f>
        <v/>
      </c>
      <c r="D588" s="13" t="n"/>
      <c r="E588" s="13" t="n"/>
      <c r="F588" s="18" t="n"/>
      <c r="G588" s="18" t="n"/>
      <c r="H588" s="19">
        <f>IF(AND($F588="",$G588=""),"",N($F588)-N($G588))</f>
        <v/>
      </c>
    </row>
    <row r="589">
      <c r="A589" s="15" t="n"/>
      <c r="B589" s="16">
        <f>IF($A589="","",TEXT($A589,"mmm"))</f>
        <v/>
      </c>
      <c r="C589" s="17">
        <f>IF($A589="","",YEAR($A589))</f>
        <v/>
      </c>
      <c r="D589" s="13" t="n"/>
      <c r="E589" s="13" t="n"/>
      <c r="F589" s="18" t="n"/>
      <c r="G589" s="18" t="n"/>
      <c r="H589" s="19">
        <f>IF(AND($F589="",$G589=""),"",N($F589)-N($G589))</f>
        <v/>
      </c>
    </row>
    <row r="590">
      <c r="A590" s="15" t="n"/>
      <c r="B590" s="16">
        <f>IF($A590="","",TEXT($A590,"mmm"))</f>
        <v/>
      </c>
      <c r="C590" s="17">
        <f>IF($A590="","",YEAR($A590))</f>
        <v/>
      </c>
      <c r="D590" s="13" t="n"/>
      <c r="E590" s="13" t="n"/>
      <c r="F590" s="18" t="n"/>
      <c r="G590" s="18" t="n"/>
      <c r="H590" s="19">
        <f>IF(AND($F590="",$G590=""),"",N($F590)-N($G590))</f>
        <v/>
      </c>
    </row>
    <row r="591">
      <c r="A591" s="15" t="n"/>
      <c r="B591" s="16">
        <f>IF($A591="","",TEXT($A591,"mmm"))</f>
        <v/>
      </c>
      <c r="C591" s="17">
        <f>IF($A591="","",YEAR($A591))</f>
        <v/>
      </c>
      <c r="D591" s="13" t="n"/>
      <c r="E591" s="13" t="n"/>
      <c r="F591" s="18" t="n"/>
      <c r="G591" s="18" t="n"/>
      <c r="H591" s="19">
        <f>IF(AND($F591="",$G591=""),"",N($F591)-N($G591))</f>
        <v/>
      </c>
    </row>
    <row r="592">
      <c r="A592" s="15" t="n"/>
      <c r="B592" s="16">
        <f>IF($A592="","",TEXT($A592,"mmm"))</f>
        <v/>
      </c>
      <c r="C592" s="17">
        <f>IF($A592="","",YEAR($A592))</f>
        <v/>
      </c>
      <c r="D592" s="13" t="n"/>
      <c r="E592" s="13" t="n"/>
      <c r="F592" s="18" t="n"/>
      <c r="G592" s="18" t="n"/>
      <c r="H592" s="19">
        <f>IF(AND($F592="",$G592=""),"",N($F592)-N($G592))</f>
        <v/>
      </c>
    </row>
    <row r="593">
      <c r="A593" s="15" t="n"/>
      <c r="B593" s="16">
        <f>IF($A593="","",TEXT($A593,"mmm"))</f>
        <v/>
      </c>
      <c r="C593" s="17">
        <f>IF($A593="","",YEAR($A593))</f>
        <v/>
      </c>
      <c r="D593" s="13" t="n"/>
      <c r="E593" s="13" t="n"/>
      <c r="F593" s="18" t="n"/>
      <c r="G593" s="18" t="n"/>
      <c r="H593" s="19">
        <f>IF(AND($F593="",$G593=""),"",N($F593)-N($G593))</f>
        <v/>
      </c>
    </row>
    <row r="594">
      <c r="A594" s="15" t="n"/>
      <c r="B594" s="16">
        <f>IF($A594="","",TEXT($A594,"mmm"))</f>
        <v/>
      </c>
      <c r="C594" s="17">
        <f>IF($A594="","",YEAR($A594))</f>
        <v/>
      </c>
      <c r="D594" s="13" t="n"/>
      <c r="E594" s="13" t="n"/>
      <c r="F594" s="18" t="n"/>
      <c r="G594" s="18" t="n"/>
      <c r="H594" s="19">
        <f>IF(AND($F594="",$G594=""),"",N($F594)-N($G594))</f>
        <v/>
      </c>
    </row>
    <row r="595">
      <c r="A595" s="15" t="n"/>
      <c r="B595" s="16">
        <f>IF($A595="","",TEXT($A595,"mmm"))</f>
        <v/>
      </c>
      <c r="C595" s="17">
        <f>IF($A595="","",YEAR($A595))</f>
        <v/>
      </c>
      <c r="D595" s="13" t="n"/>
      <c r="E595" s="13" t="n"/>
      <c r="F595" s="18" t="n"/>
      <c r="G595" s="18" t="n"/>
      <c r="H595" s="19">
        <f>IF(AND($F595="",$G595=""),"",N($F595)-N($G595))</f>
        <v/>
      </c>
    </row>
    <row r="596">
      <c r="A596" s="15" t="n"/>
      <c r="B596" s="16">
        <f>IF($A596="","",TEXT($A596,"mmm"))</f>
        <v/>
      </c>
      <c r="C596" s="17">
        <f>IF($A596="","",YEAR($A596))</f>
        <v/>
      </c>
      <c r="D596" s="13" t="n"/>
      <c r="E596" s="13" t="n"/>
      <c r="F596" s="18" t="n"/>
      <c r="G596" s="18" t="n"/>
      <c r="H596" s="19">
        <f>IF(AND($F596="",$G596=""),"",N($F596)-N($G596))</f>
        <v/>
      </c>
    </row>
    <row r="597">
      <c r="A597" s="15" t="n"/>
      <c r="B597" s="16">
        <f>IF($A597="","",TEXT($A597,"mmm"))</f>
        <v/>
      </c>
      <c r="C597" s="17">
        <f>IF($A597="","",YEAR($A597))</f>
        <v/>
      </c>
      <c r="D597" s="13" t="n"/>
      <c r="E597" s="13" t="n"/>
      <c r="F597" s="18" t="n"/>
      <c r="G597" s="18" t="n"/>
      <c r="H597" s="19">
        <f>IF(AND($F597="",$G597=""),"",N($F597)-N($G597))</f>
        <v/>
      </c>
    </row>
    <row r="598">
      <c r="A598" s="15" t="n"/>
      <c r="B598" s="16">
        <f>IF($A598="","",TEXT($A598,"mmm"))</f>
        <v/>
      </c>
      <c r="C598" s="17">
        <f>IF($A598="","",YEAR($A598))</f>
        <v/>
      </c>
      <c r="D598" s="13" t="n"/>
      <c r="E598" s="13" t="n"/>
      <c r="F598" s="18" t="n"/>
      <c r="G598" s="18" t="n"/>
      <c r="H598" s="19">
        <f>IF(AND($F598="",$G598=""),"",N($F598)-N($G598))</f>
        <v/>
      </c>
    </row>
    <row r="599">
      <c r="A599" s="15" t="n"/>
      <c r="B599" s="16">
        <f>IF($A599="","",TEXT($A599,"mmm"))</f>
        <v/>
      </c>
      <c r="C599" s="17">
        <f>IF($A599="","",YEAR($A599))</f>
        <v/>
      </c>
      <c r="D599" s="13" t="n"/>
      <c r="E599" s="13" t="n"/>
      <c r="F599" s="18" t="n"/>
      <c r="G599" s="18" t="n"/>
      <c r="H599" s="19">
        <f>IF(AND($F599="",$G599=""),"",N($F599)-N($G599))</f>
        <v/>
      </c>
    </row>
    <row r="600">
      <c r="A600" s="15" t="n"/>
      <c r="B600" s="16">
        <f>IF($A600="","",TEXT($A600,"mmm"))</f>
        <v/>
      </c>
      <c r="C600" s="17">
        <f>IF($A600="","",YEAR($A600))</f>
        <v/>
      </c>
      <c r="D600" s="13" t="n"/>
      <c r="E600" s="13" t="n"/>
      <c r="F600" s="18" t="n"/>
      <c r="G600" s="18" t="n"/>
      <c r="H600" s="19">
        <f>IF(AND($F600="",$G600=""),"",N($F600)-N($G600))</f>
        <v/>
      </c>
    </row>
    <row r="601">
      <c r="A601" s="15" t="n"/>
      <c r="B601" s="16">
        <f>IF($A601="","",TEXT($A601,"mmm"))</f>
        <v/>
      </c>
      <c r="C601" s="17">
        <f>IF($A601="","",YEAR($A601))</f>
        <v/>
      </c>
      <c r="D601" s="13" t="n"/>
      <c r="E601" s="13" t="n"/>
      <c r="F601" s="18" t="n"/>
      <c r="G601" s="18" t="n"/>
      <c r="H601" s="19">
        <f>IF(AND($F601="",$G601=""),"",N($F601)-N($G601))</f>
        <v/>
      </c>
    </row>
    <row r="602">
      <c r="A602" s="15" t="n"/>
      <c r="B602" s="16">
        <f>IF($A602="","",TEXT($A602,"mmm"))</f>
        <v/>
      </c>
      <c r="C602" s="17">
        <f>IF($A602="","",YEAR($A602))</f>
        <v/>
      </c>
      <c r="D602" s="13" t="n"/>
      <c r="E602" s="13" t="n"/>
      <c r="F602" s="18" t="n"/>
      <c r="G602" s="18" t="n"/>
      <c r="H602" s="19">
        <f>IF(AND($F602="",$G602=""),"",N($F602)-N($G602))</f>
        <v/>
      </c>
    </row>
    <row r="603">
      <c r="A603" s="15" t="n"/>
      <c r="B603" s="16">
        <f>IF($A603="","",TEXT($A603,"mmm"))</f>
        <v/>
      </c>
      <c r="C603" s="17">
        <f>IF($A603="","",YEAR($A603))</f>
        <v/>
      </c>
      <c r="D603" s="13" t="n"/>
      <c r="E603" s="13" t="n"/>
      <c r="F603" s="18" t="n"/>
      <c r="G603" s="18" t="n"/>
      <c r="H603" s="19">
        <f>IF(AND($F603="",$G603=""),"",N($F603)-N($G603))</f>
        <v/>
      </c>
    </row>
    <row r="604">
      <c r="A604" s="15" t="n"/>
      <c r="B604" s="16">
        <f>IF($A604="","",TEXT($A604,"mmm"))</f>
        <v/>
      </c>
      <c r="C604" s="17">
        <f>IF($A604="","",YEAR($A604))</f>
        <v/>
      </c>
      <c r="D604" s="13" t="n"/>
      <c r="E604" s="13" t="n"/>
      <c r="F604" s="18" t="n"/>
      <c r="G604" s="18" t="n"/>
      <c r="H604" s="19">
        <f>IF(AND($F604="",$G604=""),"",N($F604)-N($G604))</f>
        <v/>
      </c>
    </row>
    <row r="605">
      <c r="A605" s="15" t="n"/>
      <c r="B605" s="16">
        <f>IF($A605="","",TEXT($A605,"mmm"))</f>
        <v/>
      </c>
      <c r="C605" s="17">
        <f>IF($A605="","",YEAR($A605))</f>
        <v/>
      </c>
      <c r="D605" s="13" t="n"/>
      <c r="E605" s="13" t="n"/>
      <c r="F605" s="18" t="n"/>
      <c r="G605" s="18" t="n"/>
      <c r="H605" s="19">
        <f>IF(AND($F605="",$G605=""),"",N($F605)-N($G605))</f>
        <v/>
      </c>
    </row>
    <row r="606">
      <c r="A606" s="15" t="n"/>
      <c r="B606" s="16">
        <f>IF($A606="","",TEXT($A606,"mmm"))</f>
        <v/>
      </c>
      <c r="C606" s="17">
        <f>IF($A606="","",YEAR($A606))</f>
        <v/>
      </c>
      <c r="D606" s="13" t="n"/>
      <c r="E606" s="13" t="n"/>
      <c r="F606" s="18" t="n"/>
      <c r="G606" s="18" t="n"/>
      <c r="H606" s="19">
        <f>IF(AND($F606="",$G606=""),"",N($F606)-N($G606))</f>
        <v/>
      </c>
    </row>
    <row r="607">
      <c r="A607" s="15" t="n"/>
      <c r="B607" s="16">
        <f>IF($A607="","",TEXT($A607,"mmm"))</f>
        <v/>
      </c>
      <c r="C607" s="17">
        <f>IF($A607="","",YEAR($A607))</f>
        <v/>
      </c>
      <c r="D607" s="13" t="n"/>
      <c r="E607" s="13" t="n"/>
      <c r="F607" s="18" t="n"/>
      <c r="G607" s="18" t="n"/>
      <c r="H607" s="19">
        <f>IF(AND($F607="",$G607=""),"",N($F607)-N($G607))</f>
        <v/>
      </c>
    </row>
    <row r="608">
      <c r="A608" s="15" t="n"/>
      <c r="B608" s="16">
        <f>IF($A608="","",TEXT($A608,"mmm"))</f>
        <v/>
      </c>
      <c r="C608" s="17">
        <f>IF($A608="","",YEAR($A608))</f>
        <v/>
      </c>
      <c r="D608" s="13" t="n"/>
      <c r="E608" s="13" t="n"/>
      <c r="F608" s="18" t="n"/>
      <c r="G608" s="18" t="n"/>
      <c r="H608" s="19">
        <f>IF(AND($F608="",$G608=""),"",N($F608)-N($G608))</f>
        <v/>
      </c>
    </row>
    <row r="609">
      <c r="A609" s="15" t="n"/>
      <c r="B609" s="16">
        <f>IF($A609="","",TEXT($A609,"mmm"))</f>
        <v/>
      </c>
      <c r="C609" s="17">
        <f>IF($A609="","",YEAR($A609))</f>
        <v/>
      </c>
      <c r="D609" s="13" t="n"/>
      <c r="E609" s="13" t="n"/>
      <c r="F609" s="18" t="n"/>
      <c r="G609" s="18" t="n"/>
      <c r="H609" s="19">
        <f>IF(AND($F609="",$G609=""),"",N($F609)-N($G609))</f>
        <v/>
      </c>
    </row>
    <row r="610">
      <c r="A610" s="15" t="n"/>
      <c r="B610" s="16">
        <f>IF($A610="","",TEXT($A610,"mmm"))</f>
        <v/>
      </c>
      <c r="C610" s="17">
        <f>IF($A610="","",YEAR($A610))</f>
        <v/>
      </c>
      <c r="D610" s="13" t="n"/>
      <c r="E610" s="13" t="n"/>
      <c r="F610" s="18" t="n"/>
      <c r="G610" s="18" t="n"/>
      <c r="H610" s="19">
        <f>IF(AND($F610="",$G610=""),"",N($F610)-N($G610))</f>
        <v/>
      </c>
    </row>
    <row r="611">
      <c r="A611" s="15" t="n"/>
      <c r="B611" s="16">
        <f>IF($A611="","",TEXT($A611,"mmm"))</f>
        <v/>
      </c>
      <c r="C611" s="17">
        <f>IF($A611="","",YEAR($A611))</f>
        <v/>
      </c>
      <c r="D611" s="13" t="n"/>
      <c r="E611" s="13" t="n"/>
      <c r="F611" s="18" t="n"/>
      <c r="G611" s="18" t="n"/>
      <c r="H611" s="19">
        <f>IF(AND($F611="",$G611=""),"",N($F611)-N($G611))</f>
        <v/>
      </c>
    </row>
    <row r="612">
      <c r="A612" s="15" t="n"/>
      <c r="B612" s="16">
        <f>IF($A612="","",TEXT($A612,"mmm"))</f>
        <v/>
      </c>
      <c r="C612" s="17">
        <f>IF($A612="","",YEAR($A612))</f>
        <v/>
      </c>
      <c r="D612" s="13" t="n"/>
      <c r="E612" s="13" t="n"/>
      <c r="F612" s="18" t="n"/>
      <c r="G612" s="18" t="n"/>
      <c r="H612" s="19">
        <f>IF(AND($F612="",$G612=""),"",N($F612)-N($G612))</f>
        <v/>
      </c>
    </row>
    <row r="613">
      <c r="A613" s="15" t="n"/>
      <c r="B613" s="16">
        <f>IF($A613="","",TEXT($A613,"mmm"))</f>
        <v/>
      </c>
      <c r="C613" s="17">
        <f>IF($A613="","",YEAR($A613))</f>
        <v/>
      </c>
      <c r="D613" s="13" t="n"/>
      <c r="E613" s="13" t="n"/>
      <c r="F613" s="18" t="n"/>
      <c r="G613" s="18" t="n"/>
      <c r="H613" s="19">
        <f>IF(AND($F613="",$G613=""),"",N($F613)-N($G613))</f>
        <v/>
      </c>
    </row>
    <row r="614">
      <c r="A614" s="15" t="n"/>
      <c r="B614" s="16">
        <f>IF($A614="","",TEXT($A614,"mmm"))</f>
        <v/>
      </c>
      <c r="C614" s="17">
        <f>IF($A614="","",YEAR($A614))</f>
        <v/>
      </c>
      <c r="D614" s="13" t="n"/>
      <c r="E614" s="13" t="n"/>
      <c r="F614" s="18" t="n"/>
      <c r="G614" s="18" t="n"/>
      <c r="H614" s="19">
        <f>IF(AND($F614="",$G614=""),"",N($F614)-N($G614))</f>
        <v/>
      </c>
    </row>
    <row r="615">
      <c r="A615" s="15" t="n"/>
      <c r="B615" s="16">
        <f>IF($A615="","",TEXT($A615,"mmm"))</f>
        <v/>
      </c>
      <c r="C615" s="17">
        <f>IF($A615="","",YEAR($A615))</f>
        <v/>
      </c>
      <c r="D615" s="13" t="n"/>
      <c r="E615" s="13" t="n"/>
      <c r="F615" s="18" t="n"/>
      <c r="G615" s="18" t="n"/>
      <c r="H615" s="19">
        <f>IF(AND($F615="",$G615=""),"",N($F615)-N($G615))</f>
        <v/>
      </c>
    </row>
    <row r="616">
      <c r="A616" s="15" t="n"/>
      <c r="B616" s="16">
        <f>IF($A616="","",TEXT($A616,"mmm"))</f>
        <v/>
      </c>
      <c r="C616" s="17">
        <f>IF($A616="","",YEAR($A616))</f>
        <v/>
      </c>
      <c r="D616" s="13" t="n"/>
      <c r="E616" s="13" t="n"/>
      <c r="F616" s="18" t="n"/>
      <c r="G616" s="18" t="n"/>
      <c r="H616" s="19">
        <f>IF(AND($F616="",$G616=""),"",N($F616)-N($G616))</f>
        <v/>
      </c>
    </row>
    <row r="617">
      <c r="A617" s="15" t="n"/>
      <c r="B617" s="16">
        <f>IF($A617="","",TEXT($A617,"mmm"))</f>
        <v/>
      </c>
      <c r="C617" s="17">
        <f>IF($A617="","",YEAR($A617))</f>
        <v/>
      </c>
      <c r="D617" s="13" t="n"/>
      <c r="E617" s="13" t="n"/>
      <c r="F617" s="18" t="n"/>
      <c r="G617" s="18" t="n"/>
      <c r="H617" s="19">
        <f>IF(AND($F617="",$G617=""),"",N($F617)-N($G617))</f>
        <v/>
      </c>
    </row>
    <row r="618">
      <c r="A618" s="15" t="n"/>
      <c r="B618" s="16">
        <f>IF($A618="","",TEXT($A618,"mmm"))</f>
        <v/>
      </c>
      <c r="C618" s="17">
        <f>IF($A618="","",YEAR($A618))</f>
        <v/>
      </c>
      <c r="D618" s="13" t="n"/>
      <c r="E618" s="13" t="n"/>
      <c r="F618" s="18" t="n"/>
      <c r="G618" s="18" t="n"/>
      <c r="H618" s="19">
        <f>IF(AND($F618="",$G618=""),"",N($F618)-N($G618))</f>
        <v/>
      </c>
    </row>
    <row r="619">
      <c r="A619" s="15" t="n"/>
      <c r="B619" s="16">
        <f>IF($A619="","",TEXT($A619,"mmm"))</f>
        <v/>
      </c>
      <c r="C619" s="17">
        <f>IF($A619="","",YEAR($A619))</f>
        <v/>
      </c>
      <c r="D619" s="13" t="n"/>
      <c r="E619" s="13" t="n"/>
      <c r="F619" s="18" t="n"/>
      <c r="G619" s="18" t="n"/>
      <c r="H619" s="19">
        <f>IF(AND($F619="",$G619=""),"",N($F619)-N($G619))</f>
        <v/>
      </c>
    </row>
    <row r="620">
      <c r="A620" s="15" t="n"/>
      <c r="B620" s="16">
        <f>IF($A620="","",TEXT($A620,"mmm"))</f>
        <v/>
      </c>
      <c r="C620" s="17">
        <f>IF($A620="","",YEAR($A620))</f>
        <v/>
      </c>
      <c r="D620" s="13" t="n"/>
      <c r="E620" s="13" t="n"/>
      <c r="F620" s="18" t="n"/>
      <c r="G620" s="18" t="n"/>
      <c r="H620" s="19">
        <f>IF(AND($F620="",$G620=""),"",N($F620)-N($G620))</f>
        <v/>
      </c>
    </row>
    <row r="621">
      <c r="A621" s="15" t="n"/>
      <c r="B621" s="16">
        <f>IF($A621="","",TEXT($A621,"mmm"))</f>
        <v/>
      </c>
      <c r="C621" s="17">
        <f>IF($A621="","",YEAR($A621))</f>
        <v/>
      </c>
      <c r="D621" s="13" t="n"/>
      <c r="E621" s="13" t="n"/>
      <c r="F621" s="18" t="n"/>
      <c r="G621" s="18" t="n"/>
      <c r="H621" s="19">
        <f>IF(AND($F621="",$G621=""),"",N($F621)-N($G621))</f>
        <v/>
      </c>
    </row>
    <row r="622">
      <c r="A622" s="15" t="n"/>
      <c r="B622" s="16">
        <f>IF($A622="","",TEXT($A622,"mmm"))</f>
        <v/>
      </c>
      <c r="C622" s="17">
        <f>IF($A622="","",YEAR($A622))</f>
        <v/>
      </c>
      <c r="D622" s="13" t="n"/>
      <c r="E622" s="13" t="n"/>
      <c r="F622" s="18" t="n"/>
      <c r="G622" s="18" t="n"/>
      <c r="H622" s="19">
        <f>IF(AND($F622="",$G622=""),"",N($F622)-N($G622))</f>
        <v/>
      </c>
    </row>
    <row r="623">
      <c r="A623" s="15" t="n"/>
      <c r="B623" s="16">
        <f>IF($A623="","",TEXT($A623,"mmm"))</f>
        <v/>
      </c>
      <c r="C623" s="17">
        <f>IF($A623="","",YEAR($A623))</f>
        <v/>
      </c>
      <c r="D623" s="13" t="n"/>
      <c r="E623" s="13" t="n"/>
      <c r="F623" s="18" t="n"/>
      <c r="G623" s="18" t="n"/>
      <c r="H623" s="19">
        <f>IF(AND($F623="",$G623=""),"",N($F623)-N($G623))</f>
        <v/>
      </c>
    </row>
    <row r="624">
      <c r="A624" s="15" t="n"/>
      <c r="B624" s="16">
        <f>IF($A624="","",TEXT($A624,"mmm"))</f>
        <v/>
      </c>
      <c r="C624" s="17">
        <f>IF($A624="","",YEAR($A624))</f>
        <v/>
      </c>
      <c r="D624" s="13" t="n"/>
      <c r="E624" s="13" t="n"/>
      <c r="F624" s="18" t="n"/>
      <c r="G624" s="18" t="n"/>
      <c r="H624" s="19">
        <f>IF(AND($F624="",$G624=""),"",N($F624)-N($G624))</f>
        <v/>
      </c>
    </row>
    <row r="625">
      <c r="A625" s="15" t="n"/>
      <c r="B625" s="16">
        <f>IF($A625="","",TEXT($A625,"mmm"))</f>
        <v/>
      </c>
      <c r="C625" s="17">
        <f>IF($A625="","",YEAR($A625))</f>
        <v/>
      </c>
      <c r="D625" s="13" t="n"/>
      <c r="E625" s="13" t="n"/>
      <c r="F625" s="18" t="n"/>
      <c r="G625" s="18" t="n"/>
      <c r="H625" s="19">
        <f>IF(AND($F625="",$G625=""),"",N($F625)-N($G625))</f>
        <v/>
      </c>
    </row>
    <row r="626">
      <c r="A626" s="15" t="n"/>
      <c r="B626" s="16">
        <f>IF($A626="","",TEXT($A626,"mmm"))</f>
        <v/>
      </c>
      <c r="C626" s="17">
        <f>IF($A626="","",YEAR($A626))</f>
        <v/>
      </c>
      <c r="D626" s="13" t="n"/>
      <c r="E626" s="13" t="n"/>
      <c r="F626" s="18" t="n"/>
      <c r="G626" s="18" t="n"/>
      <c r="H626" s="19">
        <f>IF(AND($F626="",$G626=""),"",N($F626)-N($G626))</f>
        <v/>
      </c>
    </row>
    <row r="627">
      <c r="A627" s="15" t="n"/>
      <c r="B627" s="16">
        <f>IF($A627="","",TEXT($A627,"mmm"))</f>
        <v/>
      </c>
      <c r="C627" s="17">
        <f>IF($A627="","",YEAR($A627))</f>
        <v/>
      </c>
      <c r="D627" s="13" t="n"/>
      <c r="E627" s="13" t="n"/>
      <c r="F627" s="18" t="n"/>
      <c r="G627" s="18" t="n"/>
      <c r="H627" s="19">
        <f>IF(AND($F627="",$G627=""),"",N($F627)-N($G627))</f>
        <v/>
      </c>
    </row>
    <row r="628">
      <c r="A628" s="15" t="n"/>
      <c r="B628" s="16">
        <f>IF($A628="","",TEXT($A628,"mmm"))</f>
        <v/>
      </c>
      <c r="C628" s="17">
        <f>IF($A628="","",YEAR($A628))</f>
        <v/>
      </c>
      <c r="D628" s="13" t="n"/>
      <c r="E628" s="13" t="n"/>
      <c r="F628" s="18" t="n"/>
      <c r="G628" s="18" t="n"/>
      <c r="H628" s="19">
        <f>IF(AND($F628="",$G628=""),"",N($F628)-N($G628))</f>
        <v/>
      </c>
    </row>
    <row r="629">
      <c r="A629" s="15" t="n"/>
      <c r="B629" s="16">
        <f>IF($A629="","",TEXT($A629,"mmm"))</f>
        <v/>
      </c>
      <c r="C629" s="17">
        <f>IF($A629="","",YEAR($A629))</f>
        <v/>
      </c>
      <c r="D629" s="13" t="n"/>
      <c r="E629" s="13" t="n"/>
      <c r="F629" s="18" t="n"/>
      <c r="G629" s="18" t="n"/>
      <c r="H629" s="19">
        <f>IF(AND($F629="",$G629=""),"",N($F629)-N($G629))</f>
        <v/>
      </c>
    </row>
    <row r="630">
      <c r="A630" s="15" t="n"/>
      <c r="B630" s="16">
        <f>IF($A630="","",TEXT($A630,"mmm"))</f>
        <v/>
      </c>
      <c r="C630" s="17">
        <f>IF($A630="","",YEAR($A630))</f>
        <v/>
      </c>
      <c r="D630" s="13" t="n"/>
      <c r="E630" s="13" t="n"/>
      <c r="F630" s="18" t="n"/>
      <c r="G630" s="18" t="n"/>
      <c r="H630" s="19">
        <f>IF(AND($F630="",$G630=""),"",N($F630)-N($G630))</f>
        <v/>
      </c>
    </row>
    <row r="631">
      <c r="A631" s="15" t="n"/>
      <c r="B631" s="16">
        <f>IF($A631="","",TEXT($A631,"mmm"))</f>
        <v/>
      </c>
      <c r="C631" s="17">
        <f>IF($A631="","",YEAR($A631))</f>
        <v/>
      </c>
      <c r="D631" s="13" t="n"/>
      <c r="E631" s="13" t="n"/>
      <c r="F631" s="18" t="n"/>
      <c r="G631" s="18" t="n"/>
      <c r="H631" s="19">
        <f>IF(AND($F631="",$G631=""),"",N($F631)-N($G631))</f>
        <v/>
      </c>
    </row>
    <row r="632">
      <c r="A632" s="15" t="n"/>
      <c r="B632" s="16">
        <f>IF($A632="","",TEXT($A632,"mmm"))</f>
        <v/>
      </c>
      <c r="C632" s="17">
        <f>IF($A632="","",YEAR($A632))</f>
        <v/>
      </c>
      <c r="D632" s="13" t="n"/>
      <c r="E632" s="13" t="n"/>
      <c r="F632" s="18" t="n"/>
      <c r="G632" s="18" t="n"/>
      <c r="H632" s="19">
        <f>IF(AND($F632="",$G632=""),"",N($F632)-N($G632))</f>
        <v/>
      </c>
    </row>
    <row r="633">
      <c r="A633" s="15" t="n"/>
      <c r="B633" s="16">
        <f>IF($A633="","",TEXT($A633,"mmm"))</f>
        <v/>
      </c>
      <c r="C633" s="17">
        <f>IF($A633="","",YEAR($A633))</f>
        <v/>
      </c>
      <c r="D633" s="13" t="n"/>
      <c r="E633" s="13" t="n"/>
      <c r="F633" s="18" t="n"/>
      <c r="G633" s="18" t="n"/>
      <c r="H633" s="19">
        <f>IF(AND($F633="",$G633=""),"",N($F633)-N($G633))</f>
        <v/>
      </c>
    </row>
    <row r="634">
      <c r="A634" s="15" t="n"/>
      <c r="B634" s="16">
        <f>IF($A634="","",TEXT($A634,"mmm"))</f>
        <v/>
      </c>
      <c r="C634" s="17">
        <f>IF($A634="","",YEAR($A634))</f>
        <v/>
      </c>
      <c r="D634" s="13" t="n"/>
      <c r="E634" s="13" t="n"/>
      <c r="F634" s="18" t="n"/>
      <c r="G634" s="18" t="n"/>
      <c r="H634" s="19">
        <f>IF(AND($F634="",$G634=""),"",N($F634)-N($G634))</f>
        <v/>
      </c>
    </row>
    <row r="635">
      <c r="A635" s="15" t="n"/>
      <c r="B635" s="16">
        <f>IF($A635="","",TEXT($A635,"mmm"))</f>
        <v/>
      </c>
      <c r="C635" s="17">
        <f>IF($A635="","",YEAR($A635))</f>
        <v/>
      </c>
      <c r="D635" s="13" t="n"/>
      <c r="E635" s="13" t="n"/>
      <c r="F635" s="18" t="n"/>
      <c r="G635" s="18" t="n"/>
      <c r="H635" s="19">
        <f>IF(AND($F635="",$G635=""),"",N($F635)-N($G635))</f>
        <v/>
      </c>
    </row>
    <row r="636">
      <c r="A636" s="15" t="n"/>
      <c r="B636" s="16">
        <f>IF($A636="","",TEXT($A636,"mmm"))</f>
        <v/>
      </c>
      <c r="C636" s="17">
        <f>IF($A636="","",YEAR($A636))</f>
        <v/>
      </c>
      <c r="D636" s="13" t="n"/>
      <c r="E636" s="13" t="n"/>
      <c r="F636" s="18" t="n"/>
      <c r="G636" s="18" t="n"/>
      <c r="H636" s="19">
        <f>IF(AND($F636="",$G636=""),"",N($F636)-N($G636))</f>
        <v/>
      </c>
    </row>
    <row r="637">
      <c r="A637" s="15" t="n"/>
      <c r="B637" s="16">
        <f>IF($A637="","",TEXT($A637,"mmm"))</f>
        <v/>
      </c>
      <c r="C637" s="17">
        <f>IF($A637="","",YEAR($A637))</f>
        <v/>
      </c>
      <c r="D637" s="13" t="n"/>
      <c r="E637" s="13" t="n"/>
      <c r="F637" s="18" t="n"/>
      <c r="G637" s="18" t="n"/>
      <c r="H637" s="19">
        <f>IF(AND($F637="",$G637=""),"",N($F637)-N($G637))</f>
        <v/>
      </c>
    </row>
    <row r="638">
      <c r="A638" s="15" t="n"/>
      <c r="B638" s="16">
        <f>IF($A638="","",TEXT($A638,"mmm"))</f>
        <v/>
      </c>
      <c r="C638" s="17">
        <f>IF($A638="","",YEAR($A638))</f>
        <v/>
      </c>
      <c r="D638" s="13" t="n"/>
      <c r="E638" s="13" t="n"/>
      <c r="F638" s="18" t="n"/>
      <c r="G638" s="18" t="n"/>
      <c r="H638" s="19">
        <f>IF(AND($F638="",$G638=""),"",N($F638)-N($G638))</f>
        <v/>
      </c>
    </row>
    <row r="639">
      <c r="A639" s="15" t="n"/>
      <c r="B639" s="16">
        <f>IF($A639="","",TEXT($A639,"mmm"))</f>
        <v/>
      </c>
      <c r="C639" s="17">
        <f>IF($A639="","",YEAR($A639))</f>
        <v/>
      </c>
      <c r="D639" s="13" t="n"/>
      <c r="E639" s="13" t="n"/>
      <c r="F639" s="18" t="n"/>
      <c r="G639" s="18" t="n"/>
      <c r="H639" s="19">
        <f>IF(AND($F639="",$G639=""),"",N($F639)-N($G639))</f>
        <v/>
      </c>
    </row>
    <row r="640">
      <c r="A640" s="15" t="n"/>
      <c r="B640" s="16">
        <f>IF($A640="","",TEXT($A640,"mmm"))</f>
        <v/>
      </c>
      <c r="C640" s="17">
        <f>IF($A640="","",YEAR($A640))</f>
        <v/>
      </c>
      <c r="D640" s="13" t="n"/>
      <c r="E640" s="13" t="n"/>
      <c r="F640" s="18" t="n"/>
      <c r="G640" s="18" t="n"/>
      <c r="H640" s="19">
        <f>IF(AND($F640="",$G640=""),"",N($F640)-N($G640))</f>
        <v/>
      </c>
    </row>
    <row r="641">
      <c r="A641" s="15" t="n"/>
      <c r="B641" s="16">
        <f>IF($A641="","",TEXT($A641,"mmm"))</f>
        <v/>
      </c>
      <c r="C641" s="17">
        <f>IF($A641="","",YEAR($A641))</f>
        <v/>
      </c>
      <c r="D641" s="13" t="n"/>
      <c r="E641" s="13" t="n"/>
      <c r="F641" s="18" t="n"/>
      <c r="G641" s="18" t="n"/>
      <c r="H641" s="19">
        <f>IF(AND($F641="",$G641=""),"",N($F641)-N($G641))</f>
        <v/>
      </c>
    </row>
    <row r="642">
      <c r="A642" s="15" t="n"/>
      <c r="B642" s="16">
        <f>IF($A642="","",TEXT($A642,"mmm"))</f>
        <v/>
      </c>
      <c r="C642" s="17">
        <f>IF($A642="","",YEAR($A642))</f>
        <v/>
      </c>
      <c r="D642" s="13" t="n"/>
      <c r="E642" s="13" t="n"/>
      <c r="F642" s="18" t="n"/>
      <c r="G642" s="18" t="n"/>
      <c r="H642" s="19">
        <f>IF(AND($F642="",$G642=""),"",N($F642)-N($G642))</f>
        <v/>
      </c>
    </row>
    <row r="643">
      <c r="A643" s="15" t="n"/>
      <c r="B643" s="16">
        <f>IF($A643="","",TEXT($A643,"mmm"))</f>
        <v/>
      </c>
      <c r="C643" s="17">
        <f>IF($A643="","",YEAR($A643))</f>
        <v/>
      </c>
      <c r="D643" s="13" t="n"/>
      <c r="E643" s="13" t="n"/>
      <c r="F643" s="18" t="n"/>
      <c r="G643" s="18" t="n"/>
      <c r="H643" s="19">
        <f>IF(AND($F643="",$G643=""),"",N($F643)-N($G643))</f>
        <v/>
      </c>
    </row>
    <row r="644">
      <c r="A644" s="15" t="n"/>
      <c r="B644" s="16">
        <f>IF($A644="","",TEXT($A644,"mmm"))</f>
        <v/>
      </c>
      <c r="C644" s="17">
        <f>IF($A644="","",YEAR($A644))</f>
        <v/>
      </c>
      <c r="D644" s="13" t="n"/>
      <c r="E644" s="13" t="n"/>
      <c r="F644" s="18" t="n"/>
      <c r="G644" s="18" t="n"/>
      <c r="H644" s="19">
        <f>IF(AND($F644="",$G644=""),"",N($F644)-N($G644))</f>
        <v/>
      </c>
    </row>
    <row r="645">
      <c r="A645" s="15" t="n"/>
      <c r="B645" s="16">
        <f>IF($A645="","",TEXT($A645,"mmm"))</f>
        <v/>
      </c>
      <c r="C645" s="17">
        <f>IF($A645="","",YEAR($A645))</f>
        <v/>
      </c>
      <c r="D645" s="13" t="n"/>
      <c r="E645" s="13" t="n"/>
      <c r="F645" s="18" t="n"/>
      <c r="G645" s="18" t="n"/>
      <c r="H645" s="19">
        <f>IF(AND($F645="",$G645=""),"",N($F645)-N($G645))</f>
        <v/>
      </c>
    </row>
    <row r="646">
      <c r="A646" s="15" t="n"/>
      <c r="B646" s="16">
        <f>IF($A646="","",TEXT($A646,"mmm"))</f>
        <v/>
      </c>
      <c r="C646" s="17">
        <f>IF($A646="","",YEAR($A646))</f>
        <v/>
      </c>
      <c r="D646" s="13" t="n"/>
      <c r="E646" s="13" t="n"/>
      <c r="F646" s="18" t="n"/>
      <c r="G646" s="18" t="n"/>
      <c r="H646" s="19">
        <f>IF(AND($F646="",$G646=""),"",N($F646)-N($G646))</f>
        <v/>
      </c>
    </row>
    <row r="647">
      <c r="A647" s="15" t="n"/>
      <c r="B647" s="16">
        <f>IF($A647="","",TEXT($A647,"mmm"))</f>
        <v/>
      </c>
      <c r="C647" s="17">
        <f>IF($A647="","",YEAR($A647))</f>
        <v/>
      </c>
      <c r="D647" s="13" t="n"/>
      <c r="E647" s="13" t="n"/>
      <c r="F647" s="18" t="n"/>
      <c r="G647" s="18" t="n"/>
      <c r="H647" s="19">
        <f>IF(AND($F647="",$G647=""),"",N($F647)-N($G647))</f>
        <v/>
      </c>
    </row>
    <row r="648">
      <c r="A648" s="15" t="n"/>
      <c r="B648" s="16">
        <f>IF($A648="","",TEXT($A648,"mmm"))</f>
        <v/>
      </c>
      <c r="C648" s="17">
        <f>IF($A648="","",YEAR($A648))</f>
        <v/>
      </c>
      <c r="D648" s="13" t="n"/>
      <c r="E648" s="13" t="n"/>
      <c r="F648" s="18" t="n"/>
      <c r="G648" s="18" t="n"/>
      <c r="H648" s="19">
        <f>IF(AND($F648="",$G648=""),"",N($F648)-N($G648))</f>
        <v/>
      </c>
    </row>
    <row r="649">
      <c r="A649" s="15" t="n"/>
      <c r="B649" s="16">
        <f>IF($A649="","",TEXT($A649,"mmm"))</f>
        <v/>
      </c>
      <c r="C649" s="17">
        <f>IF($A649="","",YEAR($A649))</f>
        <v/>
      </c>
      <c r="D649" s="13" t="n"/>
      <c r="E649" s="13" t="n"/>
      <c r="F649" s="18" t="n"/>
      <c r="G649" s="18" t="n"/>
      <c r="H649" s="19">
        <f>IF(AND($F649="",$G649=""),"",N($F649)-N($G649))</f>
        <v/>
      </c>
    </row>
    <row r="650">
      <c r="A650" s="15" t="n"/>
      <c r="B650" s="16">
        <f>IF($A650="","",TEXT($A650,"mmm"))</f>
        <v/>
      </c>
      <c r="C650" s="17">
        <f>IF($A650="","",YEAR($A650))</f>
        <v/>
      </c>
      <c r="D650" s="13" t="n"/>
      <c r="E650" s="13" t="n"/>
      <c r="F650" s="18" t="n"/>
      <c r="G650" s="18" t="n"/>
      <c r="H650" s="19">
        <f>IF(AND($F650="",$G650=""),"",N($F650)-N($G650))</f>
        <v/>
      </c>
    </row>
    <row r="651">
      <c r="A651" s="15" t="n"/>
      <c r="B651" s="16">
        <f>IF($A651="","",TEXT($A651,"mmm"))</f>
        <v/>
      </c>
      <c r="C651" s="17">
        <f>IF($A651="","",YEAR($A651))</f>
        <v/>
      </c>
      <c r="D651" s="13" t="n"/>
      <c r="E651" s="13" t="n"/>
      <c r="F651" s="18" t="n"/>
      <c r="G651" s="18" t="n"/>
      <c r="H651" s="19">
        <f>IF(AND($F651="",$G651=""),"",N($F651)-N($G651))</f>
        <v/>
      </c>
    </row>
    <row r="652">
      <c r="A652" s="15" t="n"/>
      <c r="B652" s="16">
        <f>IF($A652="","",TEXT($A652,"mmm"))</f>
        <v/>
      </c>
      <c r="C652" s="17">
        <f>IF($A652="","",YEAR($A652))</f>
        <v/>
      </c>
      <c r="D652" s="13" t="n"/>
      <c r="E652" s="13" t="n"/>
      <c r="F652" s="18" t="n"/>
      <c r="G652" s="18" t="n"/>
      <c r="H652" s="19">
        <f>IF(AND($F652="",$G652=""),"",N($F652)-N($G652))</f>
        <v/>
      </c>
    </row>
    <row r="653">
      <c r="A653" s="15" t="n"/>
      <c r="B653" s="16">
        <f>IF($A653="","",TEXT($A653,"mmm"))</f>
        <v/>
      </c>
      <c r="C653" s="17">
        <f>IF($A653="","",YEAR($A653))</f>
        <v/>
      </c>
      <c r="D653" s="13" t="n"/>
      <c r="E653" s="13" t="n"/>
      <c r="F653" s="18" t="n"/>
      <c r="G653" s="18" t="n"/>
      <c r="H653" s="19">
        <f>IF(AND($F653="",$G653=""),"",N($F653)-N($G653))</f>
        <v/>
      </c>
    </row>
    <row r="654">
      <c r="A654" s="15" t="n"/>
      <c r="B654" s="16">
        <f>IF($A654="","",TEXT($A654,"mmm"))</f>
        <v/>
      </c>
      <c r="C654" s="17">
        <f>IF($A654="","",YEAR($A654))</f>
        <v/>
      </c>
      <c r="D654" s="13" t="n"/>
      <c r="E654" s="13" t="n"/>
      <c r="F654" s="18" t="n"/>
      <c r="G654" s="18" t="n"/>
      <c r="H654" s="19">
        <f>IF(AND($F654="",$G654=""),"",N($F654)-N($G654))</f>
        <v/>
      </c>
    </row>
    <row r="655">
      <c r="A655" s="15" t="n"/>
      <c r="B655" s="16">
        <f>IF($A655="","",TEXT($A655,"mmm"))</f>
        <v/>
      </c>
      <c r="C655" s="17">
        <f>IF($A655="","",YEAR($A655))</f>
        <v/>
      </c>
      <c r="D655" s="13" t="n"/>
      <c r="E655" s="13" t="n"/>
      <c r="F655" s="18" t="n"/>
      <c r="G655" s="18" t="n"/>
      <c r="H655" s="19">
        <f>IF(AND($F655="",$G655=""),"",N($F655)-N($G655))</f>
        <v/>
      </c>
    </row>
    <row r="656">
      <c r="A656" s="15" t="n"/>
      <c r="B656" s="16">
        <f>IF($A656="","",TEXT($A656,"mmm"))</f>
        <v/>
      </c>
      <c r="C656" s="17">
        <f>IF($A656="","",YEAR($A656))</f>
        <v/>
      </c>
      <c r="D656" s="13" t="n"/>
      <c r="E656" s="13" t="n"/>
      <c r="F656" s="18" t="n"/>
      <c r="G656" s="18" t="n"/>
      <c r="H656" s="19">
        <f>IF(AND($F656="",$G656=""),"",N($F656)-N($G656))</f>
        <v/>
      </c>
    </row>
    <row r="657">
      <c r="A657" s="15" t="n"/>
      <c r="B657" s="16">
        <f>IF($A657="","",TEXT($A657,"mmm"))</f>
        <v/>
      </c>
      <c r="C657" s="17">
        <f>IF($A657="","",YEAR($A657))</f>
        <v/>
      </c>
      <c r="D657" s="13" t="n"/>
      <c r="E657" s="13" t="n"/>
      <c r="F657" s="18" t="n"/>
      <c r="G657" s="18" t="n"/>
      <c r="H657" s="19">
        <f>IF(AND($F657="",$G657=""),"",N($F657)-N($G657))</f>
        <v/>
      </c>
    </row>
    <row r="658">
      <c r="A658" s="15" t="n"/>
      <c r="B658" s="16">
        <f>IF($A658="","",TEXT($A658,"mmm"))</f>
        <v/>
      </c>
      <c r="C658" s="17">
        <f>IF($A658="","",YEAR($A658))</f>
        <v/>
      </c>
      <c r="D658" s="13" t="n"/>
      <c r="E658" s="13" t="n"/>
      <c r="F658" s="18" t="n"/>
      <c r="G658" s="18" t="n"/>
      <c r="H658" s="19">
        <f>IF(AND($F658="",$G658=""),"",N($F658)-N($G658))</f>
        <v/>
      </c>
    </row>
    <row r="659">
      <c r="A659" s="15" t="n"/>
      <c r="B659" s="16">
        <f>IF($A659="","",TEXT($A659,"mmm"))</f>
        <v/>
      </c>
      <c r="C659" s="17">
        <f>IF($A659="","",YEAR($A659))</f>
        <v/>
      </c>
      <c r="D659" s="13" t="n"/>
      <c r="E659" s="13" t="n"/>
      <c r="F659" s="18" t="n"/>
      <c r="G659" s="18" t="n"/>
      <c r="H659" s="19">
        <f>IF(AND($F659="",$G659=""),"",N($F659)-N($G659))</f>
        <v/>
      </c>
    </row>
    <row r="660">
      <c r="A660" s="15" t="n"/>
      <c r="B660" s="16">
        <f>IF($A660="","",TEXT($A660,"mmm"))</f>
        <v/>
      </c>
      <c r="C660" s="17">
        <f>IF($A660="","",YEAR($A660))</f>
        <v/>
      </c>
      <c r="D660" s="13" t="n"/>
      <c r="E660" s="13" t="n"/>
      <c r="F660" s="18" t="n"/>
      <c r="G660" s="18" t="n"/>
      <c r="H660" s="19">
        <f>IF(AND($F660="",$G660=""),"",N($F660)-N($G660))</f>
        <v/>
      </c>
    </row>
    <row r="661">
      <c r="A661" s="15" t="n"/>
      <c r="B661" s="16">
        <f>IF($A661="","",TEXT($A661,"mmm"))</f>
        <v/>
      </c>
      <c r="C661" s="17">
        <f>IF($A661="","",YEAR($A661))</f>
        <v/>
      </c>
      <c r="D661" s="13" t="n"/>
      <c r="E661" s="13" t="n"/>
      <c r="F661" s="18" t="n"/>
      <c r="G661" s="18" t="n"/>
      <c r="H661" s="19">
        <f>IF(AND($F661="",$G661=""),"",N($F661)-N($G661))</f>
        <v/>
      </c>
    </row>
    <row r="662">
      <c r="A662" s="15" t="n"/>
      <c r="B662" s="16">
        <f>IF($A662="","",TEXT($A662,"mmm"))</f>
        <v/>
      </c>
      <c r="C662" s="17">
        <f>IF($A662="","",YEAR($A662))</f>
        <v/>
      </c>
      <c r="D662" s="13" t="n"/>
      <c r="E662" s="13" t="n"/>
      <c r="F662" s="18" t="n"/>
      <c r="G662" s="18" t="n"/>
      <c r="H662" s="19">
        <f>IF(AND($F662="",$G662=""),"",N($F662)-N($G662))</f>
        <v/>
      </c>
    </row>
    <row r="663">
      <c r="A663" s="15" t="n"/>
      <c r="B663" s="16">
        <f>IF($A663="","",TEXT($A663,"mmm"))</f>
        <v/>
      </c>
      <c r="C663" s="17">
        <f>IF($A663="","",YEAR($A663))</f>
        <v/>
      </c>
      <c r="D663" s="13" t="n"/>
      <c r="E663" s="13" t="n"/>
      <c r="F663" s="18" t="n"/>
      <c r="G663" s="18" t="n"/>
      <c r="H663" s="19">
        <f>IF(AND($F663="",$G663=""),"",N($F663)-N($G663))</f>
        <v/>
      </c>
    </row>
    <row r="664">
      <c r="A664" s="15" t="n"/>
      <c r="B664" s="16">
        <f>IF($A664="","",TEXT($A664,"mmm"))</f>
        <v/>
      </c>
      <c r="C664" s="17">
        <f>IF($A664="","",YEAR($A664))</f>
        <v/>
      </c>
      <c r="D664" s="13" t="n"/>
      <c r="E664" s="13" t="n"/>
      <c r="F664" s="18" t="n"/>
      <c r="G664" s="18" t="n"/>
      <c r="H664" s="19">
        <f>IF(AND($F664="",$G664=""),"",N($F664)-N($G664))</f>
        <v/>
      </c>
    </row>
    <row r="665">
      <c r="A665" s="15" t="n"/>
      <c r="B665" s="16">
        <f>IF($A665="","",TEXT($A665,"mmm"))</f>
        <v/>
      </c>
      <c r="C665" s="17">
        <f>IF($A665="","",YEAR($A665))</f>
        <v/>
      </c>
      <c r="D665" s="13" t="n"/>
      <c r="E665" s="13" t="n"/>
      <c r="F665" s="18" t="n"/>
      <c r="G665" s="18" t="n"/>
      <c r="H665" s="19">
        <f>IF(AND($F665="",$G665=""),"",N($F665)-N($G665))</f>
        <v/>
      </c>
    </row>
    <row r="666">
      <c r="A666" s="15" t="n"/>
      <c r="B666" s="16">
        <f>IF($A666="","",TEXT($A666,"mmm"))</f>
        <v/>
      </c>
      <c r="C666" s="17">
        <f>IF($A666="","",YEAR($A666))</f>
        <v/>
      </c>
      <c r="D666" s="13" t="n"/>
      <c r="E666" s="13" t="n"/>
      <c r="F666" s="18" t="n"/>
      <c r="G666" s="18" t="n"/>
      <c r="H666" s="19">
        <f>IF(AND($F666="",$G666=""),"",N($F666)-N($G666))</f>
        <v/>
      </c>
    </row>
    <row r="667">
      <c r="A667" s="15" t="n"/>
      <c r="B667" s="16">
        <f>IF($A667="","",TEXT($A667,"mmm"))</f>
        <v/>
      </c>
      <c r="C667" s="17">
        <f>IF($A667="","",YEAR($A667))</f>
        <v/>
      </c>
      <c r="D667" s="13" t="n"/>
      <c r="E667" s="13" t="n"/>
      <c r="F667" s="18" t="n"/>
      <c r="G667" s="18" t="n"/>
      <c r="H667" s="19">
        <f>IF(AND($F667="",$G667=""),"",N($F667)-N($G667))</f>
        <v/>
      </c>
    </row>
    <row r="668">
      <c r="A668" s="15" t="n"/>
      <c r="B668" s="16">
        <f>IF($A668="","",TEXT($A668,"mmm"))</f>
        <v/>
      </c>
      <c r="C668" s="17">
        <f>IF($A668="","",YEAR($A668))</f>
        <v/>
      </c>
      <c r="D668" s="13" t="n"/>
      <c r="E668" s="13" t="n"/>
      <c r="F668" s="18" t="n"/>
      <c r="G668" s="18" t="n"/>
      <c r="H668" s="19">
        <f>IF(AND($F668="",$G668=""),"",N($F668)-N($G668))</f>
        <v/>
      </c>
    </row>
    <row r="669">
      <c r="A669" s="15" t="n"/>
      <c r="B669" s="16">
        <f>IF($A669="","",TEXT($A669,"mmm"))</f>
        <v/>
      </c>
      <c r="C669" s="17">
        <f>IF($A669="","",YEAR($A669))</f>
        <v/>
      </c>
      <c r="D669" s="13" t="n"/>
      <c r="E669" s="13" t="n"/>
      <c r="F669" s="18" t="n"/>
      <c r="G669" s="18" t="n"/>
      <c r="H669" s="19">
        <f>IF(AND($F669="",$G669=""),"",N($F669)-N($G669))</f>
        <v/>
      </c>
    </row>
    <row r="670">
      <c r="A670" s="15" t="n"/>
      <c r="B670" s="16">
        <f>IF($A670="","",TEXT($A670,"mmm"))</f>
        <v/>
      </c>
      <c r="C670" s="17">
        <f>IF($A670="","",YEAR($A670))</f>
        <v/>
      </c>
      <c r="D670" s="13" t="n"/>
      <c r="E670" s="13" t="n"/>
      <c r="F670" s="18" t="n"/>
      <c r="G670" s="18" t="n"/>
      <c r="H670" s="19">
        <f>IF(AND($F670="",$G670=""),"",N($F670)-N($G670))</f>
        <v/>
      </c>
    </row>
    <row r="671">
      <c r="A671" s="15" t="n"/>
      <c r="B671" s="16">
        <f>IF($A671="","",TEXT($A671,"mmm"))</f>
        <v/>
      </c>
      <c r="C671" s="17">
        <f>IF($A671="","",YEAR($A671))</f>
        <v/>
      </c>
      <c r="D671" s="13" t="n"/>
      <c r="E671" s="13" t="n"/>
      <c r="F671" s="18" t="n"/>
      <c r="G671" s="18" t="n"/>
      <c r="H671" s="19">
        <f>IF(AND($F671="",$G671=""),"",N($F671)-N($G671))</f>
        <v/>
      </c>
    </row>
    <row r="672">
      <c r="A672" s="15" t="n"/>
      <c r="B672" s="16">
        <f>IF($A672="","",TEXT($A672,"mmm"))</f>
        <v/>
      </c>
      <c r="C672" s="17">
        <f>IF($A672="","",YEAR($A672))</f>
        <v/>
      </c>
      <c r="D672" s="13" t="n"/>
      <c r="E672" s="13" t="n"/>
      <c r="F672" s="18" t="n"/>
      <c r="G672" s="18" t="n"/>
      <c r="H672" s="19">
        <f>IF(AND($F672="",$G672=""),"",N($F672)-N($G672))</f>
        <v/>
      </c>
    </row>
    <row r="673">
      <c r="A673" s="15" t="n"/>
      <c r="B673" s="16">
        <f>IF($A673="","",TEXT($A673,"mmm"))</f>
        <v/>
      </c>
      <c r="C673" s="17">
        <f>IF($A673="","",YEAR($A673))</f>
        <v/>
      </c>
      <c r="D673" s="13" t="n"/>
      <c r="E673" s="13" t="n"/>
      <c r="F673" s="18" t="n"/>
      <c r="G673" s="18" t="n"/>
      <c r="H673" s="19">
        <f>IF(AND($F673="",$G673=""),"",N($F673)-N($G673))</f>
        <v/>
      </c>
    </row>
    <row r="674">
      <c r="A674" s="15" t="n"/>
      <c r="B674" s="16">
        <f>IF($A674="","",TEXT($A674,"mmm"))</f>
        <v/>
      </c>
      <c r="C674" s="17">
        <f>IF($A674="","",YEAR($A674))</f>
        <v/>
      </c>
      <c r="D674" s="13" t="n"/>
      <c r="E674" s="13" t="n"/>
      <c r="F674" s="18" t="n"/>
      <c r="G674" s="18" t="n"/>
      <c r="H674" s="19">
        <f>IF(AND($F674="",$G674=""),"",N($F674)-N($G674))</f>
        <v/>
      </c>
    </row>
    <row r="675">
      <c r="A675" s="15" t="n"/>
      <c r="B675" s="16">
        <f>IF($A675="","",TEXT($A675,"mmm"))</f>
        <v/>
      </c>
      <c r="C675" s="17">
        <f>IF($A675="","",YEAR($A675))</f>
        <v/>
      </c>
      <c r="D675" s="13" t="n"/>
      <c r="E675" s="13" t="n"/>
      <c r="F675" s="18" t="n"/>
      <c r="G675" s="18" t="n"/>
      <c r="H675" s="19">
        <f>IF(AND($F675="",$G675=""),"",N($F675)-N($G675))</f>
        <v/>
      </c>
    </row>
    <row r="676">
      <c r="A676" s="15" t="n"/>
      <c r="B676" s="16">
        <f>IF($A676="","",TEXT($A676,"mmm"))</f>
        <v/>
      </c>
      <c r="C676" s="17">
        <f>IF($A676="","",YEAR($A676))</f>
        <v/>
      </c>
      <c r="D676" s="13" t="n"/>
      <c r="E676" s="13" t="n"/>
      <c r="F676" s="18" t="n"/>
      <c r="G676" s="18" t="n"/>
      <c r="H676" s="19">
        <f>IF(AND($F676="",$G676=""),"",N($F676)-N($G676))</f>
        <v/>
      </c>
    </row>
    <row r="677">
      <c r="A677" s="15" t="n"/>
      <c r="B677" s="16">
        <f>IF($A677="","",TEXT($A677,"mmm"))</f>
        <v/>
      </c>
      <c r="C677" s="17">
        <f>IF($A677="","",YEAR($A677))</f>
        <v/>
      </c>
      <c r="D677" s="13" t="n"/>
      <c r="E677" s="13" t="n"/>
      <c r="F677" s="18" t="n"/>
      <c r="G677" s="18" t="n"/>
      <c r="H677" s="19">
        <f>IF(AND($F677="",$G677=""),"",N($F677)-N($G677))</f>
        <v/>
      </c>
    </row>
    <row r="678">
      <c r="A678" s="15" t="n"/>
      <c r="B678" s="16">
        <f>IF($A678="","",TEXT($A678,"mmm"))</f>
        <v/>
      </c>
      <c r="C678" s="17">
        <f>IF($A678="","",YEAR($A678))</f>
        <v/>
      </c>
      <c r="D678" s="13" t="n"/>
      <c r="E678" s="13" t="n"/>
      <c r="F678" s="18" t="n"/>
      <c r="G678" s="18" t="n"/>
      <c r="H678" s="19">
        <f>IF(AND($F678="",$G678=""),"",N($F678)-N($G678))</f>
        <v/>
      </c>
    </row>
    <row r="679">
      <c r="A679" s="15" t="n"/>
      <c r="B679" s="16">
        <f>IF($A679="","",TEXT($A679,"mmm"))</f>
        <v/>
      </c>
      <c r="C679" s="17">
        <f>IF($A679="","",YEAR($A679))</f>
        <v/>
      </c>
      <c r="D679" s="13" t="n"/>
      <c r="E679" s="13" t="n"/>
      <c r="F679" s="18" t="n"/>
      <c r="G679" s="18" t="n"/>
      <c r="H679" s="19">
        <f>IF(AND($F679="",$G679=""),"",N($F679)-N($G679))</f>
        <v/>
      </c>
    </row>
    <row r="680">
      <c r="A680" s="15" t="n"/>
      <c r="B680" s="16">
        <f>IF($A680="","",TEXT($A680,"mmm"))</f>
        <v/>
      </c>
      <c r="C680" s="17">
        <f>IF($A680="","",YEAR($A680))</f>
        <v/>
      </c>
      <c r="D680" s="13" t="n"/>
      <c r="E680" s="13" t="n"/>
      <c r="F680" s="18" t="n"/>
      <c r="G680" s="18" t="n"/>
      <c r="H680" s="19">
        <f>IF(AND($F680="",$G680=""),"",N($F680)-N($G680))</f>
        <v/>
      </c>
    </row>
    <row r="681">
      <c r="A681" s="15" t="n"/>
      <c r="B681" s="16">
        <f>IF($A681="","",TEXT($A681,"mmm"))</f>
        <v/>
      </c>
      <c r="C681" s="17">
        <f>IF($A681="","",YEAR($A681))</f>
        <v/>
      </c>
      <c r="D681" s="13" t="n"/>
      <c r="E681" s="13" t="n"/>
      <c r="F681" s="18" t="n"/>
      <c r="G681" s="18" t="n"/>
      <c r="H681" s="19">
        <f>IF(AND($F681="",$G681=""),"",N($F681)-N($G681))</f>
        <v/>
      </c>
    </row>
    <row r="682">
      <c r="A682" s="15" t="n"/>
      <c r="B682" s="16">
        <f>IF($A682="","",TEXT($A682,"mmm"))</f>
        <v/>
      </c>
      <c r="C682" s="17">
        <f>IF($A682="","",YEAR($A682))</f>
        <v/>
      </c>
      <c r="D682" s="13" t="n"/>
      <c r="E682" s="13" t="n"/>
      <c r="F682" s="18" t="n"/>
      <c r="G682" s="18" t="n"/>
      <c r="H682" s="19">
        <f>IF(AND($F682="",$G682=""),"",N($F682)-N($G682))</f>
        <v/>
      </c>
    </row>
    <row r="683">
      <c r="A683" s="15" t="n"/>
      <c r="B683" s="16">
        <f>IF($A683="","",TEXT($A683,"mmm"))</f>
        <v/>
      </c>
      <c r="C683" s="17">
        <f>IF($A683="","",YEAR($A683))</f>
        <v/>
      </c>
      <c r="D683" s="13" t="n"/>
      <c r="E683" s="13" t="n"/>
      <c r="F683" s="18" t="n"/>
      <c r="G683" s="18" t="n"/>
      <c r="H683" s="19">
        <f>IF(AND($F683="",$G683=""),"",N($F683)-N($G683))</f>
        <v/>
      </c>
    </row>
    <row r="684">
      <c r="A684" s="15" t="n"/>
      <c r="B684" s="16">
        <f>IF($A684="","",TEXT($A684,"mmm"))</f>
        <v/>
      </c>
      <c r="C684" s="17">
        <f>IF($A684="","",YEAR($A684))</f>
        <v/>
      </c>
      <c r="D684" s="13" t="n"/>
      <c r="E684" s="13" t="n"/>
      <c r="F684" s="18" t="n"/>
      <c r="G684" s="18" t="n"/>
      <c r="H684" s="19">
        <f>IF(AND($F684="",$G684=""),"",N($F684)-N($G684))</f>
        <v/>
      </c>
    </row>
    <row r="685">
      <c r="A685" s="15" t="n"/>
      <c r="B685" s="16">
        <f>IF($A685="","",TEXT($A685,"mmm"))</f>
        <v/>
      </c>
      <c r="C685" s="17">
        <f>IF($A685="","",YEAR($A685))</f>
        <v/>
      </c>
      <c r="D685" s="13" t="n"/>
      <c r="E685" s="13" t="n"/>
      <c r="F685" s="18" t="n"/>
      <c r="G685" s="18" t="n"/>
      <c r="H685" s="19">
        <f>IF(AND($F685="",$G685=""),"",N($F685)-N($G685))</f>
        <v/>
      </c>
    </row>
    <row r="686">
      <c r="A686" s="15" t="n"/>
      <c r="B686" s="16">
        <f>IF($A686="","",TEXT($A686,"mmm"))</f>
        <v/>
      </c>
      <c r="C686" s="17">
        <f>IF($A686="","",YEAR($A686))</f>
        <v/>
      </c>
      <c r="D686" s="13" t="n"/>
      <c r="E686" s="13" t="n"/>
      <c r="F686" s="18" t="n"/>
      <c r="G686" s="18" t="n"/>
      <c r="H686" s="19">
        <f>IF(AND($F686="",$G686=""),"",N($F686)-N($G686))</f>
        <v/>
      </c>
    </row>
    <row r="687">
      <c r="A687" s="15" t="n"/>
      <c r="B687" s="16">
        <f>IF($A687="","",TEXT($A687,"mmm"))</f>
        <v/>
      </c>
      <c r="C687" s="17">
        <f>IF($A687="","",YEAR($A687))</f>
        <v/>
      </c>
      <c r="D687" s="13" t="n"/>
      <c r="E687" s="13" t="n"/>
      <c r="F687" s="18" t="n"/>
      <c r="G687" s="18" t="n"/>
      <c r="H687" s="19">
        <f>IF(AND($F687="",$G687=""),"",N($F687)-N($G687))</f>
        <v/>
      </c>
    </row>
    <row r="688">
      <c r="A688" s="15" t="n"/>
      <c r="B688" s="16">
        <f>IF($A688="","",TEXT($A688,"mmm"))</f>
        <v/>
      </c>
      <c r="C688" s="17">
        <f>IF($A688="","",YEAR($A688))</f>
        <v/>
      </c>
      <c r="D688" s="13" t="n"/>
      <c r="E688" s="13" t="n"/>
      <c r="F688" s="18" t="n"/>
      <c r="G688" s="18" t="n"/>
      <c r="H688" s="19">
        <f>IF(AND($F688="",$G688=""),"",N($F688)-N($G688))</f>
        <v/>
      </c>
    </row>
    <row r="689">
      <c r="A689" s="15" t="n"/>
      <c r="B689" s="16">
        <f>IF($A689="","",TEXT($A689,"mmm"))</f>
        <v/>
      </c>
      <c r="C689" s="17">
        <f>IF($A689="","",YEAR($A689))</f>
        <v/>
      </c>
      <c r="D689" s="13" t="n"/>
      <c r="E689" s="13" t="n"/>
      <c r="F689" s="18" t="n"/>
      <c r="G689" s="18" t="n"/>
      <c r="H689" s="19">
        <f>IF(AND($F689="",$G689=""),"",N($F689)-N($G689))</f>
        <v/>
      </c>
    </row>
    <row r="690">
      <c r="A690" s="15" t="n"/>
      <c r="B690" s="16">
        <f>IF($A690="","",TEXT($A690,"mmm"))</f>
        <v/>
      </c>
      <c r="C690" s="17">
        <f>IF($A690="","",YEAR($A690))</f>
        <v/>
      </c>
      <c r="D690" s="13" t="n"/>
      <c r="E690" s="13" t="n"/>
      <c r="F690" s="18" t="n"/>
      <c r="G690" s="18" t="n"/>
      <c r="H690" s="19">
        <f>IF(AND($F690="",$G690=""),"",N($F690)-N($G690))</f>
        <v/>
      </c>
    </row>
    <row r="691">
      <c r="A691" s="15" t="n"/>
      <c r="B691" s="16">
        <f>IF($A691="","",TEXT($A691,"mmm"))</f>
        <v/>
      </c>
      <c r="C691" s="17">
        <f>IF($A691="","",YEAR($A691))</f>
        <v/>
      </c>
      <c r="D691" s="13" t="n"/>
      <c r="E691" s="13" t="n"/>
      <c r="F691" s="18" t="n"/>
      <c r="G691" s="18" t="n"/>
      <c r="H691" s="19">
        <f>IF(AND($F691="",$G691=""),"",N($F691)-N($G691))</f>
        <v/>
      </c>
    </row>
    <row r="692">
      <c r="A692" s="15" t="n"/>
      <c r="B692" s="16">
        <f>IF($A692="","",TEXT($A692,"mmm"))</f>
        <v/>
      </c>
      <c r="C692" s="17">
        <f>IF($A692="","",YEAR($A692))</f>
        <v/>
      </c>
      <c r="D692" s="13" t="n"/>
      <c r="E692" s="13" t="n"/>
      <c r="F692" s="18" t="n"/>
      <c r="G692" s="18" t="n"/>
      <c r="H692" s="19">
        <f>IF(AND($F692="",$G692=""),"",N($F692)-N($G692))</f>
        <v/>
      </c>
    </row>
    <row r="693">
      <c r="A693" s="15" t="n"/>
      <c r="B693" s="16">
        <f>IF($A693="","",TEXT($A693,"mmm"))</f>
        <v/>
      </c>
      <c r="C693" s="17">
        <f>IF($A693="","",YEAR($A693))</f>
        <v/>
      </c>
      <c r="D693" s="13" t="n"/>
      <c r="E693" s="13" t="n"/>
      <c r="F693" s="18" t="n"/>
      <c r="G693" s="18" t="n"/>
      <c r="H693" s="19">
        <f>IF(AND($F693="",$G693=""),"",N($F693)-N($G693))</f>
        <v/>
      </c>
    </row>
    <row r="694">
      <c r="A694" s="15" t="n"/>
      <c r="B694" s="16">
        <f>IF($A694="","",TEXT($A694,"mmm"))</f>
        <v/>
      </c>
      <c r="C694" s="17">
        <f>IF($A694="","",YEAR($A694))</f>
        <v/>
      </c>
      <c r="D694" s="13" t="n"/>
      <c r="E694" s="13" t="n"/>
      <c r="F694" s="18" t="n"/>
      <c r="G694" s="18" t="n"/>
      <c r="H694" s="19">
        <f>IF(AND($F694="",$G694=""),"",N($F694)-N($G694))</f>
        <v/>
      </c>
    </row>
    <row r="695">
      <c r="A695" s="15" t="n"/>
      <c r="B695" s="16">
        <f>IF($A695="","",TEXT($A695,"mmm"))</f>
        <v/>
      </c>
      <c r="C695" s="17">
        <f>IF($A695="","",YEAR($A695))</f>
        <v/>
      </c>
      <c r="D695" s="13" t="n"/>
      <c r="E695" s="13" t="n"/>
      <c r="F695" s="18" t="n"/>
      <c r="G695" s="18" t="n"/>
      <c r="H695" s="19">
        <f>IF(AND($F695="",$G695=""),"",N($F695)-N($G695))</f>
        <v/>
      </c>
    </row>
    <row r="696">
      <c r="A696" s="15" t="n"/>
      <c r="B696" s="16">
        <f>IF($A696="","",TEXT($A696,"mmm"))</f>
        <v/>
      </c>
      <c r="C696" s="17">
        <f>IF($A696="","",YEAR($A696))</f>
        <v/>
      </c>
      <c r="D696" s="13" t="n"/>
      <c r="E696" s="13" t="n"/>
      <c r="F696" s="18" t="n"/>
      <c r="G696" s="18" t="n"/>
      <c r="H696" s="19">
        <f>IF(AND($F696="",$G696=""),"",N($F696)-N($G696))</f>
        <v/>
      </c>
    </row>
    <row r="697">
      <c r="A697" s="15" t="n"/>
      <c r="B697" s="16">
        <f>IF($A697="","",TEXT($A697,"mmm"))</f>
        <v/>
      </c>
      <c r="C697" s="17">
        <f>IF($A697="","",YEAR($A697))</f>
        <v/>
      </c>
      <c r="D697" s="13" t="n"/>
      <c r="E697" s="13" t="n"/>
      <c r="F697" s="18" t="n"/>
      <c r="G697" s="18" t="n"/>
      <c r="H697" s="19">
        <f>IF(AND($F697="",$G697=""),"",N($F697)-N($G697))</f>
        <v/>
      </c>
    </row>
    <row r="698">
      <c r="A698" s="15" t="n"/>
      <c r="B698" s="16">
        <f>IF($A698="","",TEXT($A698,"mmm"))</f>
        <v/>
      </c>
      <c r="C698" s="17">
        <f>IF($A698="","",YEAR($A698))</f>
        <v/>
      </c>
      <c r="D698" s="13" t="n"/>
      <c r="E698" s="13" t="n"/>
      <c r="F698" s="18" t="n"/>
      <c r="G698" s="18" t="n"/>
      <c r="H698" s="19">
        <f>IF(AND($F698="",$G698=""),"",N($F698)-N($G698))</f>
        <v/>
      </c>
    </row>
    <row r="699">
      <c r="A699" s="15" t="n"/>
      <c r="B699" s="16">
        <f>IF($A699="","",TEXT($A699,"mmm"))</f>
        <v/>
      </c>
      <c r="C699" s="17">
        <f>IF($A699="","",YEAR($A699))</f>
        <v/>
      </c>
      <c r="D699" s="13" t="n"/>
      <c r="E699" s="13" t="n"/>
      <c r="F699" s="18" t="n"/>
      <c r="G699" s="18" t="n"/>
      <c r="H699" s="19">
        <f>IF(AND($F699="",$G699=""),"",N($F699)-N($G699))</f>
        <v/>
      </c>
    </row>
    <row r="700">
      <c r="A700" s="15" t="n"/>
      <c r="B700" s="16">
        <f>IF($A700="","",TEXT($A700,"mmm"))</f>
        <v/>
      </c>
      <c r="C700" s="17">
        <f>IF($A700="","",YEAR($A700))</f>
        <v/>
      </c>
      <c r="D700" s="13" t="n"/>
      <c r="E700" s="13" t="n"/>
      <c r="F700" s="18" t="n"/>
      <c r="G700" s="18" t="n"/>
      <c r="H700" s="19">
        <f>IF(AND($F700="",$G700=""),"",N($F700)-N($G700))</f>
        <v/>
      </c>
    </row>
    <row r="701">
      <c r="A701" s="15" t="n"/>
      <c r="B701" s="16">
        <f>IF($A701="","",TEXT($A701,"mmm"))</f>
        <v/>
      </c>
      <c r="C701" s="17">
        <f>IF($A701="","",YEAR($A701))</f>
        <v/>
      </c>
      <c r="D701" s="13" t="n"/>
      <c r="E701" s="13" t="n"/>
      <c r="F701" s="18" t="n"/>
      <c r="G701" s="18" t="n"/>
      <c r="H701" s="19">
        <f>IF(AND($F701="",$G701=""),"",N($F701)-N($G701))</f>
        <v/>
      </c>
    </row>
    <row r="702">
      <c r="A702" s="15" t="n"/>
      <c r="B702" s="16">
        <f>IF($A702="","",TEXT($A702,"mmm"))</f>
        <v/>
      </c>
      <c r="C702" s="17">
        <f>IF($A702="","",YEAR($A702))</f>
        <v/>
      </c>
      <c r="D702" s="13" t="n"/>
      <c r="E702" s="13" t="n"/>
      <c r="F702" s="18" t="n"/>
      <c r="G702" s="18" t="n"/>
      <c r="H702" s="19">
        <f>IF(AND($F702="",$G702=""),"",N($F702)-N($G702))</f>
        <v/>
      </c>
    </row>
    <row r="703">
      <c r="A703" s="15" t="n"/>
      <c r="B703" s="16">
        <f>IF($A703="","",TEXT($A703,"mmm"))</f>
        <v/>
      </c>
      <c r="C703" s="17">
        <f>IF($A703="","",YEAR($A703))</f>
        <v/>
      </c>
      <c r="D703" s="13" t="n"/>
      <c r="E703" s="13" t="n"/>
      <c r="F703" s="18" t="n"/>
      <c r="G703" s="18" t="n"/>
      <c r="H703" s="19">
        <f>IF(AND($F703="",$G703=""),"",N($F703)-N($G703))</f>
        <v/>
      </c>
    </row>
    <row r="704">
      <c r="A704" s="15" t="n"/>
      <c r="B704" s="16">
        <f>IF($A704="","",TEXT($A704,"mmm"))</f>
        <v/>
      </c>
      <c r="C704" s="17">
        <f>IF($A704="","",YEAR($A704))</f>
        <v/>
      </c>
      <c r="D704" s="13" t="n"/>
      <c r="E704" s="13" t="n"/>
      <c r="F704" s="18" t="n"/>
      <c r="G704" s="18" t="n"/>
      <c r="H704" s="19">
        <f>IF(AND($F704="",$G704=""),"",N($F704)-N($G704))</f>
        <v/>
      </c>
    </row>
    <row r="705">
      <c r="A705" s="15" t="n"/>
      <c r="B705" s="16">
        <f>IF($A705="","",TEXT($A705,"mmm"))</f>
        <v/>
      </c>
      <c r="C705" s="17">
        <f>IF($A705="","",YEAR($A705))</f>
        <v/>
      </c>
      <c r="D705" s="13" t="n"/>
      <c r="E705" s="13" t="n"/>
      <c r="F705" s="18" t="n"/>
      <c r="G705" s="18" t="n"/>
      <c r="H705" s="19">
        <f>IF(AND($F705="",$G705=""),"",N($F705)-N($G705))</f>
        <v/>
      </c>
    </row>
    <row r="706">
      <c r="A706" s="15" t="n"/>
      <c r="B706" s="16">
        <f>IF($A706="","",TEXT($A706,"mmm"))</f>
        <v/>
      </c>
      <c r="C706" s="17">
        <f>IF($A706="","",YEAR($A706))</f>
        <v/>
      </c>
      <c r="D706" s="13" t="n"/>
      <c r="E706" s="13" t="n"/>
      <c r="F706" s="18" t="n"/>
      <c r="G706" s="18" t="n"/>
      <c r="H706" s="19">
        <f>IF(AND($F706="",$G706=""),"",N($F706)-N($G706))</f>
        <v/>
      </c>
    </row>
    <row r="707">
      <c r="A707" s="15" t="n"/>
      <c r="B707" s="16">
        <f>IF($A707="","",TEXT($A707,"mmm"))</f>
        <v/>
      </c>
      <c r="C707" s="17">
        <f>IF($A707="","",YEAR($A707))</f>
        <v/>
      </c>
      <c r="D707" s="13" t="n"/>
      <c r="E707" s="13" t="n"/>
      <c r="F707" s="18" t="n"/>
      <c r="G707" s="18" t="n"/>
      <c r="H707" s="19">
        <f>IF(AND($F707="",$G707=""),"",N($F707)-N($G707))</f>
        <v/>
      </c>
    </row>
    <row r="708">
      <c r="A708" s="15" t="n"/>
      <c r="B708" s="16">
        <f>IF($A708="","",TEXT($A708,"mmm"))</f>
        <v/>
      </c>
      <c r="C708" s="17">
        <f>IF($A708="","",YEAR($A708))</f>
        <v/>
      </c>
      <c r="D708" s="13" t="n"/>
      <c r="E708" s="13" t="n"/>
      <c r="F708" s="18" t="n"/>
      <c r="G708" s="18" t="n"/>
      <c r="H708" s="19">
        <f>IF(AND($F708="",$G708=""),"",N($F708)-N($G708))</f>
        <v/>
      </c>
    </row>
    <row r="709">
      <c r="A709" s="15" t="n"/>
      <c r="B709" s="16">
        <f>IF($A709="","",TEXT($A709,"mmm"))</f>
        <v/>
      </c>
      <c r="C709" s="17">
        <f>IF($A709="","",YEAR($A709))</f>
        <v/>
      </c>
      <c r="D709" s="13" t="n"/>
      <c r="E709" s="13" t="n"/>
      <c r="F709" s="18" t="n"/>
      <c r="G709" s="18" t="n"/>
      <c r="H709" s="19">
        <f>IF(AND($F709="",$G709=""),"",N($F709)-N($G709))</f>
        <v/>
      </c>
    </row>
    <row r="710">
      <c r="A710" s="15" t="n"/>
      <c r="B710" s="16">
        <f>IF($A710="","",TEXT($A710,"mmm"))</f>
        <v/>
      </c>
      <c r="C710" s="17">
        <f>IF($A710="","",YEAR($A710))</f>
        <v/>
      </c>
      <c r="D710" s="13" t="n"/>
      <c r="E710" s="13" t="n"/>
      <c r="F710" s="18" t="n"/>
      <c r="G710" s="18" t="n"/>
      <c r="H710" s="19">
        <f>IF(AND($F710="",$G710=""),"",N($F710)-N($G710))</f>
        <v/>
      </c>
    </row>
    <row r="711">
      <c r="A711" s="15" t="n"/>
      <c r="B711" s="16">
        <f>IF($A711="","",TEXT($A711,"mmm"))</f>
        <v/>
      </c>
      <c r="C711" s="17">
        <f>IF($A711="","",YEAR($A711))</f>
        <v/>
      </c>
      <c r="D711" s="13" t="n"/>
      <c r="E711" s="13" t="n"/>
      <c r="F711" s="18" t="n"/>
      <c r="G711" s="18" t="n"/>
      <c r="H711" s="19">
        <f>IF(AND($F711="",$G711=""),"",N($F711)-N($G711))</f>
        <v/>
      </c>
    </row>
    <row r="712">
      <c r="A712" s="15" t="n"/>
      <c r="B712" s="16">
        <f>IF($A712="","",TEXT($A712,"mmm"))</f>
        <v/>
      </c>
      <c r="C712" s="17">
        <f>IF($A712="","",YEAR($A712))</f>
        <v/>
      </c>
      <c r="D712" s="13" t="n"/>
      <c r="E712" s="13" t="n"/>
      <c r="F712" s="18" t="n"/>
      <c r="G712" s="18" t="n"/>
      <c r="H712" s="19">
        <f>IF(AND($F712="",$G712=""),"",N($F712)-N($G712))</f>
        <v/>
      </c>
    </row>
    <row r="713">
      <c r="A713" s="15" t="n"/>
      <c r="B713" s="16">
        <f>IF($A713="","",TEXT($A713,"mmm"))</f>
        <v/>
      </c>
      <c r="C713" s="17">
        <f>IF($A713="","",YEAR($A713))</f>
        <v/>
      </c>
      <c r="D713" s="13" t="n"/>
      <c r="E713" s="13" t="n"/>
      <c r="F713" s="18" t="n"/>
      <c r="G713" s="18" t="n"/>
      <c r="H713" s="19">
        <f>IF(AND($F713="",$G713=""),"",N($F713)-N($G713))</f>
        <v/>
      </c>
    </row>
    <row r="714">
      <c r="A714" s="15" t="n"/>
      <c r="B714" s="16">
        <f>IF($A714="","",TEXT($A714,"mmm"))</f>
        <v/>
      </c>
      <c r="C714" s="17">
        <f>IF($A714="","",YEAR($A714))</f>
        <v/>
      </c>
      <c r="D714" s="13" t="n"/>
      <c r="E714" s="13" t="n"/>
      <c r="F714" s="18" t="n"/>
      <c r="G714" s="18" t="n"/>
      <c r="H714" s="19">
        <f>IF(AND($F714="",$G714=""),"",N($F714)-N($G714))</f>
        <v/>
      </c>
    </row>
    <row r="715">
      <c r="A715" s="15" t="n"/>
      <c r="B715" s="16">
        <f>IF($A715="","",TEXT($A715,"mmm"))</f>
        <v/>
      </c>
      <c r="C715" s="17">
        <f>IF($A715="","",YEAR($A715))</f>
        <v/>
      </c>
      <c r="D715" s="13" t="n"/>
      <c r="E715" s="13" t="n"/>
      <c r="F715" s="18" t="n"/>
      <c r="G715" s="18" t="n"/>
      <c r="H715" s="19">
        <f>IF(AND($F715="",$G715=""),"",N($F715)-N($G715))</f>
        <v/>
      </c>
    </row>
    <row r="716">
      <c r="A716" s="15" t="n"/>
      <c r="B716" s="16">
        <f>IF($A716="","",TEXT($A716,"mmm"))</f>
        <v/>
      </c>
      <c r="C716" s="17">
        <f>IF($A716="","",YEAR($A716))</f>
        <v/>
      </c>
      <c r="D716" s="13" t="n"/>
      <c r="E716" s="13" t="n"/>
      <c r="F716" s="18" t="n"/>
      <c r="G716" s="18" t="n"/>
      <c r="H716" s="19">
        <f>IF(AND($F716="",$G716=""),"",N($F716)-N($G716))</f>
        <v/>
      </c>
    </row>
    <row r="717">
      <c r="A717" s="15" t="n"/>
      <c r="B717" s="16">
        <f>IF($A717="","",TEXT($A717,"mmm"))</f>
        <v/>
      </c>
      <c r="C717" s="17">
        <f>IF($A717="","",YEAR($A717))</f>
        <v/>
      </c>
      <c r="D717" s="13" t="n"/>
      <c r="E717" s="13" t="n"/>
      <c r="F717" s="18" t="n"/>
      <c r="G717" s="18" t="n"/>
      <c r="H717" s="19">
        <f>IF(AND($F717="",$G717=""),"",N($F717)-N($G717))</f>
        <v/>
      </c>
    </row>
    <row r="718">
      <c r="A718" s="15" t="n"/>
      <c r="B718" s="16">
        <f>IF($A718="","",TEXT($A718,"mmm"))</f>
        <v/>
      </c>
      <c r="C718" s="17">
        <f>IF($A718="","",YEAR($A718))</f>
        <v/>
      </c>
      <c r="D718" s="13" t="n"/>
      <c r="E718" s="13" t="n"/>
      <c r="F718" s="18" t="n"/>
      <c r="G718" s="18" t="n"/>
      <c r="H718" s="19">
        <f>IF(AND($F718="",$G718=""),"",N($F718)-N($G718))</f>
        <v/>
      </c>
    </row>
    <row r="719">
      <c r="A719" s="15" t="n"/>
      <c r="B719" s="16">
        <f>IF($A719="","",TEXT($A719,"mmm"))</f>
        <v/>
      </c>
      <c r="C719" s="17">
        <f>IF($A719="","",YEAR($A719))</f>
        <v/>
      </c>
      <c r="D719" s="13" t="n"/>
      <c r="E719" s="13" t="n"/>
      <c r="F719" s="18" t="n"/>
      <c r="G719" s="18" t="n"/>
      <c r="H719" s="19">
        <f>IF(AND($F719="",$G719=""),"",N($F719)-N($G719))</f>
        <v/>
      </c>
    </row>
    <row r="720">
      <c r="A720" s="15" t="n"/>
      <c r="B720" s="16">
        <f>IF($A720="","",TEXT($A720,"mmm"))</f>
        <v/>
      </c>
      <c r="C720" s="17">
        <f>IF($A720="","",YEAR($A720))</f>
        <v/>
      </c>
      <c r="D720" s="13" t="n"/>
      <c r="E720" s="13" t="n"/>
      <c r="F720" s="18" t="n"/>
      <c r="G720" s="18" t="n"/>
      <c r="H720" s="19">
        <f>IF(AND($F720="",$G720=""),"",N($F720)-N($G720))</f>
        <v/>
      </c>
    </row>
    <row r="721">
      <c r="A721" s="15" t="n"/>
      <c r="B721" s="16">
        <f>IF($A721="","",TEXT($A721,"mmm"))</f>
        <v/>
      </c>
      <c r="C721" s="17">
        <f>IF($A721="","",YEAR($A721))</f>
        <v/>
      </c>
      <c r="D721" s="13" t="n"/>
      <c r="E721" s="13" t="n"/>
      <c r="F721" s="18" t="n"/>
      <c r="G721" s="18" t="n"/>
      <c r="H721" s="19">
        <f>IF(AND($F721="",$G721=""),"",N($F721)-N($G721))</f>
        <v/>
      </c>
    </row>
    <row r="722">
      <c r="A722" s="15" t="n"/>
      <c r="B722" s="16">
        <f>IF($A722="","",TEXT($A722,"mmm"))</f>
        <v/>
      </c>
      <c r="C722" s="17">
        <f>IF($A722="","",YEAR($A722))</f>
        <v/>
      </c>
      <c r="D722" s="13" t="n"/>
      <c r="E722" s="13" t="n"/>
      <c r="F722" s="18" t="n"/>
      <c r="G722" s="18" t="n"/>
      <c r="H722" s="19">
        <f>IF(AND($F722="",$G722=""),"",N($F722)-N($G722))</f>
        <v/>
      </c>
    </row>
    <row r="723">
      <c r="A723" s="15" t="n"/>
      <c r="B723" s="16">
        <f>IF($A723="","",TEXT($A723,"mmm"))</f>
        <v/>
      </c>
      <c r="C723" s="17">
        <f>IF($A723="","",YEAR($A723))</f>
        <v/>
      </c>
      <c r="D723" s="13" t="n"/>
      <c r="E723" s="13" t="n"/>
      <c r="F723" s="18" t="n"/>
      <c r="G723" s="18" t="n"/>
      <c r="H723" s="19">
        <f>IF(AND($F723="",$G723=""),"",N($F723)-N($G723))</f>
        <v/>
      </c>
    </row>
    <row r="724">
      <c r="A724" s="15" t="n"/>
      <c r="B724" s="16">
        <f>IF($A724="","",TEXT($A724,"mmm"))</f>
        <v/>
      </c>
      <c r="C724" s="17">
        <f>IF($A724="","",YEAR($A724))</f>
        <v/>
      </c>
      <c r="D724" s="13" t="n"/>
      <c r="E724" s="13" t="n"/>
      <c r="F724" s="18" t="n"/>
      <c r="G724" s="18" t="n"/>
      <c r="H724" s="19">
        <f>IF(AND($F724="",$G724=""),"",N($F724)-N($G724))</f>
        <v/>
      </c>
    </row>
    <row r="725">
      <c r="A725" s="15" t="n"/>
      <c r="B725" s="16">
        <f>IF($A725="","",TEXT($A725,"mmm"))</f>
        <v/>
      </c>
      <c r="C725" s="17">
        <f>IF($A725="","",YEAR($A725))</f>
        <v/>
      </c>
      <c r="D725" s="13" t="n"/>
      <c r="E725" s="13" t="n"/>
      <c r="F725" s="18" t="n"/>
      <c r="G725" s="18" t="n"/>
      <c r="H725" s="19">
        <f>IF(AND($F725="",$G725=""),"",N($F725)-N($G725))</f>
        <v/>
      </c>
    </row>
    <row r="726">
      <c r="A726" s="15" t="n"/>
      <c r="B726" s="16">
        <f>IF($A726="","",TEXT($A726,"mmm"))</f>
        <v/>
      </c>
      <c r="C726" s="17">
        <f>IF($A726="","",YEAR($A726))</f>
        <v/>
      </c>
      <c r="D726" s="13" t="n"/>
      <c r="E726" s="13" t="n"/>
      <c r="F726" s="18" t="n"/>
      <c r="G726" s="18" t="n"/>
      <c r="H726" s="19">
        <f>IF(AND($F726="",$G726=""),"",N($F726)-N($G726))</f>
        <v/>
      </c>
    </row>
    <row r="727">
      <c r="A727" s="15" t="n"/>
      <c r="B727" s="16">
        <f>IF($A727="","",TEXT($A727,"mmm"))</f>
        <v/>
      </c>
      <c r="C727" s="17">
        <f>IF($A727="","",YEAR($A727))</f>
        <v/>
      </c>
      <c r="D727" s="13" t="n"/>
      <c r="E727" s="13" t="n"/>
      <c r="F727" s="18" t="n"/>
      <c r="G727" s="18" t="n"/>
      <c r="H727" s="19">
        <f>IF(AND($F727="",$G727=""),"",N($F727)-N($G727))</f>
        <v/>
      </c>
    </row>
    <row r="728">
      <c r="A728" s="15" t="n"/>
      <c r="B728" s="16">
        <f>IF($A728="","",TEXT($A728,"mmm"))</f>
        <v/>
      </c>
      <c r="C728" s="17">
        <f>IF($A728="","",YEAR($A728))</f>
        <v/>
      </c>
      <c r="D728" s="13" t="n"/>
      <c r="E728" s="13" t="n"/>
      <c r="F728" s="18" t="n"/>
      <c r="G728" s="18" t="n"/>
      <c r="H728" s="19">
        <f>IF(AND($F728="",$G728=""),"",N($F728)-N($G728))</f>
        <v/>
      </c>
    </row>
    <row r="729">
      <c r="A729" s="15" t="n"/>
      <c r="B729" s="16">
        <f>IF($A729="","",TEXT($A729,"mmm"))</f>
        <v/>
      </c>
      <c r="C729" s="17">
        <f>IF($A729="","",YEAR($A729))</f>
        <v/>
      </c>
      <c r="D729" s="13" t="n"/>
      <c r="E729" s="13" t="n"/>
      <c r="F729" s="18" t="n"/>
      <c r="G729" s="18" t="n"/>
      <c r="H729" s="19">
        <f>IF(AND($F729="",$G729=""),"",N($F729)-N($G729))</f>
        <v/>
      </c>
    </row>
    <row r="730">
      <c r="A730" s="15" t="n"/>
      <c r="B730" s="16">
        <f>IF($A730="","",TEXT($A730,"mmm"))</f>
        <v/>
      </c>
      <c r="C730" s="17">
        <f>IF($A730="","",YEAR($A730))</f>
        <v/>
      </c>
      <c r="D730" s="13" t="n"/>
      <c r="E730" s="13" t="n"/>
      <c r="F730" s="18" t="n"/>
      <c r="G730" s="18" t="n"/>
      <c r="H730" s="19">
        <f>IF(AND($F730="",$G730=""),"",N($F730)-N($G730))</f>
        <v/>
      </c>
    </row>
    <row r="731">
      <c r="A731" s="15" t="n"/>
      <c r="B731" s="16">
        <f>IF($A731="","",TEXT($A731,"mmm"))</f>
        <v/>
      </c>
      <c r="C731" s="17">
        <f>IF($A731="","",YEAR($A731))</f>
        <v/>
      </c>
      <c r="D731" s="13" t="n"/>
      <c r="E731" s="13" t="n"/>
      <c r="F731" s="18" t="n"/>
      <c r="G731" s="18" t="n"/>
      <c r="H731" s="19">
        <f>IF(AND($F731="",$G731=""),"",N($F731)-N($G731))</f>
        <v/>
      </c>
    </row>
    <row r="732">
      <c r="A732" s="15" t="n"/>
      <c r="B732" s="16">
        <f>IF($A732="","",TEXT($A732,"mmm"))</f>
        <v/>
      </c>
      <c r="C732" s="17">
        <f>IF($A732="","",YEAR($A732))</f>
        <v/>
      </c>
      <c r="D732" s="13" t="n"/>
      <c r="E732" s="13" t="n"/>
      <c r="F732" s="18" t="n"/>
      <c r="G732" s="18" t="n"/>
      <c r="H732" s="19">
        <f>IF(AND($F732="",$G732=""),"",N($F732)-N($G732))</f>
        <v/>
      </c>
    </row>
    <row r="733">
      <c r="A733" s="15" t="n"/>
      <c r="B733" s="16">
        <f>IF($A733="","",TEXT($A733,"mmm"))</f>
        <v/>
      </c>
      <c r="C733" s="17">
        <f>IF($A733="","",YEAR($A733))</f>
        <v/>
      </c>
      <c r="D733" s="13" t="n"/>
      <c r="E733" s="13" t="n"/>
      <c r="F733" s="18" t="n"/>
      <c r="G733" s="18" t="n"/>
      <c r="H733" s="19">
        <f>IF(AND($F733="",$G733=""),"",N($F733)-N($G733))</f>
        <v/>
      </c>
    </row>
    <row r="734">
      <c r="A734" s="15" t="n"/>
      <c r="B734" s="16">
        <f>IF($A734="","",TEXT($A734,"mmm"))</f>
        <v/>
      </c>
      <c r="C734" s="17">
        <f>IF($A734="","",YEAR($A734))</f>
        <v/>
      </c>
      <c r="D734" s="13" t="n"/>
      <c r="E734" s="13" t="n"/>
      <c r="F734" s="18" t="n"/>
      <c r="G734" s="18" t="n"/>
      <c r="H734" s="19">
        <f>IF(AND($F734="",$G734=""),"",N($F734)-N($G734))</f>
        <v/>
      </c>
    </row>
    <row r="735">
      <c r="A735" s="15" t="n"/>
      <c r="B735" s="16">
        <f>IF($A735="","",TEXT($A735,"mmm"))</f>
        <v/>
      </c>
      <c r="C735" s="17">
        <f>IF($A735="","",YEAR($A735))</f>
        <v/>
      </c>
      <c r="D735" s="13" t="n"/>
      <c r="E735" s="13" t="n"/>
      <c r="F735" s="18" t="n"/>
      <c r="G735" s="18" t="n"/>
      <c r="H735" s="19">
        <f>IF(AND($F735="",$G735=""),"",N($F735)-N($G735))</f>
        <v/>
      </c>
    </row>
    <row r="736">
      <c r="A736" s="15" t="n"/>
      <c r="B736" s="16">
        <f>IF($A736="","",TEXT($A736,"mmm"))</f>
        <v/>
      </c>
      <c r="C736" s="17">
        <f>IF($A736="","",YEAR($A736))</f>
        <v/>
      </c>
      <c r="D736" s="13" t="n"/>
      <c r="E736" s="13" t="n"/>
      <c r="F736" s="18" t="n"/>
      <c r="G736" s="18" t="n"/>
      <c r="H736" s="19">
        <f>IF(AND($F736="",$G736=""),"",N($F736)-N($G736))</f>
        <v/>
      </c>
    </row>
    <row r="737">
      <c r="A737" s="15" t="n"/>
      <c r="B737" s="16">
        <f>IF($A737="","",TEXT($A737,"mmm"))</f>
        <v/>
      </c>
      <c r="C737" s="17">
        <f>IF($A737="","",YEAR($A737))</f>
        <v/>
      </c>
      <c r="D737" s="13" t="n"/>
      <c r="E737" s="13" t="n"/>
      <c r="F737" s="18" t="n"/>
      <c r="G737" s="18" t="n"/>
      <c r="H737" s="19">
        <f>IF(AND($F737="",$G737=""),"",N($F737)-N($G737))</f>
        <v/>
      </c>
    </row>
    <row r="738">
      <c r="A738" s="15" t="n"/>
      <c r="B738" s="16">
        <f>IF($A738="","",TEXT($A738,"mmm"))</f>
        <v/>
      </c>
      <c r="C738" s="17">
        <f>IF($A738="","",YEAR($A738))</f>
        <v/>
      </c>
      <c r="D738" s="13" t="n"/>
      <c r="E738" s="13" t="n"/>
      <c r="F738" s="18" t="n"/>
      <c r="G738" s="18" t="n"/>
      <c r="H738" s="19">
        <f>IF(AND($F738="",$G738=""),"",N($F738)-N($G738))</f>
        <v/>
      </c>
    </row>
    <row r="739">
      <c r="A739" s="15" t="n"/>
      <c r="B739" s="16">
        <f>IF($A739="","",TEXT($A739,"mmm"))</f>
        <v/>
      </c>
      <c r="C739" s="17">
        <f>IF($A739="","",YEAR($A739))</f>
        <v/>
      </c>
      <c r="D739" s="13" t="n"/>
      <c r="E739" s="13" t="n"/>
      <c r="F739" s="18" t="n"/>
      <c r="G739" s="18" t="n"/>
      <c r="H739" s="19">
        <f>IF(AND($F739="",$G739=""),"",N($F739)-N($G739))</f>
        <v/>
      </c>
    </row>
    <row r="740">
      <c r="A740" s="15" t="n"/>
      <c r="B740" s="16">
        <f>IF($A740="","",TEXT($A740,"mmm"))</f>
        <v/>
      </c>
      <c r="C740" s="17">
        <f>IF($A740="","",YEAR($A740))</f>
        <v/>
      </c>
      <c r="D740" s="13" t="n"/>
      <c r="E740" s="13" t="n"/>
      <c r="F740" s="18" t="n"/>
      <c r="G740" s="18" t="n"/>
      <c r="H740" s="19">
        <f>IF(AND($F740="",$G740=""),"",N($F740)-N($G740))</f>
        <v/>
      </c>
    </row>
    <row r="741">
      <c r="A741" s="15" t="n"/>
      <c r="B741" s="16">
        <f>IF($A741="","",TEXT($A741,"mmm"))</f>
        <v/>
      </c>
      <c r="C741" s="17">
        <f>IF($A741="","",YEAR($A741))</f>
        <v/>
      </c>
      <c r="D741" s="13" t="n"/>
      <c r="E741" s="13" t="n"/>
      <c r="F741" s="18" t="n"/>
      <c r="G741" s="18" t="n"/>
      <c r="H741" s="19">
        <f>IF(AND($F741="",$G741=""),"",N($F741)-N($G741))</f>
        <v/>
      </c>
    </row>
    <row r="742">
      <c r="A742" s="15" t="n"/>
      <c r="B742" s="16">
        <f>IF($A742="","",TEXT($A742,"mmm"))</f>
        <v/>
      </c>
      <c r="C742" s="17">
        <f>IF($A742="","",YEAR($A742))</f>
        <v/>
      </c>
      <c r="D742" s="13" t="n"/>
      <c r="E742" s="13" t="n"/>
      <c r="F742" s="18" t="n"/>
      <c r="G742" s="18" t="n"/>
      <c r="H742" s="19">
        <f>IF(AND($F742="",$G742=""),"",N($F742)-N($G742))</f>
        <v/>
      </c>
    </row>
    <row r="743">
      <c r="A743" s="15" t="n"/>
      <c r="B743" s="16">
        <f>IF($A743="","",TEXT($A743,"mmm"))</f>
        <v/>
      </c>
      <c r="C743" s="17">
        <f>IF($A743="","",YEAR($A743))</f>
        <v/>
      </c>
      <c r="D743" s="13" t="n"/>
      <c r="E743" s="13" t="n"/>
      <c r="F743" s="18" t="n"/>
      <c r="G743" s="18" t="n"/>
      <c r="H743" s="19">
        <f>IF(AND($F743="",$G743=""),"",N($F743)-N($G743))</f>
        <v/>
      </c>
    </row>
    <row r="744">
      <c r="A744" s="15" t="n"/>
      <c r="B744" s="16">
        <f>IF($A744="","",TEXT($A744,"mmm"))</f>
        <v/>
      </c>
      <c r="C744" s="17">
        <f>IF($A744="","",YEAR($A744))</f>
        <v/>
      </c>
      <c r="D744" s="13" t="n"/>
      <c r="E744" s="13" t="n"/>
      <c r="F744" s="18" t="n"/>
      <c r="G744" s="18" t="n"/>
      <c r="H744" s="19">
        <f>IF(AND($F744="",$G744=""),"",N($F744)-N($G744))</f>
        <v/>
      </c>
    </row>
    <row r="745">
      <c r="A745" s="15" t="n"/>
      <c r="B745" s="16">
        <f>IF($A745="","",TEXT($A745,"mmm"))</f>
        <v/>
      </c>
      <c r="C745" s="17">
        <f>IF($A745="","",YEAR($A745))</f>
        <v/>
      </c>
      <c r="D745" s="13" t="n"/>
      <c r="E745" s="13" t="n"/>
      <c r="F745" s="18" t="n"/>
      <c r="G745" s="18" t="n"/>
      <c r="H745" s="19">
        <f>IF(AND($F745="",$G745=""),"",N($F745)-N($G745))</f>
        <v/>
      </c>
    </row>
    <row r="746">
      <c r="A746" s="15" t="n"/>
      <c r="B746" s="16">
        <f>IF($A746="","",TEXT($A746,"mmm"))</f>
        <v/>
      </c>
      <c r="C746" s="17">
        <f>IF($A746="","",YEAR($A746))</f>
        <v/>
      </c>
      <c r="D746" s="13" t="n"/>
      <c r="E746" s="13" t="n"/>
      <c r="F746" s="18" t="n"/>
      <c r="G746" s="18" t="n"/>
      <c r="H746" s="19">
        <f>IF(AND($F746="",$G746=""),"",N($F746)-N($G746))</f>
        <v/>
      </c>
    </row>
    <row r="747">
      <c r="A747" s="15" t="n"/>
      <c r="B747" s="16">
        <f>IF($A747="","",TEXT($A747,"mmm"))</f>
        <v/>
      </c>
      <c r="C747" s="17">
        <f>IF($A747="","",YEAR($A747))</f>
        <v/>
      </c>
      <c r="D747" s="13" t="n"/>
      <c r="E747" s="13" t="n"/>
      <c r="F747" s="18" t="n"/>
      <c r="G747" s="18" t="n"/>
      <c r="H747" s="19">
        <f>IF(AND($F747="",$G747=""),"",N($F747)-N($G747))</f>
        <v/>
      </c>
    </row>
    <row r="748">
      <c r="A748" s="15" t="n"/>
      <c r="B748" s="16">
        <f>IF($A748="","",TEXT($A748,"mmm"))</f>
        <v/>
      </c>
      <c r="C748" s="17">
        <f>IF($A748="","",YEAR($A748))</f>
        <v/>
      </c>
      <c r="D748" s="13" t="n"/>
      <c r="E748" s="13" t="n"/>
      <c r="F748" s="18" t="n"/>
      <c r="G748" s="18" t="n"/>
      <c r="H748" s="19">
        <f>IF(AND($F748="",$G748=""),"",N($F748)-N($G748))</f>
        <v/>
      </c>
    </row>
    <row r="749">
      <c r="A749" s="15" t="n"/>
      <c r="B749" s="16">
        <f>IF($A749="","",TEXT($A749,"mmm"))</f>
        <v/>
      </c>
      <c r="C749" s="17">
        <f>IF($A749="","",YEAR($A749))</f>
        <v/>
      </c>
      <c r="D749" s="13" t="n"/>
      <c r="E749" s="13" t="n"/>
      <c r="F749" s="18" t="n"/>
      <c r="G749" s="18" t="n"/>
      <c r="H749" s="19">
        <f>IF(AND($F749="",$G749=""),"",N($F749)-N($G749))</f>
        <v/>
      </c>
    </row>
    <row r="750">
      <c r="A750" s="15" t="n"/>
      <c r="B750" s="16">
        <f>IF($A750="","",TEXT($A750,"mmm"))</f>
        <v/>
      </c>
      <c r="C750" s="17">
        <f>IF($A750="","",YEAR($A750))</f>
        <v/>
      </c>
      <c r="D750" s="13" t="n"/>
      <c r="E750" s="13" t="n"/>
      <c r="F750" s="18" t="n"/>
      <c r="G750" s="18" t="n"/>
      <c r="H750" s="19">
        <f>IF(AND($F750="",$G750=""),"",N($F750)-N($G750))</f>
        <v/>
      </c>
    </row>
    <row r="751">
      <c r="A751" s="15" t="n"/>
      <c r="B751" s="16">
        <f>IF($A751="","",TEXT($A751,"mmm"))</f>
        <v/>
      </c>
      <c r="C751" s="17">
        <f>IF($A751="","",YEAR($A751))</f>
        <v/>
      </c>
      <c r="D751" s="13" t="n"/>
      <c r="E751" s="13" t="n"/>
      <c r="F751" s="18" t="n"/>
      <c r="G751" s="18" t="n"/>
      <c r="H751" s="19">
        <f>IF(AND($F751="",$G751=""),"",N($F751)-N($G751))</f>
        <v/>
      </c>
    </row>
    <row r="752">
      <c r="A752" s="15" t="n"/>
      <c r="B752" s="16">
        <f>IF($A752="","",TEXT($A752,"mmm"))</f>
        <v/>
      </c>
      <c r="C752" s="17">
        <f>IF($A752="","",YEAR($A752))</f>
        <v/>
      </c>
      <c r="D752" s="13" t="n"/>
      <c r="E752" s="13" t="n"/>
      <c r="F752" s="18" t="n"/>
      <c r="G752" s="18" t="n"/>
      <c r="H752" s="19">
        <f>IF(AND($F752="",$G752=""),"",N($F752)-N($G752))</f>
        <v/>
      </c>
    </row>
    <row r="753">
      <c r="A753" s="15" t="n"/>
      <c r="B753" s="16">
        <f>IF($A753="","",TEXT($A753,"mmm"))</f>
        <v/>
      </c>
      <c r="C753" s="17">
        <f>IF($A753="","",YEAR($A753))</f>
        <v/>
      </c>
      <c r="D753" s="13" t="n"/>
      <c r="E753" s="13" t="n"/>
      <c r="F753" s="18" t="n"/>
      <c r="G753" s="18" t="n"/>
      <c r="H753" s="19">
        <f>IF(AND($F753="",$G753=""),"",N($F753)-N($G753))</f>
        <v/>
      </c>
    </row>
    <row r="754">
      <c r="A754" s="15" t="n"/>
      <c r="B754" s="16">
        <f>IF($A754="","",TEXT($A754,"mmm"))</f>
        <v/>
      </c>
      <c r="C754" s="17">
        <f>IF($A754="","",YEAR($A754))</f>
        <v/>
      </c>
      <c r="D754" s="13" t="n"/>
      <c r="E754" s="13" t="n"/>
      <c r="F754" s="18" t="n"/>
      <c r="G754" s="18" t="n"/>
      <c r="H754" s="19">
        <f>IF(AND($F754="",$G754=""),"",N($F754)-N($G754))</f>
        <v/>
      </c>
    </row>
    <row r="755">
      <c r="A755" s="15" t="n"/>
      <c r="B755" s="16">
        <f>IF($A755="","",TEXT($A755,"mmm"))</f>
        <v/>
      </c>
      <c r="C755" s="17">
        <f>IF($A755="","",YEAR($A755))</f>
        <v/>
      </c>
      <c r="D755" s="13" t="n"/>
      <c r="E755" s="13" t="n"/>
      <c r="F755" s="18" t="n"/>
      <c r="G755" s="18" t="n"/>
      <c r="H755" s="19">
        <f>IF(AND($F755="",$G755=""),"",N($F755)-N($G755))</f>
        <v/>
      </c>
    </row>
    <row r="756">
      <c r="A756" s="15" t="n"/>
      <c r="B756" s="16">
        <f>IF($A756="","",TEXT($A756,"mmm"))</f>
        <v/>
      </c>
      <c r="C756" s="17">
        <f>IF($A756="","",YEAR($A756))</f>
        <v/>
      </c>
      <c r="D756" s="13" t="n"/>
      <c r="E756" s="13" t="n"/>
      <c r="F756" s="18" t="n"/>
      <c r="G756" s="18" t="n"/>
      <c r="H756" s="19">
        <f>IF(AND($F756="",$G756=""),"",N($F756)-N($G756))</f>
        <v/>
      </c>
    </row>
    <row r="757">
      <c r="A757" s="15" t="n"/>
      <c r="B757" s="16">
        <f>IF($A757="","",TEXT($A757,"mmm"))</f>
        <v/>
      </c>
      <c r="C757" s="17">
        <f>IF($A757="","",YEAR($A757))</f>
        <v/>
      </c>
      <c r="D757" s="13" t="n"/>
      <c r="E757" s="13" t="n"/>
      <c r="F757" s="18" t="n"/>
      <c r="G757" s="18" t="n"/>
      <c r="H757" s="19">
        <f>IF(AND($F757="",$G757=""),"",N($F757)-N($G757))</f>
        <v/>
      </c>
    </row>
    <row r="758">
      <c r="A758" s="15" t="n"/>
      <c r="B758" s="16">
        <f>IF($A758="","",TEXT($A758,"mmm"))</f>
        <v/>
      </c>
      <c r="C758" s="17">
        <f>IF($A758="","",YEAR($A758))</f>
        <v/>
      </c>
      <c r="D758" s="13" t="n"/>
      <c r="E758" s="13" t="n"/>
      <c r="F758" s="18" t="n"/>
      <c r="G758" s="18" t="n"/>
      <c r="H758" s="19">
        <f>IF(AND($F758="",$G758=""),"",N($F758)-N($G758))</f>
        <v/>
      </c>
    </row>
    <row r="759">
      <c r="A759" s="15" t="n"/>
      <c r="B759" s="16">
        <f>IF($A759="","",TEXT($A759,"mmm"))</f>
        <v/>
      </c>
      <c r="C759" s="17">
        <f>IF($A759="","",YEAR($A759))</f>
        <v/>
      </c>
      <c r="D759" s="13" t="n"/>
      <c r="E759" s="13" t="n"/>
      <c r="F759" s="18" t="n"/>
      <c r="G759" s="18" t="n"/>
      <c r="H759" s="19">
        <f>IF(AND($F759="",$G759=""),"",N($F759)-N($G759))</f>
        <v/>
      </c>
    </row>
    <row r="760">
      <c r="A760" s="15" t="n"/>
      <c r="B760" s="16">
        <f>IF($A760="","",TEXT($A760,"mmm"))</f>
        <v/>
      </c>
      <c r="C760" s="17">
        <f>IF($A760="","",YEAR($A760))</f>
        <v/>
      </c>
      <c r="D760" s="13" t="n"/>
      <c r="E760" s="13" t="n"/>
      <c r="F760" s="18" t="n"/>
      <c r="G760" s="18" t="n"/>
      <c r="H760" s="19">
        <f>IF(AND($F760="",$G760=""),"",N($F760)-N($G760))</f>
        <v/>
      </c>
    </row>
    <row r="761">
      <c r="A761" s="15" t="n"/>
      <c r="B761" s="16">
        <f>IF($A761="","",TEXT($A761,"mmm"))</f>
        <v/>
      </c>
      <c r="C761" s="17">
        <f>IF($A761="","",YEAR($A761))</f>
        <v/>
      </c>
      <c r="D761" s="13" t="n"/>
      <c r="E761" s="13" t="n"/>
      <c r="F761" s="18" t="n"/>
      <c r="G761" s="18" t="n"/>
      <c r="H761" s="19">
        <f>IF(AND($F761="",$G761=""),"",N($F761)-N($G761))</f>
        <v/>
      </c>
    </row>
    <row r="762">
      <c r="A762" s="15" t="n"/>
      <c r="B762" s="16">
        <f>IF($A762="","",TEXT($A762,"mmm"))</f>
        <v/>
      </c>
      <c r="C762" s="17">
        <f>IF($A762="","",YEAR($A762))</f>
        <v/>
      </c>
      <c r="D762" s="13" t="n"/>
      <c r="E762" s="13" t="n"/>
      <c r="F762" s="18" t="n"/>
      <c r="G762" s="18" t="n"/>
      <c r="H762" s="19">
        <f>IF(AND($F762="",$G762=""),"",N($F762)-N($G762))</f>
        <v/>
      </c>
    </row>
    <row r="763">
      <c r="A763" s="15" t="n"/>
      <c r="B763" s="16">
        <f>IF($A763="","",TEXT($A763,"mmm"))</f>
        <v/>
      </c>
      <c r="C763" s="17">
        <f>IF($A763="","",YEAR($A763))</f>
        <v/>
      </c>
      <c r="D763" s="13" t="n"/>
      <c r="E763" s="13" t="n"/>
      <c r="F763" s="18" t="n"/>
      <c r="G763" s="18" t="n"/>
      <c r="H763" s="19">
        <f>IF(AND($F763="",$G763=""),"",N($F763)-N($G763))</f>
        <v/>
      </c>
    </row>
    <row r="764">
      <c r="A764" s="15" t="n"/>
      <c r="B764" s="16">
        <f>IF($A764="","",TEXT($A764,"mmm"))</f>
        <v/>
      </c>
      <c r="C764" s="17">
        <f>IF($A764="","",YEAR($A764))</f>
        <v/>
      </c>
      <c r="D764" s="13" t="n"/>
      <c r="E764" s="13" t="n"/>
      <c r="F764" s="18" t="n"/>
      <c r="G764" s="18" t="n"/>
      <c r="H764" s="19">
        <f>IF(AND($F764="",$G764=""),"",N($F764)-N($G764))</f>
        <v/>
      </c>
    </row>
    <row r="765">
      <c r="A765" s="15" t="n"/>
      <c r="B765" s="16">
        <f>IF($A765="","",TEXT($A765,"mmm"))</f>
        <v/>
      </c>
      <c r="C765" s="17">
        <f>IF($A765="","",YEAR($A765))</f>
        <v/>
      </c>
      <c r="D765" s="13" t="n"/>
      <c r="E765" s="13" t="n"/>
      <c r="F765" s="18" t="n"/>
      <c r="G765" s="18" t="n"/>
      <c r="H765" s="19">
        <f>IF(AND($F765="",$G765=""),"",N($F765)-N($G765))</f>
        <v/>
      </c>
    </row>
    <row r="766">
      <c r="A766" s="15" t="n"/>
      <c r="B766" s="16">
        <f>IF($A766="","",TEXT($A766,"mmm"))</f>
        <v/>
      </c>
      <c r="C766" s="17">
        <f>IF($A766="","",YEAR($A766))</f>
        <v/>
      </c>
      <c r="D766" s="13" t="n"/>
      <c r="E766" s="13" t="n"/>
      <c r="F766" s="18" t="n"/>
      <c r="G766" s="18" t="n"/>
      <c r="H766" s="19">
        <f>IF(AND($F766="",$G766=""),"",N($F766)-N($G766))</f>
        <v/>
      </c>
    </row>
    <row r="767">
      <c r="A767" s="15" t="n"/>
      <c r="B767" s="16">
        <f>IF($A767="","",TEXT($A767,"mmm"))</f>
        <v/>
      </c>
      <c r="C767" s="17">
        <f>IF($A767="","",YEAR($A767))</f>
        <v/>
      </c>
      <c r="D767" s="13" t="n"/>
      <c r="E767" s="13" t="n"/>
      <c r="F767" s="18" t="n"/>
      <c r="G767" s="18" t="n"/>
      <c r="H767" s="19">
        <f>IF(AND($F767="",$G767=""),"",N($F767)-N($G767))</f>
        <v/>
      </c>
    </row>
    <row r="768">
      <c r="A768" s="15" t="n"/>
      <c r="B768" s="16">
        <f>IF($A768="","",TEXT($A768,"mmm"))</f>
        <v/>
      </c>
      <c r="C768" s="17">
        <f>IF($A768="","",YEAR($A768))</f>
        <v/>
      </c>
      <c r="D768" s="13" t="n"/>
      <c r="E768" s="13" t="n"/>
      <c r="F768" s="18" t="n"/>
      <c r="G768" s="18" t="n"/>
      <c r="H768" s="19">
        <f>IF(AND($F768="",$G768=""),"",N($F768)-N($G768))</f>
        <v/>
      </c>
    </row>
    <row r="769">
      <c r="A769" s="15" t="n"/>
      <c r="B769" s="16">
        <f>IF($A769="","",TEXT($A769,"mmm"))</f>
        <v/>
      </c>
      <c r="C769" s="17">
        <f>IF($A769="","",YEAR($A769))</f>
        <v/>
      </c>
      <c r="D769" s="13" t="n"/>
      <c r="E769" s="13" t="n"/>
      <c r="F769" s="18" t="n"/>
      <c r="G769" s="18" t="n"/>
      <c r="H769" s="19">
        <f>IF(AND($F769="",$G769=""),"",N($F769)-N($G769))</f>
        <v/>
      </c>
    </row>
    <row r="770">
      <c r="A770" s="15" t="n"/>
      <c r="B770" s="16">
        <f>IF($A770="","",TEXT($A770,"mmm"))</f>
        <v/>
      </c>
      <c r="C770" s="17">
        <f>IF($A770="","",YEAR($A770))</f>
        <v/>
      </c>
      <c r="D770" s="13" t="n"/>
      <c r="E770" s="13" t="n"/>
      <c r="F770" s="18" t="n"/>
      <c r="G770" s="18" t="n"/>
      <c r="H770" s="19">
        <f>IF(AND($F770="",$G770=""),"",N($F770)-N($G770))</f>
        <v/>
      </c>
    </row>
    <row r="771">
      <c r="A771" s="15" t="n"/>
      <c r="B771" s="16">
        <f>IF($A771="","",TEXT($A771,"mmm"))</f>
        <v/>
      </c>
      <c r="C771" s="17">
        <f>IF($A771="","",YEAR($A771))</f>
        <v/>
      </c>
      <c r="D771" s="13" t="n"/>
      <c r="E771" s="13" t="n"/>
      <c r="F771" s="18" t="n"/>
      <c r="G771" s="18" t="n"/>
      <c r="H771" s="19">
        <f>IF(AND($F771="",$G771=""),"",N($F771)-N($G771))</f>
        <v/>
      </c>
    </row>
    <row r="772">
      <c r="A772" s="15" t="n"/>
      <c r="B772" s="16">
        <f>IF($A772="","",TEXT($A772,"mmm"))</f>
        <v/>
      </c>
      <c r="C772" s="17">
        <f>IF($A772="","",YEAR($A772))</f>
        <v/>
      </c>
      <c r="D772" s="13" t="n"/>
      <c r="E772" s="13" t="n"/>
      <c r="F772" s="18" t="n"/>
      <c r="G772" s="18" t="n"/>
      <c r="H772" s="19">
        <f>IF(AND($F772="",$G772=""),"",N($F772)-N($G772))</f>
        <v/>
      </c>
    </row>
    <row r="773">
      <c r="A773" s="15" t="n"/>
      <c r="B773" s="16">
        <f>IF($A773="","",TEXT($A773,"mmm"))</f>
        <v/>
      </c>
      <c r="C773" s="17">
        <f>IF($A773="","",YEAR($A773))</f>
        <v/>
      </c>
      <c r="D773" s="13" t="n"/>
      <c r="E773" s="13" t="n"/>
      <c r="F773" s="18" t="n"/>
      <c r="G773" s="18" t="n"/>
      <c r="H773" s="19">
        <f>IF(AND($F773="",$G773=""),"",N($F773)-N($G773))</f>
        <v/>
      </c>
    </row>
    <row r="774">
      <c r="A774" s="15" t="n"/>
      <c r="B774" s="16">
        <f>IF($A774="","",TEXT($A774,"mmm"))</f>
        <v/>
      </c>
      <c r="C774" s="17">
        <f>IF($A774="","",YEAR($A774))</f>
        <v/>
      </c>
      <c r="D774" s="13" t="n"/>
      <c r="E774" s="13" t="n"/>
      <c r="F774" s="18" t="n"/>
      <c r="G774" s="18" t="n"/>
      <c r="H774" s="19">
        <f>IF(AND($F774="",$G774=""),"",N($F774)-N($G774))</f>
        <v/>
      </c>
    </row>
    <row r="775">
      <c r="A775" s="15" t="n"/>
      <c r="B775" s="16">
        <f>IF($A775="","",TEXT($A775,"mmm"))</f>
        <v/>
      </c>
      <c r="C775" s="17">
        <f>IF($A775="","",YEAR($A775))</f>
        <v/>
      </c>
      <c r="D775" s="13" t="n"/>
      <c r="E775" s="13" t="n"/>
      <c r="F775" s="18" t="n"/>
      <c r="G775" s="18" t="n"/>
      <c r="H775" s="19">
        <f>IF(AND($F775="",$G775=""),"",N($F775)-N($G775))</f>
        <v/>
      </c>
    </row>
    <row r="776">
      <c r="A776" s="15" t="n"/>
      <c r="B776" s="16">
        <f>IF($A776="","",TEXT($A776,"mmm"))</f>
        <v/>
      </c>
      <c r="C776" s="17">
        <f>IF($A776="","",YEAR($A776))</f>
        <v/>
      </c>
      <c r="D776" s="13" t="n"/>
      <c r="E776" s="13" t="n"/>
      <c r="F776" s="18" t="n"/>
      <c r="G776" s="18" t="n"/>
      <c r="H776" s="19">
        <f>IF(AND($F776="",$G776=""),"",N($F776)-N($G776))</f>
        <v/>
      </c>
    </row>
    <row r="777">
      <c r="A777" s="15" t="n"/>
      <c r="B777" s="16">
        <f>IF($A777="","",TEXT($A777,"mmm"))</f>
        <v/>
      </c>
      <c r="C777" s="17">
        <f>IF($A777="","",YEAR($A777))</f>
        <v/>
      </c>
      <c r="D777" s="13" t="n"/>
      <c r="E777" s="13" t="n"/>
      <c r="F777" s="18" t="n"/>
      <c r="G777" s="18" t="n"/>
      <c r="H777" s="19">
        <f>IF(AND($F777="",$G777=""),"",N($F777)-N($G777))</f>
        <v/>
      </c>
    </row>
    <row r="778">
      <c r="A778" s="15" t="n"/>
      <c r="B778" s="16">
        <f>IF($A778="","",TEXT($A778,"mmm"))</f>
        <v/>
      </c>
      <c r="C778" s="17">
        <f>IF($A778="","",YEAR($A778))</f>
        <v/>
      </c>
      <c r="D778" s="13" t="n"/>
      <c r="E778" s="13" t="n"/>
      <c r="F778" s="18" t="n"/>
      <c r="G778" s="18" t="n"/>
      <c r="H778" s="19">
        <f>IF(AND($F778="",$G778=""),"",N($F778)-N($G778))</f>
        <v/>
      </c>
    </row>
    <row r="779">
      <c r="A779" s="15" t="n"/>
      <c r="B779" s="16">
        <f>IF($A779="","",TEXT($A779,"mmm"))</f>
        <v/>
      </c>
      <c r="C779" s="17">
        <f>IF($A779="","",YEAR($A779))</f>
        <v/>
      </c>
      <c r="D779" s="13" t="n"/>
      <c r="E779" s="13" t="n"/>
      <c r="F779" s="18" t="n"/>
      <c r="G779" s="18" t="n"/>
      <c r="H779" s="19">
        <f>IF(AND($F779="",$G779=""),"",N($F779)-N($G779))</f>
        <v/>
      </c>
    </row>
    <row r="780">
      <c r="A780" s="15" t="n"/>
      <c r="B780" s="16">
        <f>IF($A780="","",TEXT($A780,"mmm"))</f>
        <v/>
      </c>
      <c r="C780" s="17">
        <f>IF($A780="","",YEAR($A780))</f>
        <v/>
      </c>
      <c r="D780" s="13" t="n"/>
      <c r="E780" s="13" t="n"/>
      <c r="F780" s="18" t="n"/>
      <c r="G780" s="18" t="n"/>
      <c r="H780" s="19">
        <f>IF(AND($F780="",$G780=""),"",N($F780)-N($G780))</f>
        <v/>
      </c>
    </row>
    <row r="781">
      <c r="A781" s="15" t="n"/>
      <c r="B781" s="16">
        <f>IF($A781="","",TEXT($A781,"mmm"))</f>
        <v/>
      </c>
      <c r="C781" s="17">
        <f>IF($A781="","",YEAR($A781))</f>
        <v/>
      </c>
      <c r="D781" s="13" t="n"/>
      <c r="E781" s="13" t="n"/>
      <c r="F781" s="18" t="n"/>
      <c r="G781" s="18" t="n"/>
      <c r="H781" s="19">
        <f>IF(AND($F781="",$G781=""),"",N($F781)-N($G781))</f>
        <v/>
      </c>
    </row>
    <row r="782">
      <c r="A782" s="15" t="n"/>
      <c r="B782" s="16">
        <f>IF($A782="","",TEXT($A782,"mmm"))</f>
        <v/>
      </c>
      <c r="C782" s="17">
        <f>IF($A782="","",YEAR($A782))</f>
        <v/>
      </c>
      <c r="D782" s="13" t="n"/>
      <c r="E782" s="13" t="n"/>
      <c r="F782" s="18" t="n"/>
      <c r="G782" s="18" t="n"/>
      <c r="H782" s="19">
        <f>IF(AND($F782="",$G782=""),"",N($F782)-N($G782))</f>
        <v/>
      </c>
    </row>
    <row r="783">
      <c r="A783" s="15" t="n"/>
      <c r="B783" s="16">
        <f>IF($A783="","",TEXT($A783,"mmm"))</f>
        <v/>
      </c>
      <c r="C783" s="17">
        <f>IF($A783="","",YEAR($A783))</f>
        <v/>
      </c>
      <c r="D783" s="13" t="n"/>
      <c r="E783" s="13" t="n"/>
      <c r="F783" s="18" t="n"/>
      <c r="G783" s="18" t="n"/>
      <c r="H783" s="19">
        <f>IF(AND($F783="",$G783=""),"",N($F783)-N($G783))</f>
        <v/>
      </c>
    </row>
    <row r="784">
      <c r="A784" s="15" t="n"/>
      <c r="B784" s="16">
        <f>IF($A784="","",TEXT($A784,"mmm"))</f>
        <v/>
      </c>
      <c r="C784" s="17">
        <f>IF($A784="","",YEAR($A784))</f>
        <v/>
      </c>
      <c r="D784" s="13" t="n"/>
      <c r="E784" s="13" t="n"/>
      <c r="F784" s="18" t="n"/>
      <c r="G784" s="18" t="n"/>
      <c r="H784" s="19">
        <f>IF(AND($F784="",$G784=""),"",N($F784)-N($G784))</f>
        <v/>
      </c>
    </row>
    <row r="785">
      <c r="A785" s="15" t="n"/>
      <c r="B785" s="16">
        <f>IF($A785="","",TEXT($A785,"mmm"))</f>
        <v/>
      </c>
      <c r="C785" s="17">
        <f>IF($A785="","",YEAR($A785))</f>
        <v/>
      </c>
      <c r="D785" s="13" t="n"/>
      <c r="E785" s="13" t="n"/>
      <c r="F785" s="18" t="n"/>
      <c r="G785" s="18" t="n"/>
      <c r="H785" s="19">
        <f>IF(AND($F785="",$G785=""),"",N($F785)-N($G785))</f>
        <v/>
      </c>
    </row>
    <row r="786">
      <c r="A786" s="15" t="n"/>
      <c r="B786" s="16">
        <f>IF($A786="","",TEXT($A786,"mmm"))</f>
        <v/>
      </c>
      <c r="C786" s="17">
        <f>IF($A786="","",YEAR($A786))</f>
        <v/>
      </c>
      <c r="D786" s="13" t="n"/>
      <c r="E786" s="13" t="n"/>
      <c r="F786" s="18" t="n"/>
      <c r="G786" s="18" t="n"/>
      <c r="H786" s="19">
        <f>IF(AND($F786="",$G786=""),"",N($F786)-N($G786))</f>
        <v/>
      </c>
    </row>
    <row r="787">
      <c r="A787" s="15" t="n"/>
      <c r="B787" s="16">
        <f>IF($A787="","",TEXT($A787,"mmm"))</f>
        <v/>
      </c>
      <c r="C787" s="17">
        <f>IF($A787="","",YEAR($A787))</f>
        <v/>
      </c>
      <c r="D787" s="13" t="n"/>
      <c r="E787" s="13" t="n"/>
      <c r="F787" s="18" t="n"/>
      <c r="G787" s="18" t="n"/>
      <c r="H787" s="19">
        <f>IF(AND($F787="",$G787=""),"",N($F787)-N($G787))</f>
        <v/>
      </c>
    </row>
    <row r="788">
      <c r="A788" s="15" t="n"/>
      <c r="B788" s="16">
        <f>IF($A788="","",TEXT($A788,"mmm"))</f>
        <v/>
      </c>
      <c r="C788" s="17">
        <f>IF($A788="","",YEAR($A788))</f>
        <v/>
      </c>
      <c r="D788" s="13" t="n"/>
      <c r="E788" s="13" t="n"/>
      <c r="F788" s="18" t="n"/>
      <c r="G788" s="18" t="n"/>
      <c r="H788" s="19">
        <f>IF(AND($F788="",$G788=""),"",N($F788)-N($G788))</f>
        <v/>
      </c>
    </row>
    <row r="789">
      <c r="A789" s="15" t="n"/>
      <c r="B789" s="16">
        <f>IF($A789="","",TEXT($A789,"mmm"))</f>
        <v/>
      </c>
      <c r="C789" s="17">
        <f>IF($A789="","",YEAR($A789))</f>
        <v/>
      </c>
      <c r="D789" s="13" t="n"/>
      <c r="E789" s="13" t="n"/>
      <c r="F789" s="18" t="n"/>
      <c r="G789" s="18" t="n"/>
      <c r="H789" s="19">
        <f>IF(AND($F789="",$G789=""),"",N($F789)-N($G789))</f>
        <v/>
      </c>
    </row>
    <row r="790">
      <c r="A790" s="15" t="n"/>
      <c r="B790" s="16">
        <f>IF($A790="","",TEXT($A790,"mmm"))</f>
        <v/>
      </c>
      <c r="C790" s="17">
        <f>IF($A790="","",YEAR($A790))</f>
        <v/>
      </c>
      <c r="D790" s="13" t="n"/>
      <c r="E790" s="13" t="n"/>
      <c r="F790" s="18" t="n"/>
      <c r="G790" s="18" t="n"/>
      <c r="H790" s="19">
        <f>IF(AND($F790="",$G790=""),"",N($F790)-N($G790))</f>
        <v/>
      </c>
    </row>
    <row r="791">
      <c r="A791" s="15" t="n"/>
      <c r="B791" s="16">
        <f>IF($A791="","",TEXT($A791,"mmm"))</f>
        <v/>
      </c>
      <c r="C791" s="17">
        <f>IF($A791="","",YEAR($A791))</f>
        <v/>
      </c>
      <c r="D791" s="13" t="n"/>
      <c r="E791" s="13" t="n"/>
      <c r="F791" s="18" t="n"/>
      <c r="G791" s="18" t="n"/>
      <c r="H791" s="19">
        <f>IF(AND($F791="",$G791=""),"",N($F791)-N($G791))</f>
        <v/>
      </c>
    </row>
    <row r="792">
      <c r="A792" s="15" t="n"/>
      <c r="B792" s="16">
        <f>IF($A792="","",TEXT($A792,"mmm"))</f>
        <v/>
      </c>
      <c r="C792" s="17">
        <f>IF($A792="","",YEAR($A792))</f>
        <v/>
      </c>
      <c r="D792" s="13" t="n"/>
      <c r="E792" s="13" t="n"/>
      <c r="F792" s="18" t="n"/>
      <c r="G792" s="18" t="n"/>
      <c r="H792" s="19">
        <f>IF(AND($F792="",$G792=""),"",N($F792)-N($G792))</f>
        <v/>
      </c>
    </row>
    <row r="793">
      <c r="A793" s="15" t="n"/>
      <c r="B793" s="16">
        <f>IF($A793="","",TEXT($A793,"mmm"))</f>
        <v/>
      </c>
      <c r="C793" s="17">
        <f>IF($A793="","",YEAR($A793))</f>
        <v/>
      </c>
      <c r="D793" s="13" t="n"/>
      <c r="E793" s="13" t="n"/>
      <c r="F793" s="18" t="n"/>
      <c r="G793" s="18" t="n"/>
      <c r="H793" s="19">
        <f>IF(AND($F793="",$G793=""),"",N($F793)-N($G793))</f>
        <v/>
      </c>
    </row>
    <row r="794">
      <c r="A794" s="15" t="n"/>
      <c r="B794" s="16">
        <f>IF($A794="","",TEXT($A794,"mmm"))</f>
        <v/>
      </c>
      <c r="C794" s="17">
        <f>IF($A794="","",YEAR($A794))</f>
        <v/>
      </c>
      <c r="D794" s="13" t="n"/>
      <c r="E794" s="13" t="n"/>
      <c r="F794" s="18" t="n"/>
      <c r="G794" s="18" t="n"/>
      <c r="H794" s="19">
        <f>IF(AND($F794="",$G794=""),"",N($F794)-N($G794))</f>
        <v/>
      </c>
    </row>
    <row r="795">
      <c r="A795" s="15" t="n"/>
      <c r="B795" s="16">
        <f>IF($A795="","",TEXT($A795,"mmm"))</f>
        <v/>
      </c>
      <c r="C795" s="17">
        <f>IF($A795="","",YEAR($A795))</f>
        <v/>
      </c>
      <c r="D795" s="13" t="n"/>
      <c r="E795" s="13" t="n"/>
      <c r="F795" s="18" t="n"/>
      <c r="G795" s="18" t="n"/>
      <c r="H795" s="19">
        <f>IF(AND($F795="",$G795=""),"",N($F795)-N($G795))</f>
        <v/>
      </c>
    </row>
    <row r="796">
      <c r="A796" s="15" t="n"/>
      <c r="B796" s="16">
        <f>IF($A796="","",TEXT($A796,"mmm"))</f>
        <v/>
      </c>
      <c r="C796" s="17">
        <f>IF($A796="","",YEAR($A796))</f>
        <v/>
      </c>
      <c r="D796" s="13" t="n"/>
      <c r="E796" s="13" t="n"/>
      <c r="F796" s="18" t="n"/>
      <c r="G796" s="18" t="n"/>
      <c r="H796" s="19">
        <f>IF(AND($F796="",$G796=""),"",N($F796)-N($G796))</f>
        <v/>
      </c>
    </row>
    <row r="797">
      <c r="A797" s="15" t="n"/>
      <c r="B797" s="16">
        <f>IF($A797="","",TEXT($A797,"mmm"))</f>
        <v/>
      </c>
      <c r="C797" s="17">
        <f>IF($A797="","",YEAR($A797))</f>
        <v/>
      </c>
      <c r="D797" s="13" t="n"/>
      <c r="E797" s="13" t="n"/>
      <c r="F797" s="18" t="n"/>
      <c r="G797" s="18" t="n"/>
      <c r="H797" s="19">
        <f>IF(AND($F797="",$G797=""),"",N($F797)-N($G797))</f>
        <v/>
      </c>
    </row>
    <row r="798">
      <c r="A798" s="15" t="n"/>
      <c r="B798" s="16">
        <f>IF($A798="","",TEXT($A798,"mmm"))</f>
        <v/>
      </c>
      <c r="C798" s="17">
        <f>IF($A798="","",YEAR($A798))</f>
        <v/>
      </c>
      <c r="D798" s="13" t="n"/>
      <c r="E798" s="13" t="n"/>
      <c r="F798" s="18" t="n"/>
      <c r="G798" s="18" t="n"/>
      <c r="H798" s="19">
        <f>IF(AND($F798="",$G798=""),"",N($F798)-N($G798))</f>
        <v/>
      </c>
    </row>
    <row r="799">
      <c r="A799" s="15" t="n"/>
      <c r="B799" s="16">
        <f>IF($A799="","",TEXT($A799,"mmm"))</f>
        <v/>
      </c>
      <c r="C799" s="17">
        <f>IF($A799="","",YEAR($A799))</f>
        <v/>
      </c>
      <c r="D799" s="13" t="n"/>
      <c r="E799" s="13" t="n"/>
      <c r="F799" s="18" t="n"/>
      <c r="G799" s="18" t="n"/>
      <c r="H799" s="19">
        <f>IF(AND($F799="",$G799=""),"",N($F799)-N($G799))</f>
        <v/>
      </c>
    </row>
    <row r="800">
      <c r="A800" s="15" t="n"/>
      <c r="B800" s="16">
        <f>IF($A800="","",TEXT($A800,"mmm"))</f>
        <v/>
      </c>
      <c r="C800" s="17">
        <f>IF($A800="","",YEAR($A800))</f>
        <v/>
      </c>
      <c r="D800" s="13" t="n"/>
      <c r="E800" s="13" t="n"/>
      <c r="F800" s="18" t="n"/>
      <c r="G800" s="18" t="n"/>
      <c r="H800" s="19">
        <f>IF(AND($F800="",$G800=""),"",N($F800)-N($G800))</f>
        <v/>
      </c>
    </row>
    <row r="801">
      <c r="A801" s="15" t="n"/>
      <c r="B801" s="16">
        <f>IF($A801="","",TEXT($A801,"mmm"))</f>
        <v/>
      </c>
      <c r="C801" s="17">
        <f>IF($A801="","",YEAR($A801))</f>
        <v/>
      </c>
      <c r="D801" s="13" t="n"/>
      <c r="E801" s="13" t="n"/>
      <c r="F801" s="18" t="n"/>
      <c r="G801" s="18" t="n"/>
      <c r="H801" s="19">
        <f>IF(AND($F801="",$G801=""),"",N($F801)-N($G801))</f>
        <v/>
      </c>
    </row>
    <row r="802">
      <c r="A802" s="15" t="n"/>
      <c r="B802" s="16">
        <f>IF($A802="","",TEXT($A802,"mmm"))</f>
        <v/>
      </c>
      <c r="C802" s="17">
        <f>IF($A802="","",YEAR($A802))</f>
        <v/>
      </c>
      <c r="D802" s="13" t="n"/>
      <c r="E802" s="13" t="n"/>
      <c r="F802" s="18" t="n"/>
      <c r="G802" s="18" t="n"/>
      <c r="H802" s="19">
        <f>IF(AND($F802="",$G802=""),"",N($F802)-N($G802))</f>
        <v/>
      </c>
    </row>
    <row r="803">
      <c r="A803" s="15" t="n"/>
      <c r="B803" s="16">
        <f>IF($A803="","",TEXT($A803,"mmm"))</f>
        <v/>
      </c>
      <c r="C803" s="17">
        <f>IF($A803="","",YEAR($A803))</f>
        <v/>
      </c>
      <c r="D803" s="13" t="n"/>
      <c r="E803" s="13" t="n"/>
      <c r="F803" s="18" t="n"/>
      <c r="G803" s="18" t="n"/>
      <c r="H803" s="19">
        <f>IF(AND($F803="",$G803=""),"",N($F803)-N($G803))</f>
        <v/>
      </c>
    </row>
    <row r="804">
      <c r="A804" s="15" t="n"/>
      <c r="B804" s="16">
        <f>IF($A804="","",TEXT($A804,"mmm"))</f>
        <v/>
      </c>
      <c r="C804" s="17">
        <f>IF($A804="","",YEAR($A804))</f>
        <v/>
      </c>
      <c r="D804" s="13" t="n"/>
      <c r="E804" s="13" t="n"/>
      <c r="F804" s="18" t="n"/>
      <c r="G804" s="18" t="n"/>
      <c r="H804" s="19">
        <f>IF(AND($F804="",$G804=""),"",N($F804)-N($G804))</f>
        <v/>
      </c>
    </row>
    <row r="805">
      <c r="A805" s="15" t="n"/>
      <c r="B805" s="16">
        <f>IF($A805="","",TEXT($A805,"mmm"))</f>
        <v/>
      </c>
      <c r="C805" s="17">
        <f>IF($A805="","",YEAR($A805))</f>
        <v/>
      </c>
      <c r="D805" s="13" t="n"/>
      <c r="E805" s="13" t="n"/>
      <c r="F805" s="18" t="n"/>
      <c r="G805" s="18" t="n"/>
      <c r="H805" s="19">
        <f>IF(AND($F805="",$G805=""),"",N($F805)-N($G805))</f>
        <v/>
      </c>
    </row>
    <row r="806">
      <c r="A806" s="15" t="n"/>
      <c r="B806" s="16">
        <f>IF($A806="","",TEXT($A806,"mmm"))</f>
        <v/>
      </c>
      <c r="C806" s="17">
        <f>IF($A806="","",YEAR($A806))</f>
        <v/>
      </c>
      <c r="D806" s="13" t="n"/>
      <c r="E806" s="13" t="n"/>
      <c r="F806" s="18" t="n"/>
      <c r="G806" s="18" t="n"/>
      <c r="H806" s="19">
        <f>IF(AND($F806="",$G806=""),"",N($F806)-N($G806))</f>
        <v/>
      </c>
    </row>
    <row r="807">
      <c r="A807" s="15" t="n"/>
      <c r="B807" s="16">
        <f>IF($A807="","",TEXT($A807,"mmm"))</f>
        <v/>
      </c>
      <c r="C807" s="17">
        <f>IF($A807="","",YEAR($A807))</f>
        <v/>
      </c>
      <c r="D807" s="13" t="n"/>
      <c r="E807" s="13" t="n"/>
      <c r="F807" s="18" t="n"/>
      <c r="G807" s="18" t="n"/>
      <c r="H807" s="19">
        <f>IF(AND($F807="",$G807=""),"",N($F807)-N($G807))</f>
        <v/>
      </c>
    </row>
    <row r="808">
      <c r="A808" s="15" t="n"/>
      <c r="B808" s="16">
        <f>IF($A808="","",TEXT($A808,"mmm"))</f>
        <v/>
      </c>
      <c r="C808" s="17">
        <f>IF($A808="","",YEAR($A808))</f>
        <v/>
      </c>
      <c r="D808" s="13" t="n"/>
      <c r="E808" s="13" t="n"/>
      <c r="F808" s="18" t="n"/>
      <c r="G808" s="18" t="n"/>
      <c r="H808" s="19">
        <f>IF(AND($F808="",$G808=""),"",N($F808)-N($G808))</f>
        <v/>
      </c>
    </row>
    <row r="809">
      <c r="A809" s="15" t="n"/>
      <c r="B809" s="16">
        <f>IF($A809="","",TEXT($A809,"mmm"))</f>
        <v/>
      </c>
      <c r="C809" s="17">
        <f>IF($A809="","",YEAR($A809))</f>
        <v/>
      </c>
      <c r="D809" s="13" t="n"/>
      <c r="E809" s="13" t="n"/>
      <c r="F809" s="18" t="n"/>
      <c r="G809" s="18" t="n"/>
      <c r="H809" s="19">
        <f>IF(AND($F809="",$G809=""),"",N($F809)-N($G809))</f>
        <v/>
      </c>
    </row>
    <row r="810">
      <c r="A810" s="15" t="n"/>
      <c r="B810" s="16">
        <f>IF($A810="","",TEXT($A810,"mmm"))</f>
        <v/>
      </c>
      <c r="C810" s="17">
        <f>IF($A810="","",YEAR($A810))</f>
        <v/>
      </c>
      <c r="D810" s="13" t="n"/>
      <c r="E810" s="13" t="n"/>
      <c r="F810" s="18" t="n"/>
      <c r="G810" s="18" t="n"/>
      <c r="H810" s="19">
        <f>IF(AND($F810="",$G810=""),"",N($F810)-N($G810))</f>
        <v/>
      </c>
    </row>
    <row r="811">
      <c r="A811" s="15" t="n"/>
      <c r="B811" s="16">
        <f>IF($A811="","",TEXT($A811,"mmm"))</f>
        <v/>
      </c>
      <c r="C811" s="17">
        <f>IF($A811="","",YEAR($A811))</f>
        <v/>
      </c>
      <c r="D811" s="13" t="n"/>
      <c r="E811" s="13" t="n"/>
      <c r="F811" s="18" t="n"/>
      <c r="G811" s="18" t="n"/>
      <c r="H811" s="19">
        <f>IF(AND($F811="",$G811=""),"",N($F811)-N($G811))</f>
        <v/>
      </c>
    </row>
    <row r="812">
      <c r="A812" s="15" t="n"/>
      <c r="B812" s="16">
        <f>IF($A812="","",TEXT($A812,"mmm"))</f>
        <v/>
      </c>
      <c r="C812" s="17">
        <f>IF($A812="","",YEAR($A812))</f>
        <v/>
      </c>
      <c r="D812" s="13" t="n"/>
      <c r="E812" s="13" t="n"/>
      <c r="F812" s="18" t="n"/>
      <c r="G812" s="18" t="n"/>
      <c r="H812" s="19">
        <f>IF(AND($F812="",$G812=""),"",N($F812)-N($G812))</f>
        <v/>
      </c>
    </row>
    <row r="813">
      <c r="A813" s="15" t="n"/>
      <c r="B813" s="16">
        <f>IF($A813="","",TEXT($A813,"mmm"))</f>
        <v/>
      </c>
      <c r="C813" s="17">
        <f>IF($A813="","",YEAR($A813))</f>
        <v/>
      </c>
      <c r="D813" s="13" t="n"/>
      <c r="E813" s="13" t="n"/>
      <c r="F813" s="18" t="n"/>
      <c r="G813" s="18" t="n"/>
      <c r="H813" s="19">
        <f>IF(AND($F813="",$G813=""),"",N($F813)-N($G813))</f>
        <v/>
      </c>
    </row>
    <row r="814">
      <c r="A814" s="15" t="n"/>
      <c r="B814" s="16">
        <f>IF($A814="","",TEXT($A814,"mmm"))</f>
        <v/>
      </c>
      <c r="C814" s="17">
        <f>IF($A814="","",YEAR($A814))</f>
        <v/>
      </c>
      <c r="D814" s="13" t="n"/>
      <c r="E814" s="13" t="n"/>
      <c r="F814" s="18" t="n"/>
      <c r="G814" s="18" t="n"/>
      <c r="H814" s="19">
        <f>IF(AND($F814="",$G814=""),"",N($F814)-N($G814))</f>
        <v/>
      </c>
    </row>
    <row r="815">
      <c r="A815" s="15" t="n"/>
      <c r="B815" s="16">
        <f>IF($A815="","",TEXT($A815,"mmm"))</f>
        <v/>
      </c>
      <c r="C815" s="17">
        <f>IF($A815="","",YEAR($A815))</f>
        <v/>
      </c>
      <c r="D815" s="13" t="n"/>
      <c r="E815" s="13" t="n"/>
      <c r="F815" s="18" t="n"/>
      <c r="G815" s="18" t="n"/>
      <c r="H815" s="19">
        <f>IF(AND($F815="",$G815=""),"",N($F815)-N($G815))</f>
        <v/>
      </c>
    </row>
    <row r="816">
      <c r="A816" s="15" t="n"/>
      <c r="B816" s="16">
        <f>IF($A816="","",TEXT($A816,"mmm"))</f>
        <v/>
      </c>
      <c r="C816" s="17">
        <f>IF($A816="","",YEAR($A816))</f>
        <v/>
      </c>
      <c r="D816" s="13" t="n"/>
      <c r="E816" s="13" t="n"/>
      <c r="F816" s="18" t="n"/>
      <c r="G816" s="18" t="n"/>
      <c r="H816" s="19">
        <f>IF(AND($F816="",$G816=""),"",N($F816)-N($G816))</f>
        <v/>
      </c>
    </row>
    <row r="817">
      <c r="A817" s="15" t="n"/>
      <c r="B817" s="16">
        <f>IF($A817="","",TEXT($A817,"mmm"))</f>
        <v/>
      </c>
      <c r="C817" s="17">
        <f>IF($A817="","",YEAR($A817))</f>
        <v/>
      </c>
      <c r="D817" s="13" t="n"/>
      <c r="E817" s="13" t="n"/>
      <c r="F817" s="18" t="n"/>
      <c r="G817" s="18" t="n"/>
      <c r="H817" s="19">
        <f>IF(AND($F817="",$G817=""),"",N($F817)-N($G817))</f>
        <v/>
      </c>
    </row>
    <row r="818">
      <c r="A818" s="15" t="n"/>
      <c r="B818" s="16">
        <f>IF($A818="","",TEXT($A818,"mmm"))</f>
        <v/>
      </c>
      <c r="C818" s="17">
        <f>IF($A818="","",YEAR($A818))</f>
        <v/>
      </c>
      <c r="D818" s="13" t="n"/>
      <c r="E818" s="13" t="n"/>
      <c r="F818" s="18" t="n"/>
      <c r="G818" s="18" t="n"/>
      <c r="H818" s="19">
        <f>IF(AND($F818="",$G818=""),"",N($F818)-N($G818))</f>
        <v/>
      </c>
    </row>
    <row r="819">
      <c r="A819" s="15" t="n"/>
      <c r="B819" s="16">
        <f>IF($A819="","",TEXT($A819,"mmm"))</f>
        <v/>
      </c>
      <c r="C819" s="17">
        <f>IF($A819="","",YEAR($A819))</f>
        <v/>
      </c>
      <c r="D819" s="13" t="n"/>
      <c r="E819" s="13" t="n"/>
      <c r="F819" s="18" t="n"/>
      <c r="G819" s="18" t="n"/>
      <c r="H819" s="19">
        <f>IF(AND($F819="",$G819=""),"",N($F819)-N($G819))</f>
        <v/>
      </c>
    </row>
    <row r="820">
      <c r="A820" s="15" t="n"/>
      <c r="B820" s="16">
        <f>IF($A820="","",TEXT($A820,"mmm"))</f>
        <v/>
      </c>
      <c r="C820" s="17">
        <f>IF($A820="","",YEAR($A820))</f>
        <v/>
      </c>
      <c r="D820" s="13" t="n"/>
      <c r="E820" s="13" t="n"/>
      <c r="F820" s="18" t="n"/>
      <c r="G820" s="18" t="n"/>
      <c r="H820" s="19">
        <f>IF(AND($F820="",$G820=""),"",N($F820)-N($G820))</f>
        <v/>
      </c>
    </row>
    <row r="821">
      <c r="A821" s="15" t="n"/>
      <c r="B821" s="16">
        <f>IF($A821="","",TEXT($A821,"mmm"))</f>
        <v/>
      </c>
      <c r="C821" s="17">
        <f>IF($A821="","",YEAR($A821))</f>
        <v/>
      </c>
      <c r="D821" s="13" t="n"/>
      <c r="E821" s="13" t="n"/>
      <c r="F821" s="18" t="n"/>
      <c r="G821" s="18" t="n"/>
      <c r="H821" s="19">
        <f>IF(AND($F821="",$G821=""),"",N($F821)-N($G821))</f>
        <v/>
      </c>
    </row>
    <row r="822">
      <c r="A822" s="15" t="n"/>
      <c r="B822" s="16">
        <f>IF($A822="","",TEXT($A822,"mmm"))</f>
        <v/>
      </c>
      <c r="C822" s="17">
        <f>IF($A822="","",YEAR($A822))</f>
        <v/>
      </c>
      <c r="D822" s="13" t="n"/>
      <c r="E822" s="13" t="n"/>
      <c r="F822" s="18" t="n"/>
      <c r="G822" s="18" t="n"/>
      <c r="H822" s="19">
        <f>IF(AND($F822="",$G822=""),"",N($F822)-N($G822))</f>
        <v/>
      </c>
    </row>
    <row r="823">
      <c r="A823" s="15" t="n"/>
      <c r="B823" s="16">
        <f>IF($A823="","",TEXT($A823,"mmm"))</f>
        <v/>
      </c>
      <c r="C823" s="17">
        <f>IF($A823="","",YEAR($A823))</f>
        <v/>
      </c>
      <c r="D823" s="13" t="n"/>
      <c r="E823" s="13" t="n"/>
      <c r="F823" s="18" t="n"/>
      <c r="G823" s="18" t="n"/>
      <c r="H823" s="19">
        <f>IF(AND($F823="",$G823=""),"",N($F823)-N($G823))</f>
        <v/>
      </c>
    </row>
    <row r="824">
      <c r="A824" s="15" t="n"/>
      <c r="B824" s="16">
        <f>IF($A824="","",TEXT($A824,"mmm"))</f>
        <v/>
      </c>
      <c r="C824" s="17">
        <f>IF($A824="","",YEAR($A824))</f>
        <v/>
      </c>
      <c r="D824" s="13" t="n"/>
      <c r="E824" s="13" t="n"/>
      <c r="F824" s="18" t="n"/>
      <c r="G824" s="18" t="n"/>
      <c r="H824" s="19">
        <f>IF(AND($F824="",$G824=""),"",N($F824)-N($G824))</f>
        <v/>
      </c>
    </row>
    <row r="825">
      <c r="A825" s="15" t="n"/>
      <c r="B825" s="16">
        <f>IF($A825="","",TEXT($A825,"mmm"))</f>
        <v/>
      </c>
      <c r="C825" s="17">
        <f>IF($A825="","",YEAR($A825))</f>
        <v/>
      </c>
      <c r="D825" s="13" t="n"/>
      <c r="E825" s="13" t="n"/>
      <c r="F825" s="18" t="n"/>
      <c r="G825" s="18" t="n"/>
      <c r="H825" s="19">
        <f>IF(AND($F825="",$G825=""),"",N($F825)-N($G825))</f>
        <v/>
      </c>
    </row>
    <row r="826">
      <c r="A826" s="15" t="n"/>
      <c r="B826" s="16">
        <f>IF($A826="","",TEXT($A826,"mmm"))</f>
        <v/>
      </c>
      <c r="C826" s="17">
        <f>IF($A826="","",YEAR($A826))</f>
        <v/>
      </c>
      <c r="D826" s="13" t="n"/>
      <c r="E826" s="13" t="n"/>
      <c r="F826" s="18" t="n"/>
      <c r="G826" s="18" t="n"/>
      <c r="H826" s="19">
        <f>IF(AND($F826="",$G826=""),"",N($F826)-N($G826))</f>
        <v/>
      </c>
    </row>
    <row r="827">
      <c r="A827" s="15" t="n"/>
      <c r="B827" s="16">
        <f>IF($A827="","",TEXT($A827,"mmm"))</f>
        <v/>
      </c>
      <c r="C827" s="17">
        <f>IF($A827="","",YEAR($A827))</f>
        <v/>
      </c>
      <c r="D827" s="13" t="n"/>
      <c r="E827" s="13" t="n"/>
      <c r="F827" s="18" t="n"/>
      <c r="G827" s="18" t="n"/>
      <c r="H827" s="19">
        <f>IF(AND($F827="",$G827=""),"",N($F827)-N($G827))</f>
        <v/>
      </c>
    </row>
    <row r="828">
      <c r="A828" s="15" t="n"/>
      <c r="B828" s="16">
        <f>IF($A828="","",TEXT($A828,"mmm"))</f>
        <v/>
      </c>
      <c r="C828" s="17">
        <f>IF($A828="","",YEAR($A828))</f>
        <v/>
      </c>
      <c r="D828" s="13" t="n"/>
      <c r="E828" s="13" t="n"/>
      <c r="F828" s="18" t="n"/>
      <c r="G828" s="18" t="n"/>
      <c r="H828" s="19">
        <f>IF(AND($F828="",$G828=""),"",N($F828)-N($G828))</f>
        <v/>
      </c>
    </row>
    <row r="829">
      <c r="A829" s="15" t="n"/>
      <c r="B829" s="16">
        <f>IF($A829="","",TEXT($A829,"mmm"))</f>
        <v/>
      </c>
      <c r="C829" s="17">
        <f>IF($A829="","",YEAR($A829))</f>
        <v/>
      </c>
      <c r="D829" s="13" t="n"/>
      <c r="E829" s="13" t="n"/>
      <c r="F829" s="18" t="n"/>
      <c r="G829" s="18" t="n"/>
      <c r="H829" s="19">
        <f>IF(AND($F829="",$G829=""),"",N($F829)-N($G829))</f>
        <v/>
      </c>
    </row>
    <row r="830">
      <c r="A830" s="15" t="n"/>
      <c r="B830" s="16">
        <f>IF($A830="","",TEXT($A830,"mmm"))</f>
        <v/>
      </c>
      <c r="C830" s="17">
        <f>IF($A830="","",YEAR($A830))</f>
        <v/>
      </c>
      <c r="D830" s="13" t="n"/>
      <c r="E830" s="13" t="n"/>
      <c r="F830" s="18" t="n"/>
      <c r="G830" s="18" t="n"/>
      <c r="H830" s="19">
        <f>IF(AND($F830="",$G830=""),"",N($F830)-N($G830))</f>
        <v/>
      </c>
    </row>
    <row r="831">
      <c r="A831" s="15" t="n"/>
      <c r="B831" s="16">
        <f>IF($A831="","",TEXT($A831,"mmm"))</f>
        <v/>
      </c>
      <c r="C831" s="17">
        <f>IF($A831="","",YEAR($A831))</f>
        <v/>
      </c>
      <c r="D831" s="13" t="n"/>
      <c r="E831" s="13" t="n"/>
      <c r="F831" s="18" t="n"/>
      <c r="G831" s="18" t="n"/>
      <c r="H831" s="19">
        <f>IF(AND($F831="",$G831=""),"",N($F831)-N($G831))</f>
        <v/>
      </c>
    </row>
    <row r="832">
      <c r="A832" s="15" t="n"/>
      <c r="B832" s="16">
        <f>IF($A832="","",TEXT($A832,"mmm"))</f>
        <v/>
      </c>
      <c r="C832" s="17">
        <f>IF($A832="","",YEAR($A832))</f>
        <v/>
      </c>
      <c r="D832" s="13" t="n"/>
      <c r="E832" s="13" t="n"/>
      <c r="F832" s="18" t="n"/>
      <c r="G832" s="18" t="n"/>
      <c r="H832" s="19">
        <f>IF(AND($F832="",$G832=""),"",N($F832)-N($G832))</f>
        <v/>
      </c>
    </row>
    <row r="833">
      <c r="A833" s="15" t="n"/>
      <c r="B833" s="16">
        <f>IF($A833="","",TEXT($A833,"mmm"))</f>
        <v/>
      </c>
      <c r="C833" s="17">
        <f>IF($A833="","",YEAR($A833))</f>
        <v/>
      </c>
      <c r="D833" s="13" t="n"/>
      <c r="E833" s="13" t="n"/>
      <c r="F833" s="18" t="n"/>
      <c r="G833" s="18" t="n"/>
      <c r="H833" s="19">
        <f>IF(AND($F833="",$G833=""),"",N($F833)-N($G833))</f>
        <v/>
      </c>
    </row>
    <row r="834">
      <c r="A834" s="15" t="n"/>
      <c r="B834" s="16">
        <f>IF($A834="","",TEXT($A834,"mmm"))</f>
        <v/>
      </c>
      <c r="C834" s="17">
        <f>IF($A834="","",YEAR($A834))</f>
        <v/>
      </c>
      <c r="D834" s="13" t="n"/>
      <c r="E834" s="13" t="n"/>
      <c r="F834" s="18" t="n"/>
      <c r="G834" s="18" t="n"/>
      <c r="H834" s="19">
        <f>IF(AND($F834="",$G834=""),"",N($F834)-N($G834))</f>
        <v/>
      </c>
    </row>
    <row r="835">
      <c r="A835" s="15" t="n"/>
      <c r="B835" s="16">
        <f>IF($A835="","",TEXT($A835,"mmm"))</f>
        <v/>
      </c>
      <c r="C835" s="17">
        <f>IF($A835="","",YEAR($A835))</f>
        <v/>
      </c>
      <c r="D835" s="13" t="n"/>
      <c r="E835" s="13" t="n"/>
      <c r="F835" s="18" t="n"/>
      <c r="G835" s="18" t="n"/>
      <c r="H835" s="19">
        <f>IF(AND($F835="",$G835=""),"",N($F835)-N($G835))</f>
        <v/>
      </c>
    </row>
    <row r="836">
      <c r="A836" s="15" t="n"/>
      <c r="B836" s="16">
        <f>IF($A836="","",TEXT($A836,"mmm"))</f>
        <v/>
      </c>
      <c r="C836" s="17">
        <f>IF($A836="","",YEAR($A836))</f>
        <v/>
      </c>
      <c r="D836" s="13" t="n"/>
      <c r="E836" s="13" t="n"/>
      <c r="F836" s="18" t="n"/>
      <c r="G836" s="18" t="n"/>
      <c r="H836" s="19">
        <f>IF(AND($F836="",$G836=""),"",N($F836)-N($G836))</f>
        <v/>
      </c>
    </row>
    <row r="837">
      <c r="A837" s="15" t="n"/>
      <c r="B837" s="16">
        <f>IF($A837="","",TEXT($A837,"mmm"))</f>
        <v/>
      </c>
      <c r="C837" s="17">
        <f>IF($A837="","",YEAR($A837))</f>
        <v/>
      </c>
      <c r="D837" s="13" t="n"/>
      <c r="E837" s="13" t="n"/>
      <c r="F837" s="18" t="n"/>
      <c r="G837" s="18" t="n"/>
      <c r="H837" s="19">
        <f>IF(AND($F837="",$G837=""),"",N($F837)-N($G837))</f>
        <v/>
      </c>
    </row>
    <row r="838">
      <c r="A838" s="15" t="n"/>
      <c r="B838" s="16">
        <f>IF($A838="","",TEXT($A838,"mmm"))</f>
        <v/>
      </c>
      <c r="C838" s="17">
        <f>IF($A838="","",YEAR($A838))</f>
        <v/>
      </c>
      <c r="D838" s="13" t="n"/>
      <c r="E838" s="13" t="n"/>
      <c r="F838" s="18" t="n"/>
      <c r="G838" s="18" t="n"/>
      <c r="H838" s="19">
        <f>IF(AND($F838="",$G838=""),"",N($F838)-N($G838))</f>
        <v/>
      </c>
    </row>
    <row r="839">
      <c r="A839" s="15" t="n"/>
      <c r="B839" s="16">
        <f>IF($A839="","",TEXT($A839,"mmm"))</f>
        <v/>
      </c>
      <c r="C839" s="17">
        <f>IF($A839="","",YEAR($A839))</f>
        <v/>
      </c>
      <c r="D839" s="13" t="n"/>
      <c r="E839" s="13" t="n"/>
      <c r="F839" s="18" t="n"/>
      <c r="G839" s="18" t="n"/>
      <c r="H839" s="19">
        <f>IF(AND($F839="",$G839=""),"",N($F839)-N($G839))</f>
        <v/>
      </c>
    </row>
    <row r="840">
      <c r="A840" s="15" t="n"/>
      <c r="B840" s="16">
        <f>IF($A840="","",TEXT($A840,"mmm"))</f>
        <v/>
      </c>
      <c r="C840" s="17">
        <f>IF($A840="","",YEAR($A840))</f>
        <v/>
      </c>
      <c r="D840" s="13" t="n"/>
      <c r="E840" s="13" t="n"/>
      <c r="F840" s="18" t="n"/>
      <c r="G840" s="18" t="n"/>
      <c r="H840" s="19">
        <f>IF(AND($F840="",$G840=""),"",N($F840)-N($G840))</f>
        <v/>
      </c>
    </row>
    <row r="841">
      <c r="A841" s="15" t="n"/>
      <c r="B841" s="16">
        <f>IF($A841="","",TEXT($A841,"mmm"))</f>
        <v/>
      </c>
      <c r="C841" s="17">
        <f>IF($A841="","",YEAR($A841))</f>
        <v/>
      </c>
      <c r="D841" s="13" t="n"/>
      <c r="E841" s="13" t="n"/>
      <c r="F841" s="18" t="n"/>
      <c r="G841" s="18" t="n"/>
      <c r="H841" s="19">
        <f>IF(AND($F841="",$G841=""),"",N($F841)-N($G841))</f>
        <v/>
      </c>
    </row>
    <row r="842">
      <c r="A842" s="15" t="n"/>
      <c r="B842" s="16">
        <f>IF($A842="","",TEXT($A842,"mmm"))</f>
        <v/>
      </c>
      <c r="C842" s="17">
        <f>IF($A842="","",YEAR($A842))</f>
        <v/>
      </c>
      <c r="D842" s="13" t="n"/>
      <c r="E842" s="13" t="n"/>
      <c r="F842" s="18" t="n"/>
      <c r="G842" s="18" t="n"/>
      <c r="H842" s="19">
        <f>IF(AND($F842="",$G842=""),"",N($F842)-N($G842))</f>
        <v/>
      </c>
    </row>
    <row r="843">
      <c r="A843" s="15" t="n"/>
      <c r="B843" s="16">
        <f>IF($A843="","",TEXT($A843,"mmm"))</f>
        <v/>
      </c>
      <c r="C843" s="17">
        <f>IF($A843="","",YEAR($A843))</f>
        <v/>
      </c>
      <c r="D843" s="13" t="n"/>
      <c r="E843" s="13" t="n"/>
      <c r="F843" s="18" t="n"/>
      <c r="G843" s="18" t="n"/>
      <c r="H843" s="19">
        <f>IF(AND($F843="",$G843=""),"",N($F843)-N($G843))</f>
        <v/>
      </c>
    </row>
    <row r="844">
      <c r="A844" s="15" t="n"/>
      <c r="B844" s="16">
        <f>IF($A844="","",TEXT($A844,"mmm"))</f>
        <v/>
      </c>
      <c r="C844" s="17">
        <f>IF($A844="","",YEAR($A844))</f>
        <v/>
      </c>
      <c r="D844" s="13" t="n"/>
      <c r="E844" s="13" t="n"/>
      <c r="F844" s="18" t="n"/>
      <c r="G844" s="18" t="n"/>
      <c r="H844" s="19">
        <f>IF(AND($F844="",$G844=""),"",N($F844)-N($G844))</f>
        <v/>
      </c>
    </row>
    <row r="845">
      <c r="A845" s="15" t="n"/>
      <c r="B845" s="16">
        <f>IF($A845="","",TEXT($A845,"mmm"))</f>
        <v/>
      </c>
      <c r="C845" s="17">
        <f>IF($A845="","",YEAR($A845))</f>
        <v/>
      </c>
      <c r="D845" s="13" t="n"/>
      <c r="E845" s="13" t="n"/>
      <c r="F845" s="18" t="n"/>
      <c r="G845" s="18" t="n"/>
      <c r="H845" s="19">
        <f>IF(AND($F845="",$G845=""),"",N($F845)-N($G845))</f>
        <v/>
      </c>
    </row>
    <row r="846">
      <c r="A846" s="15" t="n"/>
      <c r="B846" s="16">
        <f>IF($A846="","",TEXT($A846,"mmm"))</f>
        <v/>
      </c>
      <c r="C846" s="17">
        <f>IF($A846="","",YEAR($A846))</f>
        <v/>
      </c>
      <c r="D846" s="13" t="n"/>
      <c r="E846" s="13" t="n"/>
      <c r="F846" s="18" t="n"/>
      <c r="G846" s="18" t="n"/>
      <c r="H846" s="19">
        <f>IF(AND($F846="",$G846=""),"",N($F846)-N($G846))</f>
        <v/>
      </c>
    </row>
    <row r="847">
      <c r="A847" s="15" t="n"/>
      <c r="B847" s="16">
        <f>IF($A847="","",TEXT($A847,"mmm"))</f>
        <v/>
      </c>
      <c r="C847" s="17">
        <f>IF($A847="","",YEAR($A847))</f>
        <v/>
      </c>
      <c r="D847" s="13" t="n"/>
      <c r="E847" s="13" t="n"/>
      <c r="F847" s="18" t="n"/>
      <c r="G847" s="18" t="n"/>
      <c r="H847" s="19">
        <f>IF(AND($F847="",$G847=""),"",N($F847)-N($G847))</f>
        <v/>
      </c>
    </row>
    <row r="848">
      <c r="A848" s="15" t="n"/>
      <c r="B848" s="16">
        <f>IF($A848="","",TEXT($A848,"mmm"))</f>
        <v/>
      </c>
      <c r="C848" s="17">
        <f>IF($A848="","",YEAR($A848))</f>
        <v/>
      </c>
      <c r="D848" s="13" t="n"/>
      <c r="E848" s="13" t="n"/>
      <c r="F848" s="18" t="n"/>
      <c r="G848" s="18" t="n"/>
      <c r="H848" s="19">
        <f>IF(AND($F848="",$G848=""),"",N($F848)-N($G848))</f>
        <v/>
      </c>
    </row>
    <row r="849">
      <c r="A849" s="15" t="n"/>
      <c r="B849" s="16">
        <f>IF($A849="","",TEXT($A849,"mmm"))</f>
        <v/>
      </c>
      <c r="C849" s="17">
        <f>IF($A849="","",YEAR($A849))</f>
        <v/>
      </c>
      <c r="D849" s="13" t="n"/>
      <c r="E849" s="13" t="n"/>
      <c r="F849" s="18" t="n"/>
      <c r="G849" s="18" t="n"/>
      <c r="H849" s="19">
        <f>IF(AND($F849="",$G849=""),"",N($F849)-N($G849))</f>
        <v/>
      </c>
    </row>
    <row r="850">
      <c r="A850" s="15" t="n"/>
      <c r="B850" s="16">
        <f>IF($A850="","",TEXT($A850,"mmm"))</f>
        <v/>
      </c>
      <c r="C850" s="17">
        <f>IF($A850="","",YEAR($A850))</f>
        <v/>
      </c>
      <c r="D850" s="13" t="n"/>
      <c r="E850" s="13" t="n"/>
      <c r="F850" s="18" t="n"/>
      <c r="G850" s="18" t="n"/>
      <c r="H850" s="19">
        <f>IF(AND($F850="",$G850=""),"",N($F850)-N($G850))</f>
        <v/>
      </c>
    </row>
    <row r="851">
      <c r="A851" s="15" t="n"/>
      <c r="B851" s="16">
        <f>IF($A851="","",TEXT($A851,"mmm"))</f>
        <v/>
      </c>
      <c r="C851" s="17">
        <f>IF($A851="","",YEAR($A851))</f>
        <v/>
      </c>
      <c r="D851" s="13" t="n"/>
      <c r="E851" s="13" t="n"/>
      <c r="F851" s="18" t="n"/>
      <c r="G851" s="18" t="n"/>
      <c r="H851" s="19">
        <f>IF(AND($F851="",$G851=""),"",N($F851)-N($G851))</f>
        <v/>
      </c>
    </row>
    <row r="852">
      <c r="A852" s="15" t="n"/>
      <c r="B852" s="16">
        <f>IF($A852="","",TEXT($A852,"mmm"))</f>
        <v/>
      </c>
      <c r="C852" s="17">
        <f>IF($A852="","",YEAR($A852))</f>
        <v/>
      </c>
      <c r="D852" s="13" t="n"/>
      <c r="E852" s="13" t="n"/>
      <c r="F852" s="18" t="n"/>
      <c r="G852" s="18" t="n"/>
      <c r="H852" s="19">
        <f>IF(AND($F852="",$G852=""),"",N($F852)-N($G852))</f>
        <v/>
      </c>
    </row>
    <row r="853">
      <c r="A853" s="15" t="n"/>
      <c r="B853" s="16">
        <f>IF($A853="","",TEXT($A853,"mmm"))</f>
        <v/>
      </c>
      <c r="C853" s="17">
        <f>IF($A853="","",YEAR($A853))</f>
        <v/>
      </c>
      <c r="D853" s="13" t="n"/>
      <c r="E853" s="13" t="n"/>
      <c r="F853" s="18" t="n"/>
      <c r="G853" s="18" t="n"/>
      <c r="H853" s="19">
        <f>IF(AND($F853="",$G853=""),"",N($F853)-N($G853))</f>
        <v/>
      </c>
    </row>
    <row r="854">
      <c r="A854" s="15" t="n"/>
      <c r="B854" s="16">
        <f>IF($A854="","",TEXT($A854,"mmm"))</f>
        <v/>
      </c>
      <c r="C854" s="17">
        <f>IF($A854="","",YEAR($A854))</f>
        <v/>
      </c>
      <c r="D854" s="13" t="n"/>
      <c r="E854" s="13" t="n"/>
      <c r="F854" s="18" t="n"/>
      <c r="G854" s="18" t="n"/>
      <c r="H854" s="19">
        <f>IF(AND($F854="",$G854=""),"",N($F854)-N($G854))</f>
        <v/>
      </c>
    </row>
    <row r="855">
      <c r="A855" s="15" t="n"/>
      <c r="B855" s="16">
        <f>IF($A855="","",TEXT($A855,"mmm"))</f>
        <v/>
      </c>
      <c r="C855" s="17">
        <f>IF($A855="","",YEAR($A855))</f>
        <v/>
      </c>
      <c r="D855" s="13" t="n"/>
      <c r="E855" s="13" t="n"/>
      <c r="F855" s="18" t="n"/>
      <c r="G855" s="18" t="n"/>
      <c r="H855" s="19">
        <f>IF(AND($F855="",$G855=""),"",N($F855)-N($G855))</f>
        <v/>
      </c>
    </row>
    <row r="856">
      <c r="A856" s="15" t="n"/>
      <c r="B856" s="16">
        <f>IF($A856="","",TEXT($A856,"mmm"))</f>
        <v/>
      </c>
      <c r="C856" s="17">
        <f>IF($A856="","",YEAR($A856))</f>
        <v/>
      </c>
      <c r="D856" s="13" t="n"/>
      <c r="E856" s="13" t="n"/>
      <c r="F856" s="18" t="n"/>
      <c r="G856" s="18" t="n"/>
      <c r="H856" s="19">
        <f>IF(AND($F856="",$G856=""),"",N($F856)-N($G856))</f>
        <v/>
      </c>
    </row>
    <row r="857">
      <c r="A857" s="15" t="n"/>
      <c r="B857" s="16">
        <f>IF($A857="","",TEXT($A857,"mmm"))</f>
        <v/>
      </c>
      <c r="C857" s="17">
        <f>IF($A857="","",YEAR($A857))</f>
        <v/>
      </c>
      <c r="D857" s="13" t="n"/>
      <c r="E857" s="13" t="n"/>
      <c r="F857" s="18" t="n"/>
      <c r="G857" s="18" t="n"/>
      <c r="H857" s="19">
        <f>IF(AND($F857="",$G857=""),"",N($F857)-N($G857))</f>
        <v/>
      </c>
    </row>
    <row r="858">
      <c r="A858" s="15" t="n"/>
      <c r="B858" s="16">
        <f>IF($A858="","",TEXT($A858,"mmm"))</f>
        <v/>
      </c>
      <c r="C858" s="17">
        <f>IF($A858="","",YEAR($A858))</f>
        <v/>
      </c>
      <c r="D858" s="13" t="n"/>
      <c r="E858" s="13" t="n"/>
      <c r="F858" s="18" t="n"/>
      <c r="G858" s="18" t="n"/>
      <c r="H858" s="19">
        <f>IF(AND($F858="",$G858=""),"",N($F858)-N($G858))</f>
        <v/>
      </c>
    </row>
    <row r="859">
      <c r="A859" s="15" t="n"/>
      <c r="B859" s="16">
        <f>IF($A859="","",TEXT($A859,"mmm"))</f>
        <v/>
      </c>
      <c r="C859" s="17">
        <f>IF($A859="","",YEAR($A859))</f>
        <v/>
      </c>
      <c r="D859" s="13" t="n"/>
      <c r="E859" s="13" t="n"/>
      <c r="F859" s="18" t="n"/>
      <c r="G859" s="18" t="n"/>
      <c r="H859" s="19">
        <f>IF(AND($F859="",$G859=""),"",N($F859)-N($G859))</f>
        <v/>
      </c>
    </row>
    <row r="860">
      <c r="A860" s="15" t="n"/>
      <c r="B860" s="16">
        <f>IF($A860="","",TEXT($A860,"mmm"))</f>
        <v/>
      </c>
      <c r="C860" s="17">
        <f>IF($A860="","",YEAR($A860))</f>
        <v/>
      </c>
      <c r="D860" s="13" t="n"/>
      <c r="E860" s="13" t="n"/>
      <c r="F860" s="18" t="n"/>
      <c r="G860" s="18" t="n"/>
      <c r="H860" s="19">
        <f>IF(AND($F860="",$G860=""),"",N($F860)-N($G860))</f>
        <v/>
      </c>
    </row>
    <row r="861">
      <c r="A861" s="15" t="n"/>
      <c r="B861" s="16">
        <f>IF($A861="","",TEXT($A861,"mmm"))</f>
        <v/>
      </c>
      <c r="C861" s="17">
        <f>IF($A861="","",YEAR($A861))</f>
        <v/>
      </c>
      <c r="D861" s="13" t="n"/>
      <c r="E861" s="13" t="n"/>
      <c r="F861" s="18" t="n"/>
      <c r="G861" s="18" t="n"/>
      <c r="H861" s="19">
        <f>IF(AND($F861="",$G861=""),"",N($F861)-N($G861))</f>
        <v/>
      </c>
    </row>
    <row r="862">
      <c r="A862" s="15" t="n"/>
      <c r="B862" s="16">
        <f>IF($A862="","",TEXT($A862,"mmm"))</f>
        <v/>
      </c>
      <c r="C862" s="17">
        <f>IF($A862="","",YEAR($A862))</f>
        <v/>
      </c>
      <c r="D862" s="13" t="n"/>
      <c r="E862" s="13" t="n"/>
      <c r="F862" s="18" t="n"/>
      <c r="G862" s="18" t="n"/>
      <c r="H862" s="19">
        <f>IF(AND($F862="",$G862=""),"",N($F862)-N($G862))</f>
        <v/>
      </c>
    </row>
    <row r="863">
      <c r="A863" s="15" t="n"/>
      <c r="B863" s="16">
        <f>IF($A863="","",TEXT($A863,"mmm"))</f>
        <v/>
      </c>
      <c r="C863" s="17">
        <f>IF($A863="","",YEAR($A863))</f>
        <v/>
      </c>
      <c r="D863" s="13" t="n"/>
      <c r="E863" s="13" t="n"/>
      <c r="F863" s="18" t="n"/>
      <c r="G863" s="18" t="n"/>
      <c r="H863" s="19">
        <f>IF(AND($F863="",$G863=""),"",N($F863)-N($G863))</f>
        <v/>
      </c>
    </row>
    <row r="864">
      <c r="A864" s="15" t="n"/>
      <c r="B864" s="16">
        <f>IF($A864="","",TEXT($A864,"mmm"))</f>
        <v/>
      </c>
      <c r="C864" s="17">
        <f>IF($A864="","",YEAR($A864))</f>
        <v/>
      </c>
      <c r="D864" s="13" t="n"/>
      <c r="E864" s="13" t="n"/>
      <c r="F864" s="18" t="n"/>
      <c r="G864" s="18" t="n"/>
      <c r="H864" s="19">
        <f>IF(AND($F864="",$G864=""),"",N($F864)-N($G864))</f>
        <v/>
      </c>
    </row>
    <row r="865">
      <c r="A865" s="15" t="n"/>
      <c r="B865" s="16">
        <f>IF($A865="","",TEXT($A865,"mmm"))</f>
        <v/>
      </c>
      <c r="C865" s="17">
        <f>IF($A865="","",YEAR($A865))</f>
        <v/>
      </c>
      <c r="D865" s="13" t="n"/>
      <c r="E865" s="13" t="n"/>
      <c r="F865" s="18" t="n"/>
      <c r="G865" s="18" t="n"/>
      <c r="H865" s="19">
        <f>IF(AND($F865="",$G865=""),"",N($F865)-N($G865))</f>
        <v/>
      </c>
    </row>
    <row r="866">
      <c r="A866" s="15" t="n"/>
      <c r="B866" s="16">
        <f>IF($A866="","",TEXT($A866,"mmm"))</f>
        <v/>
      </c>
      <c r="C866" s="17">
        <f>IF($A866="","",YEAR($A866))</f>
        <v/>
      </c>
      <c r="D866" s="13" t="n"/>
      <c r="E866" s="13" t="n"/>
      <c r="F866" s="18" t="n"/>
      <c r="G866" s="18" t="n"/>
      <c r="H866" s="19">
        <f>IF(AND($F866="",$G866=""),"",N($F866)-N($G866))</f>
        <v/>
      </c>
    </row>
    <row r="867">
      <c r="A867" s="15" t="n"/>
      <c r="B867" s="16">
        <f>IF($A867="","",TEXT($A867,"mmm"))</f>
        <v/>
      </c>
      <c r="C867" s="17">
        <f>IF($A867="","",YEAR($A867))</f>
        <v/>
      </c>
      <c r="D867" s="13" t="n"/>
      <c r="E867" s="13" t="n"/>
      <c r="F867" s="18" t="n"/>
      <c r="G867" s="18" t="n"/>
      <c r="H867" s="19">
        <f>IF(AND($F867="",$G867=""),"",N($F867)-N($G867))</f>
        <v/>
      </c>
    </row>
    <row r="868">
      <c r="A868" s="15" t="n"/>
      <c r="B868" s="16">
        <f>IF($A868="","",TEXT($A868,"mmm"))</f>
        <v/>
      </c>
      <c r="C868" s="17">
        <f>IF($A868="","",YEAR($A868))</f>
        <v/>
      </c>
      <c r="D868" s="13" t="n"/>
      <c r="E868" s="13" t="n"/>
      <c r="F868" s="18" t="n"/>
      <c r="G868" s="18" t="n"/>
      <c r="H868" s="19">
        <f>IF(AND($F868="",$G868=""),"",N($F868)-N($G868))</f>
        <v/>
      </c>
    </row>
    <row r="869">
      <c r="A869" s="15" t="n"/>
      <c r="B869" s="16">
        <f>IF($A869="","",TEXT($A869,"mmm"))</f>
        <v/>
      </c>
      <c r="C869" s="17">
        <f>IF($A869="","",YEAR($A869))</f>
        <v/>
      </c>
      <c r="D869" s="13" t="n"/>
      <c r="E869" s="13" t="n"/>
      <c r="F869" s="18" t="n"/>
      <c r="G869" s="18" t="n"/>
      <c r="H869" s="19">
        <f>IF(AND($F869="",$G869=""),"",N($F869)-N($G869))</f>
        <v/>
      </c>
    </row>
    <row r="870">
      <c r="A870" s="15" t="n"/>
      <c r="B870" s="16">
        <f>IF($A870="","",TEXT($A870,"mmm"))</f>
        <v/>
      </c>
      <c r="C870" s="17">
        <f>IF($A870="","",YEAR($A870))</f>
        <v/>
      </c>
      <c r="D870" s="13" t="n"/>
      <c r="E870" s="13" t="n"/>
      <c r="F870" s="18" t="n"/>
      <c r="G870" s="18" t="n"/>
      <c r="H870" s="19">
        <f>IF(AND($F870="",$G870=""),"",N($F870)-N($G870))</f>
        <v/>
      </c>
    </row>
    <row r="871">
      <c r="A871" s="15" t="n"/>
      <c r="B871" s="16">
        <f>IF($A871="","",TEXT($A871,"mmm"))</f>
        <v/>
      </c>
      <c r="C871" s="17">
        <f>IF($A871="","",YEAR($A871))</f>
        <v/>
      </c>
      <c r="D871" s="13" t="n"/>
      <c r="E871" s="13" t="n"/>
      <c r="F871" s="18" t="n"/>
      <c r="G871" s="18" t="n"/>
      <c r="H871" s="19">
        <f>IF(AND($F871="",$G871=""),"",N($F871)-N($G871))</f>
        <v/>
      </c>
    </row>
    <row r="872">
      <c r="A872" s="15" t="n"/>
      <c r="B872" s="16">
        <f>IF($A872="","",TEXT($A872,"mmm"))</f>
        <v/>
      </c>
      <c r="C872" s="17">
        <f>IF($A872="","",YEAR($A872))</f>
        <v/>
      </c>
      <c r="D872" s="13" t="n"/>
      <c r="E872" s="13" t="n"/>
      <c r="F872" s="18" t="n"/>
      <c r="G872" s="18" t="n"/>
      <c r="H872" s="19">
        <f>IF(AND($F872="",$G872=""),"",N($F872)-N($G872))</f>
        <v/>
      </c>
    </row>
    <row r="873">
      <c r="A873" s="15" t="n"/>
      <c r="B873" s="16">
        <f>IF($A873="","",TEXT($A873,"mmm"))</f>
        <v/>
      </c>
      <c r="C873" s="17">
        <f>IF($A873="","",YEAR($A873))</f>
        <v/>
      </c>
      <c r="D873" s="13" t="n"/>
      <c r="E873" s="13" t="n"/>
      <c r="F873" s="18" t="n"/>
      <c r="G873" s="18" t="n"/>
      <c r="H873" s="19">
        <f>IF(AND($F873="",$G873=""),"",N($F873)-N($G873))</f>
        <v/>
      </c>
    </row>
    <row r="874">
      <c r="A874" s="15" t="n"/>
      <c r="B874" s="16">
        <f>IF($A874="","",TEXT($A874,"mmm"))</f>
        <v/>
      </c>
      <c r="C874" s="17">
        <f>IF($A874="","",YEAR($A874))</f>
        <v/>
      </c>
      <c r="D874" s="13" t="n"/>
      <c r="E874" s="13" t="n"/>
      <c r="F874" s="18" t="n"/>
      <c r="G874" s="18" t="n"/>
      <c r="H874" s="19">
        <f>IF(AND($F874="",$G874=""),"",N($F874)-N($G874))</f>
        <v/>
      </c>
    </row>
    <row r="875">
      <c r="A875" s="15" t="n"/>
      <c r="B875" s="16">
        <f>IF($A875="","",TEXT($A875,"mmm"))</f>
        <v/>
      </c>
      <c r="C875" s="17">
        <f>IF($A875="","",YEAR($A875))</f>
        <v/>
      </c>
      <c r="D875" s="13" t="n"/>
      <c r="E875" s="13" t="n"/>
      <c r="F875" s="18" t="n"/>
      <c r="G875" s="18" t="n"/>
      <c r="H875" s="19">
        <f>IF(AND($F875="",$G875=""),"",N($F875)-N($G875))</f>
        <v/>
      </c>
    </row>
    <row r="876">
      <c r="A876" s="15" t="n"/>
      <c r="B876" s="16">
        <f>IF($A876="","",TEXT($A876,"mmm"))</f>
        <v/>
      </c>
      <c r="C876" s="17">
        <f>IF($A876="","",YEAR($A876))</f>
        <v/>
      </c>
      <c r="D876" s="13" t="n"/>
      <c r="E876" s="13" t="n"/>
      <c r="F876" s="18" t="n"/>
      <c r="G876" s="18" t="n"/>
      <c r="H876" s="19">
        <f>IF(AND($F876="",$G876=""),"",N($F876)-N($G876))</f>
        <v/>
      </c>
    </row>
    <row r="877">
      <c r="A877" s="15" t="n"/>
      <c r="B877" s="16">
        <f>IF($A877="","",TEXT($A877,"mmm"))</f>
        <v/>
      </c>
      <c r="C877" s="17">
        <f>IF($A877="","",YEAR($A877))</f>
        <v/>
      </c>
      <c r="D877" s="13" t="n"/>
      <c r="E877" s="13" t="n"/>
      <c r="F877" s="18" t="n"/>
      <c r="G877" s="18" t="n"/>
      <c r="H877" s="19">
        <f>IF(AND($F877="",$G877=""),"",N($F877)-N($G877))</f>
        <v/>
      </c>
    </row>
    <row r="878">
      <c r="A878" s="15" t="n"/>
      <c r="B878" s="16">
        <f>IF($A878="","",TEXT($A878,"mmm"))</f>
        <v/>
      </c>
      <c r="C878" s="17">
        <f>IF($A878="","",YEAR($A878))</f>
        <v/>
      </c>
      <c r="D878" s="13" t="n"/>
      <c r="E878" s="13" t="n"/>
      <c r="F878" s="18" t="n"/>
      <c r="G878" s="18" t="n"/>
      <c r="H878" s="19">
        <f>IF(AND($F878="",$G878=""),"",N($F878)-N($G878))</f>
        <v/>
      </c>
    </row>
    <row r="879">
      <c r="A879" s="15" t="n"/>
      <c r="B879" s="16">
        <f>IF($A879="","",TEXT($A879,"mmm"))</f>
        <v/>
      </c>
      <c r="C879" s="17">
        <f>IF($A879="","",YEAR($A879))</f>
        <v/>
      </c>
      <c r="D879" s="13" t="n"/>
      <c r="E879" s="13" t="n"/>
      <c r="F879" s="18" t="n"/>
      <c r="G879" s="18" t="n"/>
      <c r="H879" s="19">
        <f>IF(AND($F879="",$G879=""),"",N($F879)-N($G879))</f>
        <v/>
      </c>
    </row>
    <row r="880">
      <c r="A880" s="15" t="n"/>
      <c r="B880" s="16">
        <f>IF($A880="","",TEXT($A880,"mmm"))</f>
        <v/>
      </c>
      <c r="C880" s="17">
        <f>IF($A880="","",YEAR($A880))</f>
        <v/>
      </c>
      <c r="D880" s="13" t="n"/>
      <c r="E880" s="13" t="n"/>
      <c r="F880" s="18" t="n"/>
      <c r="G880" s="18" t="n"/>
      <c r="H880" s="19">
        <f>IF(AND($F880="",$G880=""),"",N($F880)-N($G880))</f>
        <v/>
      </c>
    </row>
    <row r="881">
      <c r="A881" s="15" t="n"/>
      <c r="B881" s="16">
        <f>IF($A881="","",TEXT($A881,"mmm"))</f>
        <v/>
      </c>
      <c r="C881" s="17">
        <f>IF($A881="","",YEAR($A881))</f>
        <v/>
      </c>
      <c r="D881" s="13" t="n"/>
      <c r="E881" s="13" t="n"/>
      <c r="F881" s="18" t="n"/>
      <c r="G881" s="18" t="n"/>
      <c r="H881" s="19">
        <f>IF(AND($F881="",$G881=""),"",N($F881)-N($G881))</f>
        <v/>
      </c>
    </row>
    <row r="882">
      <c r="A882" s="15" t="n"/>
      <c r="B882" s="16">
        <f>IF($A882="","",TEXT($A882,"mmm"))</f>
        <v/>
      </c>
      <c r="C882" s="17">
        <f>IF($A882="","",YEAR($A882))</f>
        <v/>
      </c>
      <c r="D882" s="13" t="n"/>
      <c r="E882" s="13" t="n"/>
      <c r="F882" s="18" t="n"/>
      <c r="G882" s="18" t="n"/>
      <c r="H882" s="19">
        <f>IF(AND($F882="",$G882=""),"",N($F882)-N($G882))</f>
        <v/>
      </c>
    </row>
    <row r="883">
      <c r="A883" s="15" t="n"/>
      <c r="B883" s="16">
        <f>IF($A883="","",TEXT($A883,"mmm"))</f>
        <v/>
      </c>
      <c r="C883" s="17">
        <f>IF($A883="","",YEAR($A883))</f>
        <v/>
      </c>
      <c r="D883" s="13" t="n"/>
      <c r="E883" s="13" t="n"/>
      <c r="F883" s="18" t="n"/>
      <c r="G883" s="18" t="n"/>
      <c r="H883" s="19">
        <f>IF(AND($F883="",$G883=""),"",N($F883)-N($G883))</f>
        <v/>
      </c>
    </row>
    <row r="884">
      <c r="A884" s="15" t="n"/>
      <c r="B884" s="16">
        <f>IF($A884="","",TEXT($A884,"mmm"))</f>
        <v/>
      </c>
      <c r="C884" s="17">
        <f>IF($A884="","",YEAR($A884))</f>
        <v/>
      </c>
      <c r="D884" s="13" t="n"/>
      <c r="E884" s="13" t="n"/>
      <c r="F884" s="18" t="n"/>
      <c r="G884" s="18" t="n"/>
      <c r="H884" s="19">
        <f>IF(AND($F884="",$G884=""),"",N($F884)-N($G884))</f>
        <v/>
      </c>
    </row>
    <row r="885">
      <c r="A885" s="15" t="n"/>
      <c r="B885" s="16">
        <f>IF($A885="","",TEXT($A885,"mmm"))</f>
        <v/>
      </c>
      <c r="C885" s="17">
        <f>IF($A885="","",YEAR($A885))</f>
        <v/>
      </c>
      <c r="D885" s="13" t="n"/>
      <c r="E885" s="13" t="n"/>
      <c r="F885" s="18" t="n"/>
      <c r="G885" s="18" t="n"/>
      <c r="H885" s="19">
        <f>IF(AND($F885="",$G885=""),"",N($F885)-N($G885))</f>
        <v/>
      </c>
    </row>
    <row r="886">
      <c r="A886" s="15" t="n"/>
      <c r="B886" s="16">
        <f>IF($A886="","",TEXT($A886,"mmm"))</f>
        <v/>
      </c>
      <c r="C886" s="17">
        <f>IF($A886="","",YEAR($A886))</f>
        <v/>
      </c>
      <c r="D886" s="13" t="n"/>
      <c r="E886" s="13" t="n"/>
      <c r="F886" s="18" t="n"/>
      <c r="G886" s="18" t="n"/>
      <c r="H886" s="19">
        <f>IF(AND($F886="",$G886=""),"",N($F886)-N($G886))</f>
        <v/>
      </c>
    </row>
    <row r="887">
      <c r="A887" s="15" t="n"/>
      <c r="B887" s="16">
        <f>IF($A887="","",TEXT($A887,"mmm"))</f>
        <v/>
      </c>
      <c r="C887" s="17">
        <f>IF($A887="","",YEAR($A887))</f>
        <v/>
      </c>
      <c r="D887" s="13" t="n"/>
      <c r="E887" s="13" t="n"/>
      <c r="F887" s="18" t="n"/>
      <c r="G887" s="18" t="n"/>
      <c r="H887" s="19">
        <f>IF(AND($F887="",$G887=""),"",N($F887)-N($G887))</f>
        <v/>
      </c>
    </row>
    <row r="888">
      <c r="A888" s="15" t="n"/>
      <c r="B888" s="16">
        <f>IF($A888="","",TEXT($A888,"mmm"))</f>
        <v/>
      </c>
      <c r="C888" s="17">
        <f>IF($A888="","",YEAR($A888))</f>
        <v/>
      </c>
      <c r="D888" s="13" t="n"/>
      <c r="E888" s="13" t="n"/>
      <c r="F888" s="18" t="n"/>
      <c r="G888" s="18" t="n"/>
      <c r="H888" s="19">
        <f>IF(AND($F888="",$G888=""),"",N($F888)-N($G888))</f>
        <v/>
      </c>
    </row>
    <row r="889">
      <c r="A889" s="15" t="n"/>
      <c r="B889" s="16">
        <f>IF($A889="","",TEXT($A889,"mmm"))</f>
        <v/>
      </c>
      <c r="C889" s="17">
        <f>IF($A889="","",YEAR($A889))</f>
        <v/>
      </c>
      <c r="D889" s="13" t="n"/>
      <c r="E889" s="13" t="n"/>
      <c r="F889" s="18" t="n"/>
      <c r="G889" s="18" t="n"/>
      <c r="H889" s="19">
        <f>IF(AND($F889="",$G889=""),"",N($F889)-N($G889))</f>
        <v/>
      </c>
    </row>
    <row r="890">
      <c r="A890" s="15" t="n"/>
      <c r="B890" s="16">
        <f>IF($A890="","",TEXT($A890,"mmm"))</f>
        <v/>
      </c>
      <c r="C890" s="17">
        <f>IF($A890="","",YEAR($A890))</f>
        <v/>
      </c>
      <c r="D890" s="13" t="n"/>
      <c r="E890" s="13" t="n"/>
      <c r="F890" s="18" t="n"/>
      <c r="G890" s="18" t="n"/>
      <c r="H890" s="19">
        <f>IF(AND($F890="",$G890=""),"",N($F890)-N($G890))</f>
        <v/>
      </c>
    </row>
    <row r="891">
      <c r="A891" s="15" t="n"/>
      <c r="B891" s="16">
        <f>IF($A891="","",TEXT($A891,"mmm"))</f>
        <v/>
      </c>
      <c r="C891" s="17">
        <f>IF($A891="","",YEAR($A891))</f>
        <v/>
      </c>
      <c r="D891" s="13" t="n"/>
      <c r="E891" s="13" t="n"/>
      <c r="F891" s="18" t="n"/>
      <c r="G891" s="18" t="n"/>
      <c r="H891" s="19">
        <f>IF(AND($F891="",$G891=""),"",N($F891)-N($G891))</f>
        <v/>
      </c>
    </row>
    <row r="892">
      <c r="A892" s="15" t="n"/>
      <c r="B892" s="16">
        <f>IF($A892="","",TEXT($A892,"mmm"))</f>
        <v/>
      </c>
      <c r="C892" s="17">
        <f>IF($A892="","",YEAR($A892))</f>
        <v/>
      </c>
      <c r="D892" s="13" t="n"/>
      <c r="E892" s="13" t="n"/>
      <c r="F892" s="18" t="n"/>
      <c r="G892" s="18" t="n"/>
      <c r="H892" s="19">
        <f>IF(AND($F892="",$G892=""),"",N($F892)-N($G892))</f>
        <v/>
      </c>
    </row>
    <row r="893">
      <c r="A893" s="15" t="n"/>
      <c r="B893" s="16">
        <f>IF($A893="","",TEXT($A893,"mmm"))</f>
        <v/>
      </c>
      <c r="C893" s="17">
        <f>IF($A893="","",YEAR($A893))</f>
        <v/>
      </c>
      <c r="D893" s="13" t="n"/>
      <c r="E893" s="13" t="n"/>
      <c r="F893" s="18" t="n"/>
      <c r="G893" s="18" t="n"/>
      <c r="H893" s="19">
        <f>IF(AND($F893="",$G893=""),"",N($F893)-N($G893))</f>
        <v/>
      </c>
    </row>
    <row r="894">
      <c r="A894" s="15" t="n"/>
      <c r="B894" s="16">
        <f>IF($A894="","",TEXT($A894,"mmm"))</f>
        <v/>
      </c>
      <c r="C894" s="17">
        <f>IF($A894="","",YEAR($A894))</f>
        <v/>
      </c>
      <c r="D894" s="13" t="n"/>
      <c r="E894" s="13" t="n"/>
      <c r="F894" s="18" t="n"/>
      <c r="G894" s="18" t="n"/>
      <c r="H894" s="19">
        <f>IF(AND($F894="",$G894=""),"",N($F894)-N($G894))</f>
        <v/>
      </c>
    </row>
    <row r="895">
      <c r="A895" s="15" t="n"/>
      <c r="B895" s="16">
        <f>IF($A895="","",TEXT($A895,"mmm"))</f>
        <v/>
      </c>
      <c r="C895" s="17">
        <f>IF($A895="","",YEAR($A895))</f>
        <v/>
      </c>
      <c r="D895" s="13" t="n"/>
      <c r="E895" s="13" t="n"/>
      <c r="F895" s="18" t="n"/>
      <c r="G895" s="18" t="n"/>
      <c r="H895" s="19">
        <f>IF(AND($F895="",$G895=""),"",N($F895)-N($G895))</f>
        <v/>
      </c>
    </row>
    <row r="896">
      <c r="A896" s="15" t="n"/>
      <c r="B896" s="16">
        <f>IF($A896="","",TEXT($A896,"mmm"))</f>
        <v/>
      </c>
      <c r="C896" s="17">
        <f>IF($A896="","",YEAR($A896))</f>
        <v/>
      </c>
      <c r="D896" s="13" t="n"/>
      <c r="E896" s="13" t="n"/>
      <c r="F896" s="18" t="n"/>
      <c r="G896" s="18" t="n"/>
      <c r="H896" s="19">
        <f>IF(AND($F896="",$G896=""),"",N($F896)-N($G896))</f>
        <v/>
      </c>
    </row>
    <row r="897">
      <c r="A897" s="15" t="n"/>
      <c r="B897" s="16">
        <f>IF($A897="","",TEXT($A897,"mmm"))</f>
        <v/>
      </c>
      <c r="C897" s="17">
        <f>IF($A897="","",YEAR($A897))</f>
        <v/>
      </c>
      <c r="D897" s="13" t="n"/>
      <c r="E897" s="13" t="n"/>
      <c r="F897" s="18" t="n"/>
      <c r="G897" s="18" t="n"/>
      <c r="H897" s="19">
        <f>IF(AND($F897="",$G897=""),"",N($F897)-N($G897))</f>
        <v/>
      </c>
    </row>
    <row r="898">
      <c r="A898" s="15" t="n"/>
      <c r="B898" s="16">
        <f>IF($A898="","",TEXT($A898,"mmm"))</f>
        <v/>
      </c>
      <c r="C898" s="17">
        <f>IF($A898="","",YEAR($A898))</f>
        <v/>
      </c>
      <c r="D898" s="13" t="n"/>
      <c r="E898" s="13" t="n"/>
      <c r="F898" s="18" t="n"/>
      <c r="G898" s="18" t="n"/>
      <c r="H898" s="19">
        <f>IF(AND($F898="",$G898=""),"",N($F898)-N($G898))</f>
        <v/>
      </c>
    </row>
    <row r="899">
      <c r="A899" s="15" t="n"/>
      <c r="B899" s="16">
        <f>IF($A899="","",TEXT($A899,"mmm"))</f>
        <v/>
      </c>
      <c r="C899" s="17">
        <f>IF($A899="","",YEAR($A899))</f>
        <v/>
      </c>
      <c r="D899" s="13" t="n"/>
      <c r="E899" s="13" t="n"/>
      <c r="F899" s="18" t="n"/>
      <c r="G899" s="18" t="n"/>
      <c r="H899" s="19">
        <f>IF(AND($F899="",$G899=""),"",N($F899)-N($G899))</f>
        <v/>
      </c>
    </row>
    <row r="900">
      <c r="A900" s="15" t="n"/>
      <c r="B900" s="16">
        <f>IF($A900="","",TEXT($A900,"mmm"))</f>
        <v/>
      </c>
      <c r="C900" s="17">
        <f>IF($A900="","",YEAR($A900))</f>
        <v/>
      </c>
      <c r="D900" s="13" t="n"/>
      <c r="E900" s="13" t="n"/>
      <c r="F900" s="18" t="n"/>
      <c r="G900" s="18" t="n"/>
      <c r="H900" s="19">
        <f>IF(AND($F900="",$G900=""),"",N($F900)-N($G900))</f>
        <v/>
      </c>
    </row>
    <row r="901">
      <c r="A901" s="15" t="n"/>
      <c r="B901" s="16">
        <f>IF($A901="","",TEXT($A901,"mmm"))</f>
        <v/>
      </c>
      <c r="C901" s="17">
        <f>IF($A901="","",YEAR($A901))</f>
        <v/>
      </c>
      <c r="D901" s="13" t="n"/>
      <c r="E901" s="13" t="n"/>
      <c r="F901" s="18" t="n"/>
      <c r="G901" s="18" t="n"/>
      <c r="H901" s="19">
        <f>IF(AND($F901="",$G901=""),"",N($F901)-N($G901))</f>
        <v/>
      </c>
    </row>
    <row r="902">
      <c r="A902" s="15" t="n"/>
      <c r="B902" s="16">
        <f>IF($A902="","",TEXT($A902,"mmm"))</f>
        <v/>
      </c>
      <c r="C902" s="17">
        <f>IF($A902="","",YEAR($A902))</f>
        <v/>
      </c>
      <c r="D902" s="13" t="n"/>
      <c r="E902" s="13" t="n"/>
      <c r="F902" s="18" t="n"/>
      <c r="G902" s="18" t="n"/>
      <c r="H902" s="19">
        <f>IF(AND($F902="",$G902=""),"",N($F902)-N($G902))</f>
        <v/>
      </c>
    </row>
    <row r="903">
      <c r="A903" s="15" t="n"/>
      <c r="B903" s="16">
        <f>IF($A903="","",TEXT($A903,"mmm"))</f>
        <v/>
      </c>
      <c r="C903" s="17">
        <f>IF($A903="","",YEAR($A903))</f>
        <v/>
      </c>
      <c r="D903" s="13" t="n"/>
      <c r="E903" s="13" t="n"/>
      <c r="F903" s="18" t="n"/>
      <c r="G903" s="18" t="n"/>
      <c r="H903" s="19">
        <f>IF(AND($F903="",$G903=""),"",N($F903)-N($G903))</f>
        <v/>
      </c>
    </row>
    <row r="904">
      <c r="A904" s="15" t="n"/>
      <c r="B904" s="16">
        <f>IF($A904="","",TEXT($A904,"mmm"))</f>
        <v/>
      </c>
      <c r="C904" s="17">
        <f>IF($A904="","",YEAR($A904))</f>
        <v/>
      </c>
      <c r="D904" s="13" t="n"/>
      <c r="E904" s="13" t="n"/>
      <c r="F904" s="18" t="n"/>
      <c r="G904" s="18" t="n"/>
      <c r="H904" s="19">
        <f>IF(AND($F904="",$G904=""),"",N($F904)-N($G904))</f>
        <v/>
      </c>
    </row>
    <row r="905">
      <c r="A905" s="15" t="n"/>
      <c r="B905" s="16">
        <f>IF($A905="","",TEXT($A905,"mmm"))</f>
        <v/>
      </c>
      <c r="C905" s="17">
        <f>IF($A905="","",YEAR($A905))</f>
        <v/>
      </c>
      <c r="D905" s="13" t="n"/>
      <c r="E905" s="13" t="n"/>
      <c r="F905" s="18" t="n"/>
      <c r="G905" s="18" t="n"/>
      <c r="H905" s="19">
        <f>IF(AND($F905="",$G905=""),"",N($F905)-N($G905))</f>
        <v/>
      </c>
    </row>
    <row r="906">
      <c r="A906" s="15" t="n"/>
      <c r="B906" s="16">
        <f>IF($A906="","",TEXT($A906,"mmm"))</f>
        <v/>
      </c>
      <c r="C906" s="17">
        <f>IF($A906="","",YEAR($A906))</f>
        <v/>
      </c>
      <c r="D906" s="13" t="n"/>
      <c r="E906" s="13" t="n"/>
      <c r="F906" s="18" t="n"/>
      <c r="G906" s="18" t="n"/>
      <c r="H906" s="19">
        <f>IF(AND($F906="",$G906=""),"",N($F906)-N($G906))</f>
        <v/>
      </c>
    </row>
    <row r="907">
      <c r="A907" s="15" t="n"/>
      <c r="B907" s="16">
        <f>IF($A907="","",TEXT($A907,"mmm"))</f>
        <v/>
      </c>
      <c r="C907" s="17">
        <f>IF($A907="","",YEAR($A907))</f>
        <v/>
      </c>
      <c r="D907" s="13" t="n"/>
      <c r="E907" s="13" t="n"/>
      <c r="F907" s="18" t="n"/>
      <c r="G907" s="18" t="n"/>
      <c r="H907" s="19">
        <f>IF(AND($F907="",$G907=""),"",N($F907)-N($G907))</f>
        <v/>
      </c>
    </row>
    <row r="908">
      <c r="A908" s="15" t="n"/>
      <c r="B908" s="16">
        <f>IF($A908="","",TEXT($A908,"mmm"))</f>
        <v/>
      </c>
      <c r="C908" s="17">
        <f>IF($A908="","",YEAR($A908))</f>
        <v/>
      </c>
      <c r="D908" s="13" t="n"/>
      <c r="E908" s="13" t="n"/>
      <c r="F908" s="18" t="n"/>
      <c r="G908" s="18" t="n"/>
      <c r="H908" s="19">
        <f>IF(AND($F908="",$G908=""),"",N($F908)-N($G908))</f>
        <v/>
      </c>
    </row>
    <row r="909">
      <c r="A909" s="15" t="n"/>
      <c r="B909" s="16">
        <f>IF($A909="","",TEXT($A909,"mmm"))</f>
        <v/>
      </c>
      <c r="C909" s="17">
        <f>IF($A909="","",YEAR($A909))</f>
        <v/>
      </c>
      <c r="D909" s="13" t="n"/>
      <c r="E909" s="13" t="n"/>
      <c r="F909" s="18" t="n"/>
      <c r="G909" s="18" t="n"/>
      <c r="H909" s="19">
        <f>IF(AND($F909="",$G909=""),"",N($F909)-N($G909))</f>
        <v/>
      </c>
    </row>
    <row r="910">
      <c r="A910" s="15" t="n"/>
      <c r="B910" s="16">
        <f>IF($A910="","",TEXT($A910,"mmm"))</f>
        <v/>
      </c>
      <c r="C910" s="17">
        <f>IF($A910="","",YEAR($A910))</f>
        <v/>
      </c>
      <c r="D910" s="13" t="n"/>
      <c r="E910" s="13" t="n"/>
      <c r="F910" s="18" t="n"/>
      <c r="G910" s="18" t="n"/>
      <c r="H910" s="19">
        <f>IF(AND($F910="",$G910=""),"",N($F910)-N($G910))</f>
        <v/>
      </c>
    </row>
    <row r="911">
      <c r="A911" s="15" t="n"/>
      <c r="B911" s="16">
        <f>IF($A911="","",TEXT($A911,"mmm"))</f>
        <v/>
      </c>
      <c r="C911" s="17">
        <f>IF($A911="","",YEAR($A911))</f>
        <v/>
      </c>
      <c r="D911" s="13" t="n"/>
      <c r="E911" s="13" t="n"/>
      <c r="F911" s="18" t="n"/>
      <c r="G911" s="18" t="n"/>
      <c r="H911" s="19">
        <f>IF(AND($F911="",$G911=""),"",N($F911)-N($G911))</f>
        <v/>
      </c>
    </row>
    <row r="912">
      <c r="A912" s="15" t="n"/>
      <c r="B912" s="16">
        <f>IF($A912="","",TEXT($A912,"mmm"))</f>
        <v/>
      </c>
      <c r="C912" s="17">
        <f>IF($A912="","",YEAR($A912))</f>
        <v/>
      </c>
      <c r="D912" s="13" t="n"/>
      <c r="E912" s="13" t="n"/>
      <c r="F912" s="18" t="n"/>
      <c r="G912" s="18" t="n"/>
      <c r="H912" s="19">
        <f>IF(AND($F912="",$G912=""),"",N($F912)-N($G912))</f>
        <v/>
      </c>
    </row>
    <row r="913">
      <c r="A913" s="15" t="n"/>
      <c r="B913" s="16">
        <f>IF($A913="","",TEXT($A913,"mmm"))</f>
        <v/>
      </c>
      <c r="C913" s="17">
        <f>IF($A913="","",YEAR($A913))</f>
        <v/>
      </c>
      <c r="D913" s="13" t="n"/>
      <c r="E913" s="13" t="n"/>
      <c r="F913" s="18" t="n"/>
      <c r="G913" s="18" t="n"/>
      <c r="H913" s="19">
        <f>IF(AND($F913="",$G913=""),"",N($F913)-N($G913))</f>
        <v/>
      </c>
    </row>
    <row r="914">
      <c r="A914" s="15" t="n"/>
      <c r="B914" s="16">
        <f>IF($A914="","",TEXT($A914,"mmm"))</f>
        <v/>
      </c>
      <c r="C914" s="17">
        <f>IF($A914="","",YEAR($A914))</f>
        <v/>
      </c>
      <c r="D914" s="13" t="n"/>
      <c r="E914" s="13" t="n"/>
      <c r="F914" s="18" t="n"/>
      <c r="G914" s="18" t="n"/>
      <c r="H914" s="19">
        <f>IF(AND($F914="",$G914=""),"",N($F914)-N($G914))</f>
        <v/>
      </c>
    </row>
    <row r="915">
      <c r="A915" s="15" t="n"/>
      <c r="B915" s="16">
        <f>IF($A915="","",TEXT($A915,"mmm"))</f>
        <v/>
      </c>
      <c r="C915" s="17">
        <f>IF($A915="","",YEAR($A915))</f>
        <v/>
      </c>
      <c r="D915" s="13" t="n"/>
      <c r="E915" s="13" t="n"/>
      <c r="F915" s="18" t="n"/>
      <c r="G915" s="18" t="n"/>
      <c r="H915" s="19">
        <f>IF(AND($F915="",$G915=""),"",N($F915)-N($G915))</f>
        <v/>
      </c>
    </row>
    <row r="916">
      <c r="A916" s="15" t="n"/>
      <c r="B916" s="16">
        <f>IF($A916="","",TEXT($A916,"mmm"))</f>
        <v/>
      </c>
      <c r="C916" s="17">
        <f>IF($A916="","",YEAR($A916))</f>
        <v/>
      </c>
      <c r="D916" s="13" t="n"/>
      <c r="E916" s="13" t="n"/>
      <c r="F916" s="18" t="n"/>
      <c r="G916" s="18" t="n"/>
      <c r="H916" s="19">
        <f>IF(AND($F916="",$G916=""),"",N($F916)-N($G916))</f>
        <v/>
      </c>
    </row>
    <row r="917">
      <c r="A917" s="15" t="n"/>
      <c r="B917" s="16">
        <f>IF($A917="","",TEXT($A917,"mmm"))</f>
        <v/>
      </c>
      <c r="C917" s="17">
        <f>IF($A917="","",YEAR($A917))</f>
        <v/>
      </c>
      <c r="D917" s="13" t="n"/>
      <c r="E917" s="13" t="n"/>
      <c r="F917" s="18" t="n"/>
      <c r="G917" s="18" t="n"/>
      <c r="H917" s="19">
        <f>IF(AND($F917="",$G917=""),"",N($F917)-N($G917))</f>
        <v/>
      </c>
    </row>
    <row r="918">
      <c r="A918" s="15" t="n"/>
      <c r="B918" s="16">
        <f>IF($A918="","",TEXT($A918,"mmm"))</f>
        <v/>
      </c>
      <c r="C918" s="17">
        <f>IF($A918="","",YEAR($A918))</f>
        <v/>
      </c>
      <c r="D918" s="13" t="n"/>
      <c r="E918" s="13" t="n"/>
      <c r="F918" s="18" t="n"/>
      <c r="G918" s="18" t="n"/>
      <c r="H918" s="19">
        <f>IF(AND($F918="",$G918=""),"",N($F918)-N($G918))</f>
        <v/>
      </c>
    </row>
    <row r="919">
      <c r="A919" s="15" t="n"/>
      <c r="B919" s="16">
        <f>IF($A919="","",TEXT($A919,"mmm"))</f>
        <v/>
      </c>
      <c r="C919" s="17">
        <f>IF($A919="","",YEAR($A919))</f>
        <v/>
      </c>
      <c r="D919" s="13" t="n"/>
      <c r="E919" s="13" t="n"/>
      <c r="F919" s="18" t="n"/>
      <c r="G919" s="18" t="n"/>
      <c r="H919" s="19">
        <f>IF(AND($F919="",$G919=""),"",N($F919)-N($G919))</f>
        <v/>
      </c>
    </row>
    <row r="920">
      <c r="A920" s="15" t="n"/>
      <c r="B920" s="16">
        <f>IF($A920="","",TEXT($A920,"mmm"))</f>
        <v/>
      </c>
      <c r="C920" s="17">
        <f>IF($A920="","",YEAR($A920))</f>
        <v/>
      </c>
      <c r="D920" s="13" t="n"/>
      <c r="E920" s="13" t="n"/>
      <c r="F920" s="18" t="n"/>
      <c r="G920" s="18" t="n"/>
      <c r="H920" s="19">
        <f>IF(AND($F920="",$G920=""),"",N($F920)-N($G920))</f>
        <v/>
      </c>
    </row>
    <row r="921">
      <c r="A921" s="15" t="n"/>
      <c r="B921" s="16">
        <f>IF($A921="","",TEXT($A921,"mmm"))</f>
        <v/>
      </c>
      <c r="C921" s="17">
        <f>IF($A921="","",YEAR($A921))</f>
        <v/>
      </c>
      <c r="D921" s="13" t="n"/>
      <c r="E921" s="13" t="n"/>
      <c r="F921" s="18" t="n"/>
      <c r="G921" s="18" t="n"/>
      <c r="H921" s="19">
        <f>IF(AND($F921="",$G921=""),"",N($F921)-N($G921))</f>
        <v/>
      </c>
    </row>
    <row r="922">
      <c r="A922" s="15" t="n"/>
      <c r="B922" s="16">
        <f>IF($A922="","",TEXT($A922,"mmm"))</f>
        <v/>
      </c>
      <c r="C922" s="17">
        <f>IF($A922="","",YEAR($A922))</f>
        <v/>
      </c>
      <c r="D922" s="13" t="n"/>
      <c r="E922" s="13" t="n"/>
      <c r="F922" s="18" t="n"/>
      <c r="G922" s="18" t="n"/>
      <c r="H922" s="19">
        <f>IF(AND($F922="",$G922=""),"",N($F922)-N($G922))</f>
        <v/>
      </c>
    </row>
    <row r="923">
      <c r="A923" s="15" t="n"/>
      <c r="B923" s="16">
        <f>IF($A923="","",TEXT($A923,"mmm"))</f>
        <v/>
      </c>
      <c r="C923" s="17">
        <f>IF($A923="","",YEAR($A923))</f>
        <v/>
      </c>
      <c r="D923" s="13" t="n"/>
      <c r="E923" s="13" t="n"/>
      <c r="F923" s="18" t="n"/>
      <c r="G923" s="18" t="n"/>
      <c r="H923" s="19">
        <f>IF(AND($F923="",$G923=""),"",N($F923)-N($G923))</f>
        <v/>
      </c>
    </row>
    <row r="924">
      <c r="A924" s="15" t="n"/>
      <c r="B924" s="16">
        <f>IF($A924="","",TEXT($A924,"mmm"))</f>
        <v/>
      </c>
      <c r="C924" s="17">
        <f>IF($A924="","",YEAR($A924))</f>
        <v/>
      </c>
      <c r="D924" s="13" t="n"/>
      <c r="E924" s="13" t="n"/>
      <c r="F924" s="18" t="n"/>
      <c r="G924" s="18" t="n"/>
      <c r="H924" s="19">
        <f>IF(AND($F924="",$G924=""),"",N($F924)-N($G924))</f>
        <v/>
      </c>
    </row>
    <row r="925">
      <c r="A925" s="15" t="n"/>
      <c r="B925" s="16">
        <f>IF($A925="","",TEXT($A925,"mmm"))</f>
        <v/>
      </c>
      <c r="C925" s="17">
        <f>IF($A925="","",YEAR($A925))</f>
        <v/>
      </c>
      <c r="D925" s="13" t="n"/>
      <c r="E925" s="13" t="n"/>
      <c r="F925" s="18" t="n"/>
      <c r="G925" s="18" t="n"/>
      <c r="H925" s="19">
        <f>IF(AND($F925="",$G925=""),"",N($F925)-N($G925))</f>
        <v/>
      </c>
    </row>
    <row r="926">
      <c r="A926" s="15" t="n"/>
      <c r="B926" s="16">
        <f>IF($A926="","",TEXT($A926,"mmm"))</f>
        <v/>
      </c>
      <c r="C926" s="17">
        <f>IF($A926="","",YEAR($A926))</f>
        <v/>
      </c>
      <c r="D926" s="13" t="n"/>
      <c r="E926" s="13" t="n"/>
      <c r="F926" s="18" t="n"/>
      <c r="G926" s="18" t="n"/>
      <c r="H926" s="19">
        <f>IF(AND($F926="",$G926=""),"",N($F926)-N($G926))</f>
        <v/>
      </c>
    </row>
    <row r="927">
      <c r="A927" s="15" t="n"/>
      <c r="B927" s="16">
        <f>IF($A927="","",TEXT($A927,"mmm"))</f>
        <v/>
      </c>
      <c r="C927" s="17">
        <f>IF($A927="","",YEAR($A927))</f>
        <v/>
      </c>
      <c r="D927" s="13" t="n"/>
      <c r="E927" s="13" t="n"/>
      <c r="F927" s="18" t="n"/>
      <c r="G927" s="18" t="n"/>
      <c r="H927" s="19">
        <f>IF(AND($F927="",$G927=""),"",N($F927)-N($G927))</f>
        <v/>
      </c>
    </row>
    <row r="928">
      <c r="A928" s="15" t="n"/>
      <c r="B928" s="16">
        <f>IF($A928="","",TEXT($A928,"mmm"))</f>
        <v/>
      </c>
      <c r="C928" s="17">
        <f>IF($A928="","",YEAR($A928))</f>
        <v/>
      </c>
      <c r="D928" s="13" t="n"/>
      <c r="E928" s="13" t="n"/>
      <c r="F928" s="18" t="n"/>
      <c r="G928" s="18" t="n"/>
      <c r="H928" s="19">
        <f>IF(AND($F928="",$G928=""),"",N($F928)-N($G928))</f>
        <v/>
      </c>
    </row>
    <row r="929">
      <c r="A929" s="15" t="n"/>
      <c r="B929" s="16">
        <f>IF($A929="","",TEXT($A929,"mmm"))</f>
        <v/>
      </c>
      <c r="C929" s="17">
        <f>IF($A929="","",YEAR($A929))</f>
        <v/>
      </c>
      <c r="D929" s="13" t="n"/>
      <c r="E929" s="13" t="n"/>
      <c r="F929" s="18" t="n"/>
      <c r="G929" s="18" t="n"/>
      <c r="H929" s="19">
        <f>IF(AND($F929="",$G929=""),"",N($F929)-N($G929))</f>
        <v/>
      </c>
    </row>
    <row r="930">
      <c r="A930" s="15" t="n"/>
      <c r="B930" s="16">
        <f>IF($A930="","",TEXT($A930,"mmm"))</f>
        <v/>
      </c>
      <c r="C930" s="17">
        <f>IF($A930="","",YEAR($A930))</f>
        <v/>
      </c>
      <c r="D930" s="13" t="n"/>
      <c r="E930" s="13" t="n"/>
      <c r="F930" s="18" t="n"/>
      <c r="G930" s="18" t="n"/>
      <c r="H930" s="19">
        <f>IF(AND($F930="",$G930=""),"",N($F930)-N($G930))</f>
        <v/>
      </c>
    </row>
    <row r="931">
      <c r="A931" s="15" t="n"/>
      <c r="B931" s="16">
        <f>IF($A931="","",TEXT($A931,"mmm"))</f>
        <v/>
      </c>
      <c r="C931" s="17">
        <f>IF($A931="","",YEAR($A931))</f>
        <v/>
      </c>
      <c r="D931" s="13" t="n"/>
      <c r="E931" s="13" t="n"/>
      <c r="F931" s="18" t="n"/>
      <c r="G931" s="18" t="n"/>
      <c r="H931" s="19">
        <f>IF(AND($F931="",$G931=""),"",N($F931)-N($G931))</f>
        <v/>
      </c>
    </row>
    <row r="932">
      <c r="A932" s="15" t="n"/>
      <c r="B932" s="16">
        <f>IF($A932="","",TEXT($A932,"mmm"))</f>
        <v/>
      </c>
      <c r="C932" s="17">
        <f>IF($A932="","",YEAR($A932))</f>
        <v/>
      </c>
      <c r="D932" s="13" t="n"/>
      <c r="E932" s="13" t="n"/>
      <c r="F932" s="18" t="n"/>
      <c r="G932" s="18" t="n"/>
      <c r="H932" s="19">
        <f>IF(AND($F932="",$G932=""),"",N($F932)-N($G932))</f>
        <v/>
      </c>
    </row>
    <row r="933">
      <c r="A933" s="15" t="n"/>
      <c r="B933" s="16">
        <f>IF($A933="","",TEXT($A933,"mmm"))</f>
        <v/>
      </c>
      <c r="C933" s="17">
        <f>IF($A933="","",YEAR($A933))</f>
        <v/>
      </c>
      <c r="D933" s="13" t="n"/>
      <c r="E933" s="13" t="n"/>
      <c r="F933" s="18" t="n"/>
      <c r="G933" s="18" t="n"/>
      <c r="H933" s="19">
        <f>IF(AND($F933="",$G933=""),"",N($F933)-N($G933))</f>
        <v/>
      </c>
    </row>
    <row r="934">
      <c r="A934" s="15" t="n"/>
      <c r="B934" s="16">
        <f>IF($A934="","",TEXT($A934,"mmm"))</f>
        <v/>
      </c>
      <c r="C934" s="17">
        <f>IF($A934="","",YEAR($A934))</f>
        <v/>
      </c>
      <c r="D934" s="13" t="n"/>
      <c r="E934" s="13" t="n"/>
      <c r="F934" s="18" t="n"/>
      <c r="G934" s="18" t="n"/>
      <c r="H934" s="19">
        <f>IF(AND($F934="",$G934=""),"",N($F934)-N($G934))</f>
        <v/>
      </c>
    </row>
    <row r="935">
      <c r="A935" s="15" t="n"/>
      <c r="B935" s="16">
        <f>IF($A935="","",TEXT($A935,"mmm"))</f>
        <v/>
      </c>
      <c r="C935" s="17">
        <f>IF($A935="","",YEAR($A935))</f>
        <v/>
      </c>
      <c r="D935" s="13" t="n"/>
      <c r="E935" s="13" t="n"/>
      <c r="F935" s="18" t="n"/>
      <c r="G935" s="18" t="n"/>
      <c r="H935" s="19">
        <f>IF(AND($F935="",$G935=""),"",N($F935)-N($G935))</f>
        <v/>
      </c>
    </row>
    <row r="936">
      <c r="A936" s="15" t="n"/>
      <c r="B936" s="16">
        <f>IF($A936="","",TEXT($A936,"mmm"))</f>
        <v/>
      </c>
      <c r="C936" s="17">
        <f>IF($A936="","",YEAR($A936))</f>
        <v/>
      </c>
      <c r="D936" s="13" t="n"/>
      <c r="E936" s="13" t="n"/>
      <c r="F936" s="18" t="n"/>
      <c r="G936" s="18" t="n"/>
      <c r="H936" s="19">
        <f>IF(AND($F936="",$G936=""),"",N($F936)-N($G936))</f>
        <v/>
      </c>
    </row>
    <row r="937">
      <c r="A937" s="15" t="n"/>
      <c r="B937" s="16">
        <f>IF($A937="","",TEXT($A937,"mmm"))</f>
        <v/>
      </c>
      <c r="C937" s="17">
        <f>IF($A937="","",YEAR($A937))</f>
        <v/>
      </c>
      <c r="D937" s="13" t="n"/>
      <c r="E937" s="13" t="n"/>
      <c r="F937" s="18" t="n"/>
      <c r="G937" s="18" t="n"/>
      <c r="H937" s="19">
        <f>IF(AND($F937="",$G937=""),"",N($F937)-N($G937))</f>
        <v/>
      </c>
    </row>
    <row r="938">
      <c r="A938" s="15" t="n"/>
      <c r="B938" s="16">
        <f>IF($A938="","",TEXT($A938,"mmm"))</f>
        <v/>
      </c>
      <c r="C938" s="17">
        <f>IF($A938="","",YEAR($A938))</f>
        <v/>
      </c>
      <c r="D938" s="13" t="n"/>
      <c r="E938" s="13" t="n"/>
      <c r="F938" s="18" t="n"/>
      <c r="G938" s="18" t="n"/>
      <c r="H938" s="19">
        <f>IF(AND($F938="",$G938=""),"",N($F938)-N($G938))</f>
        <v/>
      </c>
    </row>
    <row r="939">
      <c r="A939" s="15" t="n"/>
      <c r="B939" s="16">
        <f>IF($A939="","",TEXT($A939,"mmm"))</f>
        <v/>
      </c>
      <c r="C939" s="17">
        <f>IF($A939="","",YEAR($A939))</f>
        <v/>
      </c>
      <c r="D939" s="13" t="n"/>
      <c r="E939" s="13" t="n"/>
      <c r="F939" s="18" t="n"/>
      <c r="G939" s="18" t="n"/>
      <c r="H939" s="19">
        <f>IF(AND($F939="",$G939=""),"",N($F939)-N($G939))</f>
        <v/>
      </c>
    </row>
    <row r="940">
      <c r="A940" s="15" t="n"/>
      <c r="B940" s="16">
        <f>IF($A940="","",TEXT($A940,"mmm"))</f>
        <v/>
      </c>
      <c r="C940" s="17">
        <f>IF($A940="","",YEAR($A940))</f>
        <v/>
      </c>
      <c r="D940" s="13" t="n"/>
      <c r="E940" s="13" t="n"/>
      <c r="F940" s="18" t="n"/>
      <c r="G940" s="18" t="n"/>
      <c r="H940" s="19">
        <f>IF(AND($F940="",$G940=""),"",N($F940)-N($G940))</f>
        <v/>
      </c>
    </row>
    <row r="941">
      <c r="A941" s="15" t="n"/>
      <c r="B941" s="16">
        <f>IF($A941="","",TEXT($A941,"mmm"))</f>
        <v/>
      </c>
      <c r="C941" s="17">
        <f>IF($A941="","",YEAR($A941))</f>
        <v/>
      </c>
      <c r="D941" s="13" t="n"/>
      <c r="E941" s="13" t="n"/>
      <c r="F941" s="18" t="n"/>
      <c r="G941" s="18" t="n"/>
      <c r="H941" s="19">
        <f>IF(AND($F941="",$G941=""),"",N($F941)-N($G941))</f>
        <v/>
      </c>
    </row>
    <row r="942">
      <c r="A942" s="15" t="n"/>
      <c r="B942" s="16">
        <f>IF($A942="","",TEXT($A942,"mmm"))</f>
        <v/>
      </c>
      <c r="C942" s="17">
        <f>IF($A942="","",YEAR($A942))</f>
        <v/>
      </c>
      <c r="D942" s="13" t="n"/>
      <c r="E942" s="13" t="n"/>
      <c r="F942" s="18" t="n"/>
      <c r="G942" s="18" t="n"/>
      <c r="H942" s="19">
        <f>IF(AND($F942="",$G942=""),"",N($F942)-N($G942))</f>
        <v/>
      </c>
    </row>
    <row r="943">
      <c r="A943" s="15" t="n"/>
      <c r="B943" s="16">
        <f>IF($A943="","",TEXT($A943,"mmm"))</f>
        <v/>
      </c>
      <c r="C943" s="17">
        <f>IF($A943="","",YEAR($A943))</f>
        <v/>
      </c>
      <c r="D943" s="13" t="n"/>
      <c r="E943" s="13" t="n"/>
      <c r="F943" s="18" t="n"/>
      <c r="G943" s="18" t="n"/>
      <c r="H943" s="19">
        <f>IF(AND($F943="",$G943=""),"",N($F943)-N($G943))</f>
        <v/>
      </c>
    </row>
    <row r="944">
      <c r="A944" s="15" t="n"/>
      <c r="B944" s="16">
        <f>IF($A944="","",TEXT($A944,"mmm"))</f>
        <v/>
      </c>
      <c r="C944" s="17">
        <f>IF($A944="","",YEAR($A944))</f>
        <v/>
      </c>
      <c r="D944" s="13" t="n"/>
      <c r="E944" s="13" t="n"/>
      <c r="F944" s="18" t="n"/>
      <c r="G944" s="18" t="n"/>
      <c r="H944" s="19">
        <f>IF(AND($F944="",$G944=""),"",N($F944)-N($G944))</f>
        <v/>
      </c>
    </row>
    <row r="945">
      <c r="A945" s="15" t="n"/>
      <c r="B945" s="16">
        <f>IF($A945="","",TEXT($A945,"mmm"))</f>
        <v/>
      </c>
      <c r="C945" s="17">
        <f>IF($A945="","",YEAR($A945))</f>
        <v/>
      </c>
      <c r="D945" s="13" t="n"/>
      <c r="E945" s="13" t="n"/>
      <c r="F945" s="18" t="n"/>
      <c r="G945" s="18" t="n"/>
      <c r="H945" s="19">
        <f>IF(AND($F945="",$G945=""),"",N($F945)-N($G945))</f>
        <v/>
      </c>
    </row>
    <row r="946">
      <c r="A946" s="15" t="n"/>
      <c r="B946" s="16">
        <f>IF($A946="","",TEXT($A946,"mmm"))</f>
        <v/>
      </c>
      <c r="C946" s="17">
        <f>IF($A946="","",YEAR($A946))</f>
        <v/>
      </c>
      <c r="D946" s="13" t="n"/>
      <c r="E946" s="13" t="n"/>
      <c r="F946" s="18" t="n"/>
      <c r="G946" s="18" t="n"/>
      <c r="H946" s="19">
        <f>IF(AND($F946="",$G946=""),"",N($F946)-N($G946))</f>
        <v/>
      </c>
    </row>
    <row r="947">
      <c r="A947" s="15" t="n"/>
      <c r="B947" s="16">
        <f>IF($A947="","",TEXT($A947,"mmm"))</f>
        <v/>
      </c>
      <c r="C947" s="17">
        <f>IF($A947="","",YEAR($A947))</f>
        <v/>
      </c>
      <c r="D947" s="13" t="n"/>
      <c r="E947" s="13" t="n"/>
      <c r="F947" s="18" t="n"/>
      <c r="G947" s="18" t="n"/>
      <c r="H947" s="19">
        <f>IF(AND($F947="",$G947=""),"",N($F947)-N($G947))</f>
        <v/>
      </c>
    </row>
    <row r="948">
      <c r="A948" s="15" t="n"/>
      <c r="B948" s="16">
        <f>IF($A948="","",TEXT($A948,"mmm"))</f>
        <v/>
      </c>
      <c r="C948" s="17">
        <f>IF($A948="","",YEAR($A948))</f>
        <v/>
      </c>
      <c r="D948" s="13" t="n"/>
      <c r="E948" s="13" t="n"/>
      <c r="F948" s="18" t="n"/>
      <c r="G948" s="18" t="n"/>
      <c r="H948" s="19">
        <f>IF(AND($F948="",$G948=""),"",N($F948)-N($G948))</f>
        <v/>
      </c>
    </row>
    <row r="949">
      <c r="A949" s="15" t="n"/>
      <c r="B949" s="16">
        <f>IF($A949="","",TEXT($A949,"mmm"))</f>
        <v/>
      </c>
      <c r="C949" s="17">
        <f>IF($A949="","",YEAR($A949))</f>
        <v/>
      </c>
      <c r="D949" s="13" t="n"/>
      <c r="E949" s="13" t="n"/>
      <c r="F949" s="18" t="n"/>
      <c r="G949" s="18" t="n"/>
      <c r="H949" s="19">
        <f>IF(AND($F949="",$G949=""),"",N($F949)-N($G949))</f>
        <v/>
      </c>
    </row>
    <row r="950">
      <c r="A950" s="15" t="n"/>
      <c r="B950" s="16">
        <f>IF($A950="","",TEXT($A950,"mmm"))</f>
        <v/>
      </c>
      <c r="C950" s="17">
        <f>IF($A950="","",YEAR($A950))</f>
        <v/>
      </c>
      <c r="D950" s="13" t="n"/>
      <c r="E950" s="13" t="n"/>
      <c r="F950" s="18" t="n"/>
      <c r="G950" s="18" t="n"/>
      <c r="H950" s="19">
        <f>IF(AND($F950="",$G950=""),"",N($F950)-N($G950))</f>
        <v/>
      </c>
    </row>
    <row r="951">
      <c r="A951" s="15" t="n"/>
      <c r="B951" s="16">
        <f>IF($A951="","",TEXT($A951,"mmm"))</f>
        <v/>
      </c>
      <c r="C951" s="17">
        <f>IF($A951="","",YEAR($A951))</f>
        <v/>
      </c>
      <c r="D951" s="13" t="n"/>
      <c r="E951" s="13" t="n"/>
      <c r="F951" s="18" t="n"/>
      <c r="G951" s="18" t="n"/>
      <c r="H951" s="19">
        <f>IF(AND($F951="",$G951=""),"",N($F951)-N($G951))</f>
        <v/>
      </c>
    </row>
    <row r="952">
      <c r="A952" s="15" t="n"/>
      <c r="B952" s="16">
        <f>IF($A952="","",TEXT($A952,"mmm"))</f>
        <v/>
      </c>
      <c r="C952" s="17">
        <f>IF($A952="","",YEAR($A952))</f>
        <v/>
      </c>
      <c r="D952" s="13" t="n"/>
      <c r="E952" s="13" t="n"/>
      <c r="F952" s="18" t="n"/>
      <c r="G952" s="18" t="n"/>
      <c r="H952" s="19">
        <f>IF(AND($F952="",$G952=""),"",N($F952)-N($G952))</f>
        <v/>
      </c>
    </row>
    <row r="953">
      <c r="A953" s="15" t="n"/>
      <c r="B953" s="16">
        <f>IF($A953="","",TEXT($A953,"mmm"))</f>
        <v/>
      </c>
      <c r="C953" s="17">
        <f>IF($A953="","",YEAR($A953))</f>
        <v/>
      </c>
      <c r="D953" s="13" t="n"/>
      <c r="E953" s="13" t="n"/>
      <c r="F953" s="18" t="n"/>
      <c r="G953" s="18" t="n"/>
      <c r="H953" s="19">
        <f>IF(AND($F953="",$G953=""),"",N($F953)-N($G953))</f>
        <v/>
      </c>
    </row>
    <row r="954">
      <c r="A954" s="15" t="n"/>
      <c r="B954" s="16">
        <f>IF($A954="","",TEXT($A954,"mmm"))</f>
        <v/>
      </c>
      <c r="C954" s="17">
        <f>IF($A954="","",YEAR($A954))</f>
        <v/>
      </c>
      <c r="D954" s="13" t="n"/>
      <c r="E954" s="13" t="n"/>
      <c r="F954" s="18" t="n"/>
      <c r="G954" s="18" t="n"/>
      <c r="H954" s="19">
        <f>IF(AND($F954="",$G954=""),"",N($F954)-N($G954))</f>
        <v/>
      </c>
    </row>
    <row r="955">
      <c r="A955" s="15" t="n"/>
      <c r="B955" s="16">
        <f>IF($A955="","",TEXT($A955,"mmm"))</f>
        <v/>
      </c>
      <c r="C955" s="17">
        <f>IF($A955="","",YEAR($A955))</f>
        <v/>
      </c>
      <c r="D955" s="13" t="n"/>
      <c r="E955" s="13" t="n"/>
      <c r="F955" s="18" t="n"/>
      <c r="G955" s="18" t="n"/>
      <c r="H955" s="19">
        <f>IF(AND($F955="",$G955=""),"",N($F955)-N($G955))</f>
        <v/>
      </c>
    </row>
    <row r="956">
      <c r="A956" s="15" t="n"/>
      <c r="B956" s="16">
        <f>IF($A956="","",TEXT($A956,"mmm"))</f>
        <v/>
      </c>
      <c r="C956" s="17">
        <f>IF($A956="","",YEAR($A956))</f>
        <v/>
      </c>
      <c r="D956" s="13" t="n"/>
      <c r="E956" s="13" t="n"/>
      <c r="F956" s="18" t="n"/>
      <c r="G956" s="18" t="n"/>
      <c r="H956" s="19">
        <f>IF(AND($F956="",$G956=""),"",N($F956)-N($G956))</f>
        <v/>
      </c>
    </row>
    <row r="957">
      <c r="A957" s="15" t="n"/>
      <c r="B957" s="16">
        <f>IF($A957="","",TEXT($A957,"mmm"))</f>
        <v/>
      </c>
      <c r="C957" s="17">
        <f>IF($A957="","",YEAR($A957))</f>
        <v/>
      </c>
      <c r="D957" s="13" t="n"/>
      <c r="E957" s="13" t="n"/>
      <c r="F957" s="18" t="n"/>
      <c r="G957" s="18" t="n"/>
      <c r="H957" s="19">
        <f>IF(AND($F957="",$G957=""),"",N($F957)-N($G957))</f>
        <v/>
      </c>
    </row>
    <row r="958">
      <c r="A958" s="15" t="n"/>
      <c r="B958" s="16">
        <f>IF($A958="","",TEXT($A958,"mmm"))</f>
        <v/>
      </c>
      <c r="C958" s="17">
        <f>IF($A958="","",YEAR($A958))</f>
        <v/>
      </c>
      <c r="D958" s="13" t="n"/>
      <c r="E958" s="13" t="n"/>
      <c r="F958" s="18" t="n"/>
      <c r="G958" s="18" t="n"/>
      <c r="H958" s="19">
        <f>IF(AND($F958="",$G958=""),"",N($F958)-N($G958))</f>
        <v/>
      </c>
    </row>
    <row r="959">
      <c r="A959" s="15" t="n"/>
      <c r="B959" s="16">
        <f>IF($A959="","",TEXT($A959,"mmm"))</f>
        <v/>
      </c>
      <c r="C959" s="17">
        <f>IF($A959="","",YEAR($A959))</f>
        <v/>
      </c>
      <c r="D959" s="13" t="n"/>
      <c r="E959" s="13" t="n"/>
      <c r="F959" s="18" t="n"/>
      <c r="G959" s="18" t="n"/>
      <c r="H959" s="19">
        <f>IF(AND($F959="",$G959=""),"",N($F959)-N($G959))</f>
        <v/>
      </c>
    </row>
    <row r="960">
      <c r="A960" s="15" t="n"/>
      <c r="B960" s="16">
        <f>IF($A960="","",TEXT($A960,"mmm"))</f>
        <v/>
      </c>
      <c r="C960" s="17">
        <f>IF($A960="","",YEAR($A960))</f>
        <v/>
      </c>
      <c r="D960" s="13" t="n"/>
      <c r="E960" s="13" t="n"/>
      <c r="F960" s="18" t="n"/>
      <c r="G960" s="18" t="n"/>
      <c r="H960" s="19">
        <f>IF(AND($F960="",$G960=""),"",N($F960)-N($G960))</f>
        <v/>
      </c>
    </row>
    <row r="961">
      <c r="A961" s="15" t="n"/>
      <c r="B961" s="16">
        <f>IF($A961="","",TEXT($A961,"mmm"))</f>
        <v/>
      </c>
      <c r="C961" s="17">
        <f>IF($A961="","",YEAR($A961))</f>
        <v/>
      </c>
      <c r="D961" s="13" t="n"/>
      <c r="E961" s="13" t="n"/>
      <c r="F961" s="18" t="n"/>
      <c r="G961" s="18" t="n"/>
      <c r="H961" s="19">
        <f>IF(AND($F961="",$G961=""),"",N($F961)-N($G961))</f>
        <v/>
      </c>
    </row>
    <row r="962">
      <c r="A962" s="15" t="n"/>
      <c r="B962" s="16">
        <f>IF($A962="","",TEXT($A962,"mmm"))</f>
        <v/>
      </c>
      <c r="C962" s="17">
        <f>IF($A962="","",YEAR($A962))</f>
        <v/>
      </c>
      <c r="D962" s="13" t="n"/>
      <c r="E962" s="13" t="n"/>
      <c r="F962" s="18" t="n"/>
      <c r="G962" s="18" t="n"/>
      <c r="H962" s="19">
        <f>IF(AND($F962="",$G962=""),"",N($F962)-N($G962))</f>
        <v/>
      </c>
    </row>
    <row r="963">
      <c r="A963" s="15" t="n"/>
      <c r="B963" s="16">
        <f>IF($A963="","",TEXT($A963,"mmm"))</f>
        <v/>
      </c>
      <c r="C963" s="17">
        <f>IF($A963="","",YEAR($A963))</f>
        <v/>
      </c>
      <c r="D963" s="13" t="n"/>
      <c r="E963" s="13" t="n"/>
      <c r="F963" s="18" t="n"/>
      <c r="G963" s="18" t="n"/>
      <c r="H963" s="19">
        <f>IF(AND($F963="",$G963=""),"",N($F963)-N($G963))</f>
        <v/>
      </c>
    </row>
    <row r="964">
      <c r="A964" s="15" t="n"/>
      <c r="B964" s="16">
        <f>IF($A964="","",TEXT($A964,"mmm"))</f>
        <v/>
      </c>
      <c r="C964" s="17">
        <f>IF($A964="","",YEAR($A964))</f>
        <v/>
      </c>
      <c r="D964" s="13" t="n"/>
      <c r="E964" s="13" t="n"/>
      <c r="F964" s="18" t="n"/>
      <c r="G964" s="18" t="n"/>
      <c r="H964" s="19">
        <f>IF(AND($F964="",$G964=""),"",N($F964)-N($G964))</f>
        <v/>
      </c>
    </row>
    <row r="965">
      <c r="A965" s="15" t="n"/>
      <c r="B965" s="16">
        <f>IF($A965="","",TEXT($A965,"mmm"))</f>
        <v/>
      </c>
      <c r="C965" s="17">
        <f>IF($A965="","",YEAR($A965))</f>
        <v/>
      </c>
      <c r="D965" s="13" t="n"/>
      <c r="E965" s="13" t="n"/>
      <c r="F965" s="18" t="n"/>
      <c r="G965" s="18" t="n"/>
      <c r="H965" s="19">
        <f>IF(AND($F965="",$G965=""),"",N($F965)-N($G965))</f>
        <v/>
      </c>
    </row>
    <row r="966">
      <c r="A966" s="15" t="n"/>
      <c r="B966" s="16">
        <f>IF($A966="","",TEXT($A966,"mmm"))</f>
        <v/>
      </c>
      <c r="C966" s="17">
        <f>IF($A966="","",YEAR($A966))</f>
        <v/>
      </c>
      <c r="D966" s="13" t="n"/>
      <c r="E966" s="13" t="n"/>
      <c r="F966" s="18" t="n"/>
      <c r="G966" s="18" t="n"/>
      <c r="H966" s="19">
        <f>IF(AND($F966="",$G966=""),"",N($F966)-N($G966))</f>
        <v/>
      </c>
    </row>
    <row r="967">
      <c r="A967" s="15" t="n"/>
      <c r="B967" s="16">
        <f>IF($A967="","",TEXT($A967,"mmm"))</f>
        <v/>
      </c>
      <c r="C967" s="17">
        <f>IF($A967="","",YEAR($A967))</f>
        <v/>
      </c>
      <c r="D967" s="13" t="n"/>
      <c r="E967" s="13" t="n"/>
      <c r="F967" s="18" t="n"/>
      <c r="G967" s="18" t="n"/>
      <c r="H967" s="19">
        <f>IF(AND($F967="",$G967=""),"",N($F967)-N($G967))</f>
        <v/>
      </c>
    </row>
    <row r="968">
      <c r="A968" s="15" t="n"/>
      <c r="B968" s="16">
        <f>IF($A968="","",TEXT($A968,"mmm"))</f>
        <v/>
      </c>
      <c r="C968" s="17">
        <f>IF($A968="","",YEAR($A968))</f>
        <v/>
      </c>
      <c r="D968" s="13" t="n"/>
      <c r="E968" s="13" t="n"/>
      <c r="F968" s="18" t="n"/>
      <c r="G968" s="18" t="n"/>
      <c r="H968" s="19">
        <f>IF(AND($F968="",$G968=""),"",N($F968)-N($G968))</f>
        <v/>
      </c>
    </row>
    <row r="969">
      <c r="A969" s="15" t="n"/>
      <c r="B969" s="16">
        <f>IF($A969="","",TEXT($A969,"mmm"))</f>
        <v/>
      </c>
      <c r="C969" s="17">
        <f>IF($A969="","",YEAR($A969))</f>
        <v/>
      </c>
      <c r="D969" s="13" t="n"/>
      <c r="E969" s="13" t="n"/>
      <c r="F969" s="18" t="n"/>
      <c r="G969" s="18" t="n"/>
      <c r="H969" s="19">
        <f>IF(AND($F969="",$G969=""),"",N($F969)-N($G969))</f>
        <v/>
      </c>
    </row>
    <row r="970">
      <c r="A970" s="15" t="n"/>
      <c r="B970" s="16">
        <f>IF($A970="","",TEXT($A970,"mmm"))</f>
        <v/>
      </c>
      <c r="C970" s="17">
        <f>IF($A970="","",YEAR($A970))</f>
        <v/>
      </c>
      <c r="D970" s="13" t="n"/>
      <c r="E970" s="13" t="n"/>
      <c r="F970" s="18" t="n"/>
      <c r="G970" s="18" t="n"/>
      <c r="H970" s="19">
        <f>IF(AND($F970="",$G970=""),"",N($F970)-N($G970))</f>
        <v/>
      </c>
    </row>
    <row r="971">
      <c r="A971" s="15" t="n"/>
      <c r="B971" s="16">
        <f>IF($A971="","",TEXT($A971,"mmm"))</f>
        <v/>
      </c>
      <c r="C971" s="17">
        <f>IF($A971="","",YEAR($A971))</f>
        <v/>
      </c>
      <c r="D971" s="13" t="n"/>
      <c r="E971" s="13" t="n"/>
      <c r="F971" s="18" t="n"/>
      <c r="G971" s="18" t="n"/>
      <c r="H971" s="19">
        <f>IF(AND($F971="",$G971=""),"",N($F971)-N($G971))</f>
        <v/>
      </c>
    </row>
    <row r="972">
      <c r="A972" s="15" t="n"/>
      <c r="B972" s="16">
        <f>IF($A972="","",TEXT($A972,"mmm"))</f>
        <v/>
      </c>
      <c r="C972" s="17">
        <f>IF($A972="","",YEAR($A972))</f>
        <v/>
      </c>
      <c r="D972" s="13" t="n"/>
      <c r="E972" s="13" t="n"/>
      <c r="F972" s="18" t="n"/>
      <c r="G972" s="18" t="n"/>
      <c r="H972" s="19">
        <f>IF(AND($F972="",$G972=""),"",N($F972)-N($G972))</f>
        <v/>
      </c>
    </row>
    <row r="973">
      <c r="A973" s="15" t="n"/>
      <c r="B973" s="16">
        <f>IF($A973="","",TEXT($A973,"mmm"))</f>
        <v/>
      </c>
      <c r="C973" s="17">
        <f>IF($A973="","",YEAR($A973))</f>
        <v/>
      </c>
      <c r="D973" s="13" t="n"/>
      <c r="E973" s="13" t="n"/>
      <c r="F973" s="18" t="n"/>
      <c r="G973" s="18" t="n"/>
      <c r="H973" s="19">
        <f>IF(AND($F973="",$G973=""),"",N($F973)-N($G973))</f>
        <v/>
      </c>
    </row>
    <row r="974">
      <c r="A974" s="15" t="n"/>
      <c r="B974" s="16">
        <f>IF($A974="","",TEXT($A974,"mmm"))</f>
        <v/>
      </c>
      <c r="C974" s="17">
        <f>IF($A974="","",YEAR($A974))</f>
        <v/>
      </c>
      <c r="D974" s="13" t="n"/>
      <c r="E974" s="13" t="n"/>
      <c r="F974" s="18" t="n"/>
      <c r="G974" s="18" t="n"/>
      <c r="H974" s="19">
        <f>IF(AND($F974="",$G974=""),"",N($F974)-N($G974))</f>
        <v/>
      </c>
    </row>
    <row r="975">
      <c r="A975" s="15" t="n"/>
      <c r="B975" s="16">
        <f>IF($A975="","",TEXT($A975,"mmm"))</f>
        <v/>
      </c>
      <c r="C975" s="17">
        <f>IF($A975="","",YEAR($A975))</f>
        <v/>
      </c>
      <c r="D975" s="13" t="n"/>
      <c r="E975" s="13" t="n"/>
      <c r="F975" s="18" t="n"/>
      <c r="G975" s="18" t="n"/>
      <c r="H975" s="19">
        <f>IF(AND($F975="",$G975=""),"",N($F975)-N($G975))</f>
        <v/>
      </c>
    </row>
    <row r="976">
      <c r="A976" s="15" t="n"/>
      <c r="B976" s="16">
        <f>IF($A976="","",TEXT($A976,"mmm"))</f>
        <v/>
      </c>
      <c r="C976" s="17">
        <f>IF($A976="","",YEAR($A976))</f>
        <v/>
      </c>
      <c r="D976" s="13" t="n"/>
      <c r="E976" s="13" t="n"/>
      <c r="F976" s="18" t="n"/>
      <c r="G976" s="18" t="n"/>
      <c r="H976" s="19">
        <f>IF(AND($F976="",$G976=""),"",N($F976)-N($G976))</f>
        <v/>
      </c>
    </row>
    <row r="977">
      <c r="A977" s="15" t="n"/>
      <c r="B977" s="16">
        <f>IF($A977="","",TEXT($A977,"mmm"))</f>
        <v/>
      </c>
      <c r="C977" s="17">
        <f>IF($A977="","",YEAR($A977))</f>
        <v/>
      </c>
      <c r="D977" s="13" t="n"/>
      <c r="E977" s="13" t="n"/>
      <c r="F977" s="18" t="n"/>
      <c r="G977" s="18" t="n"/>
      <c r="H977" s="19">
        <f>IF(AND($F977="",$G977=""),"",N($F977)-N($G977))</f>
        <v/>
      </c>
    </row>
    <row r="978">
      <c r="A978" s="15" t="n"/>
      <c r="B978" s="16">
        <f>IF($A978="","",TEXT($A978,"mmm"))</f>
        <v/>
      </c>
      <c r="C978" s="17">
        <f>IF($A978="","",YEAR($A978))</f>
        <v/>
      </c>
      <c r="D978" s="13" t="n"/>
      <c r="E978" s="13" t="n"/>
      <c r="F978" s="18" t="n"/>
      <c r="G978" s="18" t="n"/>
      <c r="H978" s="19">
        <f>IF(AND($F978="",$G978=""),"",N($F978)-N($G978))</f>
        <v/>
      </c>
    </row>
    <row r="979">
      <c r="A979" s="15" t="n"/>
      <c r="B979" s="16">
        <f>IF($A979="","",TEXT($A979,"mmm"))</f>
        <v/>
      </c>
      <c r="C979" s="17">
        <f>IF($A979="","",YEAR($A979))</f>
        <v/>
      </c>
      <c r="D979" s="13" t="n"/>
      <c r="E979" s="13" t="n"/>
      <c r="F979" s="18" t="n"/>
      <c r="G979" s="18" t="n"/>
      <c r="H979" s="19">
        <f>IF(AND($F979="",$G979=""),"",N($F979)-N($G979))</f>
        <v/>
      </c>
    </row>
    <row r="980">
      <c r="A980" s="15" t="n"/>
      <c r="B980" s="16">
        <f>IF($A980="","",TEXT($A980,"mmm"))</f>
        <v/>
      </c>
      <c r="C980" s="17">
        <f>IF($A980="","",YEAR($A980))</f>
        <v/>
      </c>
      <c r="D980" s="13" t="n"/>
      <c r="E980" s="13" t="n"/>
      <c r="F980" s="18" t="n"/>
      <c r="G980" s="18" t="n"/>
      <c r="H980" s="19">
        <f>IF(AND($F980="",$G980=""),"",N($F980)-N($G980))</f>
        <v/>
      </c>
    </row>
    <row r="981">
      <c r="A981" s="15" t="n"/>
      <c r="B981" s="16">
        <f>IF($A981="","",TEXT($A981,"mmm"))</f>
        <v/>
      </c>
      <c r="C981" s="17">
        <f>IF($A981="","",YEAR($A981))</f>
        <v/>
      </c>
      <c r="D981" s="13" t="n"/>
      <c r="E981" s="13" t="n"/>
      <c r="F981" s="18" t="n"/>
      <c r="G981" s="18" t="n"/>
      <c r="H981" s="19">
        <f>IF(AND($F981="",$G981=""),"",N($F981)-N($G981))</f>
        <v/>
      </c>
    </row>
    <row r="982">
      <c r="A982" s="15" t="n"/>
      <c r="B982" s="16">
        <f>IF($A982="","",TEXT($A982,"mmm"))</f>
        <v/>
      </c>
      <c r="C982" s="17">
        <f>IF($A982="","",YEAR($A982))</f>
        <v/>
      </c>
      <c r="D982" s="13" t="n"/>
      <c r="E982" s="13" t="n"/>
      <c r="F982" s="18" t="n"/>
      <c r="G982" s="18" t="n"/>
      <c r="H982" s="19">
        <f>IF(AND($F982="",$G982=""),"",N($F982)-N($G982))</f>
        <v/>
      </c>
    </row>
    <row r="983">
      <c r="A983" s="15" t="n"/>
      <c r="B983" s="16">
        <f>IF($A983="","",TEXT($A983,"mmm"))</f>
        <v/>
      </c>
      <c r="C983" s="17">
        <f>IF($A983="","",YEAR($A983))</f>
        <v/>
      </c>
      <c r="D983" s="13" t="n"/>
      <c r="E983" s="13" t="n"/>
      <c r="F983" s="18" t="n"/>
      <c r="G983" s="18" t="n"/>
      <c r="H983" s="19">
        <f>IF(AND($F983="",$G983=""),"",N($F983)-N($G983))</f>
        <v/>
      </c>
    </row>
    <row r="984">
      <c r="A984" s="15" t="n"/>
      <c r="B984" s="16">
        <f>IF($A984="","",TEXT($A984,"mmm"))</f>
        <v/>
      </c>
      <c r="C984" s="17">
        <f>IF($A984="","",YEAR($A984))</f>
        <v/>
      </c>
      <c r="D984" s="13" t="n"/>
      <c r="E984" s="13" t="n"/>
      <c r="F984" s="18" t="n"/>
      <c r="G984" s="18" t="n"/>
      <c r="H984" s="19">
        <f>IF(AND($F984="",$G984=""),"",N($F984)-N($G984))</f>
        <v/>
      </c>
    </row>
    <row r="985">
      <c r="A985" s="15" t="n"/>
      <c r="B985" s="16">
        <f>IF($A985="","",TEXT($A985,"mmm"))</f>
        <v/>
      </c>
      <c r="C985" s="17">
        <f>IF($A985="","",YEAR($A985))</f>
        <v/>
      </c>
      <c r="D985" s="13" t="n"/>
      <c r="E985" s="13" t="n"/>
      <c r="F985" s="18" t="n"/>
      <c r="G985" s="18" t="n"/>
      <c r="H985" s="19">
        <f>IF(AND($F985="",$G985=""),"",N($F985)-N($G985))</f>
        <v/>
      </c>
    </row>
    <row r="986">
      <c r="A986" s="15" t="n"/>
      <c r="B986" s="16">
        <f>IF($A986="","",TEXT($A986,"mmm"))</f>
        <v/>
      </c>
      <c r="C986" s="17">
        <f>IF($A986="","",YEAR($A986))</f>
        <v/>
      </c>
      <c r="D986" s="13" t="n"/>
      <c r="E986" s="13" t="n"/>
      <c r="F986" s="18" t="n"/>
      <c r="G986" s="18" t="n"/>
      <c r="H986" s="19">
        <f>IF(AND($F986="",$G986=""),"",N($F986)-N($G986))</f>
        <v/>
      </c>
    </row>
    <row r="987">
      <c r="A987" s="15" t="n"/>
      <c r="B987" s="16">
        <f>IF($A987="","",TEXT($A987,"mmm"))</f>
        <v/>
      </c>
      <c r="C987" s="17">
        <f>IF($A987="","",YEAR($A987))</f>
        <v/>
      </c>
      <c r="D987" s="13" t="n"/>
      <c r="E987" s="13" t="n"/>
      <c r="F987" s="18" t="n"/>
      <c r="G987" s="18" t="n"/>
      <c r="H987" s="19">
        <f>IF(AND($F987="",$G987=""),"",N($F987)-N($G987))</f>
        <v/>
      </c>
    </row>
    <row r="988">
      <c r="A988" s="15" t="n"/>
      <c r="B988" s="16">
        <f>IF($A988="","",TEXT($A988,"mmm"))</f>
        <v/>
      </c>
      <c r="C988" s="17">
        <f>IF($A988="","",YEAR($A988))</f>
        <v/>
      </c>
      <c r="D988" s="13" t="n"/>
      <c r="E988" s="13" t="n"/>
      <c r="F988" s="18" t="n"/>
      <c r="G988" s="18" t="n"/>
      <c r="H988" s="19">
        <f>IF(AND($F988="",$G988=""),"",N($F988)-N($G988))</f>
        <v/>
      </c>
    </row>
    <row r="989">
      <c r="A989" s="15" t="n"/>
      <c r="B989" s="16">
        <f>IF($A989="","",TEXT($A989,"mmm"))</f>
        <v/>
      </c>
      <c r="C989" s="17">
        <f>IF($A989="","",YEAR($A989))</f>
        <v/>
      </c>
      <c r="D989" s="13" t="n"/>
      <c r="E989" s="13" t="n"/>
      <c r="F989" s="18" t="n"/>
      <c r="G989" s="18" t="n"/>
      <c r="H989" s="19">
        <f>IF(AND($F989="",$G989=""),"",N($F989)-N($G989))</f>
        <v/>
      </c>
    </row>
    <row r="990">
      <c r="A990" s="15" t="n"/>
      <c r="B990" s="16">
        <f>IF($A990="","",TEXT($A990,"mmm"))</f>
        <v/>
      </c>
      <c r="C990" s="17">
        <f>IF($A990="","",YEAR($A990))</f>
        <v/>
      </c>
      <c r="D990" s="13" t="n"/>
      <c r="E990" s="13" t="n"/>
      <c r="F990" s="18" t="n"/>
      <c r="G990" s="18" t="n"/>
      <c r="H990" s="19">
        <f>IF(AND($F990="",$G990=""),"",N($F990)-N($G990))</f>
        <v/>
      </c>
    </row>
    <row r="991">
      <c r="A991" s="15" t="n"/>
      <c r="B991" s="16">
        <f>IF($A991="","",TEXT($A991,"mmm"))</f>
        <v/>
      </c>
      <c r="C991" s="17">
        <f>IF($A991="","",YEAR($A991))</f>
        <v/>
      </c>
      <c r="D991" s="13" t="n"/>
      <c r="E991" s="13" t="n"/>
      <c r="F991" s="18" t="n"/>
      <c r="G991" s="18" t="n"/>
      <c r="H991" s="19">
        <f>IF(AND($F991="",$G991=""),"",N($F991)-N($G991))</f>
        <v/>
      </c>
    </row>
    <row r="992">
      <c r="A992" s="15" t="n"/>
      <c r="B992" s="16">
        <f>IF($A992="","",TEXT($A992,"mmm"))</f>
        <v/>
      </c>
      <c r="C992" s="17">
        <f>IF($A992="","",YEAR($A992))</f>
        <v/>
      </c>
      <c r="D992" s="13" t="n"/>
      <c r="E992" s="13" t="n"/>
      <c r="F992" s="18" t="n"/>
      <c r="G992" s="18" t="n"/>
      <c r="H992" s="19">
        <f>IF(AND($F992="",$G992=""),"",N($F992)-N($G992))</f>
        <v/>
      </c>
    </row>
    <row r="993">
      <c r="A993" s="15" t="n"/>
      <c r="B993" s="16">
        <f>IF($A993="","",TEXT($A993,"mmm"))</f>
        <v/>
      </c>
      <c r="C993" s="17">
        <f>IF($A993="","",YEAR($A993))</f>
        <v/>
      </c>
      <c r="D993" s="13" t="n"/>
      <c r="E993" s="13" t="n"/>
      <c r="F993" s="18" t="n"/>
      <c r="G993" s="18" t="n"/>
      <c r="H993" s="19">
        <f>IF(AND($F993="",$G993=""),"",N($F993)-N($G993))</f>
        <v/>
      </c>
    </row>
    <row r="994">
      <c r="A994" s="15" t="n"/>
      <c r="B994" s="16">
        <f>IF($A994="","",TEXT($A994,"mmm"))</f>
        <v/>
      </c>
      <c r="C994" s="17">
        <f>IF($A994="","",YEAR($A994))</f>
        <v/>
      </c>
      <c r="D994" s="13" t="n"/>
      <c r="E994" s="13" t="n"/>
      <c r="F994" s="18" t="n"/>
      <c r="G994" s="18" t="n"/>
      <c r="H994" s="19">
        <f>IF(AND($F994="",$G994=""),"",N($F994)-N($G994))</f>
        <v/>
      </c>
    </row>
    <row r="995">
      <c r="A995" s="15" t="n"/>
      <c r="B995" s="16">
        <f>IF($A995="","",TEXT($A995,"mmm"))</f>
        <v/>
      </c>
      <c r="C995" s="17">
        <f>IF($A995="","",YEAR($A995))</f>
        <v/>
      </c>
      <c r="D995" s="13" t="n"/>
      <c r="E995" s="13" t="n"/>
      <c r="F995" s="18" t="n"/>
      <c r="G995" s="18" t="n"/>
      <c r="H995" s="19">
        <f>IF(AND($F995="",$G995=""),"",N($F995)-N($G995))</f>
        <v/>
      </c>
    </row>
    <row r="996">
      <c r="A996" s="15" t="n"/>
      <c r="B996" s="16">
        <f>IF($A996="","",TEXT($A996,"mmm"))</f>
        <v/>
      </c>
      <c r="C996" s="17">
        <f>IF($A996="","",YEAR($A996))</f>
        <v/>
      </c>
      <c r="D996" s="13" t="n"/>
      <c r="E996" s="13" t="n"/>
      <c r="F996" s="18" t="n"/>
      <c r="G996" s="18" t="n"/>
      <c r="H996" s="19">
        <f>IF(AND($F996="",$G996=""),"",N($F996)-N($G996))</f>
        <v/>
      </c>
    </row>
    <row r="997">
      <c r="A997" s="15" t="n"/>
      <c r="B997" s="16">
        <f>IF($A997="","",TEXT($A997,"mmm"))</f>
        <v/>
      </c>
      <c r="C997" s="17">
        <f>IF($A997="","",YEAR($A997))</f>
        <v/>
      </c>
      <c r="D997" s="13" t="n"/>
      <c r="E997" s="13" t="n"/>
      <c r="F997" s="18" t="n"/>
      <c r="G997" s="18" t="n"/>
      <c r="H997" s="19">
        <f>IF(AND($F997="",$G997=""),"",N($F997)-N($G997))</f>
        <v/>
      </c>
    </row>
    <row r="998">
      <c r="A998" s="15" t="n"/>
      <c r="B998" s="16">
        <f>IF($A998="","",TEXT($A998,"mmm"))</f>
        <v/>
      </c>
      <c r="C998" s="17">
        <f>IF($A998="","",YEAR($A998))</f>
        <v/>
      </c>
      <c r="D998" s="13" t="n"/>
      <c r="E998" s="13" t="n"/>
      <c r="F998" s="18" t="n"/>
      <c r="G998" s="18" t="n"/>
      <c r="H998" s="19">
        <f>IF(AND($F998="",$G998=""),"",N($F998)-N($G998))</f>
        <v/>
      </c>
    </row>
    <row r="999">
      <c r="A999" s="15" t="n"/>
      <c r="B999" s="16">
        <f>IF($A999="","",TEXT($A999,"mmm"))</f>
        <v/>
      </c>
      <c r="C999" s="17">
        <f>IF($A999="","",YEAR($A999))</f>
        <v/>
      </c>
      <c r="D999" s="13" t="n"/>
      <c r="E999" s="13" t="n"/>
      <c r="F999" s="18" t="n"/>
      <c r="G999" s="18" t="n"/>
      <c r="H999" s="19">
        <f>IF(AND($F999="",$G999=""),"",N($F999)-N($G999))</f>
        <v/>
      </c>
    </row>
    <row r="1000">
      <c r="A1000" s="15" t="n"/>
      <c r="B1000" s="16">
        <f>IF($A1000="","",TEXT($A1000,"mmm"))</f>
        <v/>
      </c>
      <c r="C1000" s="17">
        <f>IF($A1000="","",YEAR($A1000))</f>
        <v/>
      </c>
      <c r="D1000" s="13" t="n"/>
      <c r="E1000" s="13" t="n"/>
      <c r="F1000" s="18" t="n"/>
      <c r="G1000" s="18" t="n"/>
      <c r="H1000" s="19">
        <f>IF(AND($F1000="",$G1000=""),"",N($F1000)-N($G1000))</f>
        <v/>
      </c>
    </row>
    <row r="1001">
      <c r="A1001" s="15" t="n"/>
      <c r="B1001" s="16">
        <f>IF($A1001="","",TEXT($A1001,"mmm"))</f>
        <v/>
      </c>
      <c r="C1001" s="17">
        <f>IF($A1001="","",YEAR($A1001))</f>
        <v/>
      </c>
      <c r="D1001" s="13" t="n"/>
      <c r="E1001" s="13" t="n"/>
      <c r="F1001" s="18" t="n"/>
      <c r="G1001" s="18" t="n"/>
      <c r="H1001" s="19">
        <f>IF(AND($F1001="",$G1001=""),"",N($F1001)-N($G1001))</f>
        <v/>
      </c>
    </row>
    <row r="1002">
      <c r="A1002" s="15" t="n"/>
      <c r="B1002" s="16">
        <f>IF($A1002="","",TEXT($A1002,"mmm"))</f>
        <v/>
      </c>
      <c r="C1002" s="17">
        <f>IF($A1002="","",YEAR($A1002))</f>
        <v/>
      </c>
      <c r="D1002" s="13" t="n"/>
      <c r="E1002" s="13" t="n"/>
      <c r="F1002" s="18" t="n"/>
      <c r="G1002" s="18" t="n"/>
      <c r="H1002" s="19">
        <f>IF(AND($F1002="",$G1002=""),"",N($F1002)-N($G1002))</f>
        <v/>
      </c>
    </row>
    <row r="1003">
      <c r="A1003" s="15" t="n"/>
      <c r="B1003" s="16">
        <f>IF($A1003="","",TEXT($A1003,"mmm"))</f>
        <v/>
      </c>
      <c r="C1003" s="17">
        <f>IF($A1003="","",YEAR($A1003))</f>
        <v/>
      </c>
      <c r="D1003" s="13" t="n"/>
      <c r="E1003" s="13" t="n"/>
      <c r="F1003" s="18" t="n"/>
      <c r="G1003" s="18" t="n"/>
      <c r="H1003" s="19">
        <f>IF(AND($F1003="",$G1003=""),"",N($F1003)-N($G1003))</f>
        <v/>
      </c>
    </row>
    <row r="1004">
      <c r="A1004" s="15" t="n"/>
      <c r="B1004" s="16">
        <f>IF($A1004="","",TEXT($A1004,"mmm"))</f>
        <v/>
      </c>
      <c r="C1004" s="17">
        <f>IF($A1004="","",YEAR($A1004))</f>
        <v/>
      </c>
      <c r="D1004" s="13" t="n"/>
      <c r="E1004" s="13" t="n"/>
      <c r="F1004" s="18" t="n"/>
      <c r="G1004" s="18" t="n"/>
      <c r="H1004" s="19">
        <f>IF(AND($F1004="",$G1004=""),"",N($F1004)-N($G1004))</f>
        <v/>
      </c>
    </row>
    <row r="1005">
      <c r="A1005" s="15" t="n"/>
      <c r="B1005" s="16">
        <f>IF($A1005="","",TEXT($A1005,"mmm"))</f>
        <v/>
      </c>
      <c r="C1005" s="17">
        <f>IF($A1005="","",YEAR($A1005))</f>
        <v/>
      </c>
      <c r="D1005" s="13" t="n"/>
      <c r="E1005" s="13" t="n"/>
      <c r="F1005" s="18" t="n"/>
      <c r="G1005" s="18" t="n"/>
      <c r="H1005" s="19">
        <f>IF(AND($F1005="",$G1005=""),"",N($F1005)-N($G1005))</f>
        <v/>
      </c>
    </row>
    <row r="1006">
      <c r="A1006" s="15" t="n"/>
      <c r="B1006" s="16">
        <f>IF($A1006="","",TEXT($A1006,"mmm"))</f>
        <v/>
      </c>
      <c r="C1006" s="17">
        <f>IF($A1006="","",YEAR($A1006))</f>
        <v/>
      </c>
      <c r="D1006" s="13" t="n"/>
      <c r="E1006" s="13" t="n"/>
      <c r="F1006" s="18" t="n"/>
      <c r="G1006" s="18" t="n"/>
      <c r="H1006" s="19">
        <f>IF(AND($F1006="",$G1006=""),"",N($F1006)-N($G1006))</f>
        <v/>
      </c>
    </row>
    <row r="1007">
      <c r="A1007" s="15" t="n"/>
      <c r="B1007" s="16">
        <f>IF($A1007="","",TEXT($A1007,"mmm"))</f>
        <v/>
      </c>
      <c r="C1007" s="17">
        <f>IF($A1007="","",YEAR($A1007))</f>
        <v/>
      </c>
      <c r="D1007" s="13" t="n"/>
      <c r="E1007" s="13" t="n"/>
      <c r="F1007" s="18" t="n"/>
      <c r="G1007" s="18" t="n"/>
      <c r="H1007" s="19">
        <f>IF(AND($F1007="",$G1007=""),"",N($F1007)-N($G1007))</f>
        <v/>
      </c>
    </row>
    <row r="1008">
      <c r="A1008" s="15" t="n"/>
      <c r="B1008" s="16">
        <f>IF($A1008="","",TEXT($A1008,"mmm"))</f>
        <v/>
      </c>
      <c r="C1008" s="17">
        <f>IF($A1008="","",YEAR($A1008))</f>
        <v/>
      </c>
      <c r="D1008" s="13" t="n"/>
      <c r="E1008" s="13" t="n"/>
      <c r="F1008" s="18" t="n"/>
      <c r="G1008" s="18" t="n"/>
      <c r="H1008" s="19">
        <f>IF(AND($F1008="",$G1008=""),"",N($F1008)-N($G1008))</f>
        <v/>
      </c>
    </row>
    <row r="1009">
      <c r="A1009" s="15" t="n"/>
      <c r="B1009" s="16">
        <f>IF($A1009="","",TEXT($A1009,"mmm"))</f>
        <v/>
      </c>
      <c r="C1009" s="17">
        <f>IF($A1009="","",YEAR($A1009))</f>
        <v/>
      </c>
      <c r="D1009" s="13" t="n"/>
      <c r="E1009" s="13" t="n"/>
      <c r="F1009" s="18" t="n"/>
      <c r="G1009" s="18" t="n"/>
      <c r="H1009" s="19">
        <f>IF(AND($F1009="",$G1009=""),"",N($F1009)-N($G1009))</f>
        <v/>
      </c>
    </row>
    <row r="1010">
      <c r="A1010" s="15" t="n"/>
      <c r="B1010" s="16">
        <f>IF($A1010="","",TEXT($A1010,"mmm"))</f>
        <v/>
      </c>
      <c r="C1010" s="17">
        <f>IF($A1010="","",YEAR($A1010))</f>
        <v/>
      </c>
      <c r="D1010" s="13" t="n"/>
      <c r="E1010" s="13" t="n"/>
      <c r="F1010" s="18" t="n"/>
      <c r="G1010" s="18" t="n"/>
      <c r="H1010" s="19">
        <f>IF(AND($F1010="",$G1010=""),"",N($F1010)-N($G1010))</f>
        <v/>
      </c>
    </row>
    <row r="1011">
      <c r="A1011" s="15" t="n"/>
      <c r="B1011" s="16">
        <f>IF($A1011="","",TEXT($A1011,"mmm"))</f>
        <v/>
      </c>
      <c r="C1011" s="17">
        <f>IF($A1011="","",YEAR($A1011))</f>
        <v/>
      </c>
      <c r="D1011" s="13" t="n"/>
      <c r="E1011" s="13" t="n"/>
      <c r="F1011" s="18" t="n"/>
      <c r="G1011" s="18" t="n"/>
      <c r="H1011" s="19">
        <f>IF(AND($F1011="",$G1011=""),"",N($F1011)-N($G1011))</f>
        <v/>
      </c>
    </row>
    <row r="1012">
      <c r="A1012" s="15" t="n"/>
      <c r="B1012" s="16">
        <f>IF($A1012="","",TEXT($A1012,"mmm"))</f>
        <v/>
      </c>
      <c r="C1012" s="17">
        <f>IF($A1012="","",YEAR($A1012))</f>
        <v/>
      </c>
      <c r="D1012" s="13" t="n"/>
      <c r="E1012" s="13" t="n"/>
      <c r="F1012" s="18" t="n"/>
      <c r="G1012" s="18" t="n"/>
      <c r="H1012" s="19">
        <f>IF(AND($F1012="",$G1012=""),"",N($F1012)-N($G1012))</f>
        <v/>
      </c>
    </row>
    <row r="1013">
      <c r="A1013" s="15" t="n"/>
      <c r="B1013" s="16">
        <f>IF($A1013="","",TEXT($A1013,"mmm"))</f>
        <v/>
      </c>
      <c r="C1013" s="17">
        <f>IF($A1013="","",YEAR($A1013))</f>
        <v/>
      </c>
      <c r="D1013" s="13" t="n"/>
      <c r="E1013" s="13" t="n"/>
      <c r="F1013" s="18" t="n"/>
      <c r="G1013" s="18" t="n"/>
      <c r="H1013" s="19">
        <f>IF(AND($F1013="",$G1013=""),"",N($F1013)-N($G1013))</f>
        <v/>
      </c>
    </row>
    <row r="1014">
      <c r="A1014" s="15" t="n"/>
      <c r="B1014" s="16">
        <f>IF($A1014="","",TEXT($A1014,"mmm"))</f>
        <v/>
      </c>
      <c r="C1014" s="17">
        <f>IF($A1014="","",YEAR($A1014))</f>
        <v/>
      </c>
      <c r="D1014" s="13" t="n"/>
      <c r="E1014" s="13" t="n"/>
      <c r="F1014" s="18" t="n"/>
      <c r="G1014" s="18" t="n"/>
      <c r="H1014" s="19">
        <f>IF(AND($F1014="",$G1014=""),"",N($F1014)-N($G1014))</f>
        <v/>
      </c>
    </row>
    <row r="1015">
      <c r="A1015" s="15" t="n"/>
      <c r="B1015" s="16">
        <f>IF($A1015="","",TEXT($A1015,"mmm"))</f>
        <v/>
      </c>
      <c r="C1015" s="17">
        <f>IF($A1015="","",YEAR($A1015))</f>
        <v/>
      </c>
      <c r="D1015" s="13" t="n"/>
      <c r="E1015" s="13" t="n"/>
      <c r="F1015" s="18" t="n"/>
      <c r="G1015" s="18" t="n"/>
      <c r="H1015" s="19">
        <f>IF(AND($F1015="",$G1015=""),"",N($F1015)-N($G1015))</f>
        <v/>
      </c>
    </row>
    <row r="1016">
      <c r="A1016" s="15" t="n"/>
      <c r="B1016" s="16">
        <f>IF($A1016="","",TEXT($A1016,"mmm"))</f>
        <v/>
      </c>
      <c r="C1016" s="17">
        <f>IF($A1016="","",YEAR($A1016))</f>
        <v/>
      </c>
      <c r="D1016" s="13" t="n"/>
      <c r="E1016" s="13" t="n"/>
      <c r="F1016" s="18" t="n"/>
      <c r="G1016" s="18" t="n"/>
      <c r="H1016" s="19">
        <f>IF(AND($F1016="",$G1016=""),"",N($F1016)-N($G1016))</f>
        <v/>
      </c>
    </row>
    <row r="1017">
      <c r="A1017" s="15" t="n"/>
      <c r="B1017" s="16">
        <f>IF($A1017="","",TEXT($A1017,"mmm"))</f>
        <v/>
      </c>
      <c r="C1017" s="17">
        <f>IF($A1017="","",YEAR($A1017))</f>
        <v/>
      </c>
      <c r="D1017" s="13" t="n"/>
      <c r="E1017" s="13" t="n"/>
      <c r="F1017" s="18" t="n"/>
      <c r="G1017" s="18" t="n"/>
      <c r="H1017" s="19">
        <f>IF(AND($F1017="",$G1017=""),"",N($F1017)-N($G1017))</f>
        <v/>
      </c>
    </row>
    <row r="1018">
      <c r="A1018" s="15" t="n"/>
      <c r="B1018" s="16">
        <f>IF($A1018="","",TEXT($A1018,"mmm"))</f>
        <v/>
      </c>
      <c r="C1018" s="17">
        <f>IF($A1018="","",YEAR($A1018))</f>
        <v/>
      </c>
      <c r="D1018" s="13" t="n"/>
      <c r="E1018" s="13" t="n"/>
      <c r="F1018" s="18" t="n"/>
      <c r="G1018" s="18" t="n"/>
      <c r="H1018" s="19">
        <f>IF(AND($F1018="",$G1018=""),"",N($F1018)-N($G1018))</f>
        <v/>
      </c>
    </row>
    <row r="1019">
      <c r="A1019" s="15" t="n"/>
      <c r="B1019" s="16">
        <f>IF($A1019="","",TEXT($A1019,"mmm"))</f>
        <v/>
      </c>
      <c r="C1019" s="17">
        <f>IF($A1019="","",YEAR($A1019))</f>
        <v/>
      </c>
      <c r="D1019" s="13" t="n"/>
      <c r="E1019" s="13" t="n"/>
      <c r="F1019" s="18" t="n"/>
      <c r="G1019" s="18" t="n"/>
      <c r="H1019" s="19">
        <f>IF(AND($F1019="",$G1019=""),"",N($F1019)-N($G1019))</f>
        <v/>
      </c>
    </row>
    <row r="1020">
      <c r="A1020" s="15" t="n"/>
      <c r="B1020" s="16">
        <f>IF($A1020="","",TEXT($A1020,"mmm"))</f>
        <v/>
      </c>
      <c r="C1020" s="17">
        <f>IF($A1020="","",YEAR($A1020))</f>
        <v/>
      </c>
      <c r="D1020" s="13" t="n"/>
      <c r="E1020" s="13" t="n"/>
      <c r="F1020" s="18" t="n"/>
      <c r="G1020" s="18" t="n"/>
      <c r="H1020" s="19">
        <f>IF(AND($F1020="",$G1020=""),"",N($F1020)-N($G1020))</f>
        <v/>
      </c>
    </row>
    <row r="1021">
      <c r="A1021" s="15" t="n"/>
      <c r="B1021" s="16">
        <f>IF($A1021="","",TEXT($A1021,"mmm"))</f>
        <v/>
      </c>
      <c r="C1021" s="17">
        <f>IF($A1021="","",YEAR($A1021))</f>
        <v/>
      </c>
      <c r="D1021" s="13" t="n"/>
      <c r="E1021" s="13" t="n"/>
      <c r="F1021" s="18" t="n"/>
      <c r="G1021" s="18" t="n"/>
      <c r="H1021" s="19">
        <f>IF(AND($F1021="",$G1021=""),"",N($F1021)-N($G1021))</f>
        <v/>
      </c>
    </row>
    <row r="1022">
      <c r="A1022" s="15" t="n"/>
      <c r="B1022" s="16">
        <f>IF($A1022="","",TEXT($A1022,"mmm"))</f>
        <v/>
      </c>
      <c r="C1022" s="17">
        <f>IF($A1022="","",YEAR($A1022))</f>
        <v/>
      </c>
      <c r="D1022" s="13" t="n"/>
      <c r="E1022" s="13" t="n"/>
      <c r="F1022" s="18" t="n"/>
      <c r="G1022" s="18" t="n"/>
      <c r="H1022" s="19">
        <f>IF(AND($F1022="",$G1022=""),"",N($F1022)-N($G1022))</f>
        <v/>
      </c>
    </row>
    <row r="1023">
      <c r="A1023" s="15" t="n"/>
      <c r="B1023" s="16">
        <f>IF($A1023="","",TEXT($A1023,"mmm"))</f>
        <v/>
      </c>
      <c r="C1023" s="17">
        <f>IF($A1023="","",YEAR($A1023))</f>
        <v/>
      </c>
      <c r="D1023" s="13" t="n"/>
      <c r="E1023" s="13" t="n"/>
      <c r="F1023" s="18" t="n"/>
      <c r="G1023" s="18" t="n"/>
      <c r="H1023" s="19">
        <f>IF(AND($F1023="",$G1023=""),"",N($F1023)-N($G1023))</f>
        <v/>
      </c>
    </row>
    <row r="1024">
      <c r="A1024" s="15" t="n"/>
      <c r="B1024" s="16">
        <f>IF($A1024="","",TEXT($A1024,"mmm"))</f>
        <v/>
      </c>
      <c r="C1024" s="17">
        <f>IF($A1024="","",YEAR($A1024))</f>
        <v/>
      </c>
      <c r="D1024" s="13" t="n"/>
      <c r="E1024" s="13" t="n"/>
      <c r="F1024" s="18" t="n"/>
      <c r="G1024" s="18" t="n"/>
      <c r="H1024" s="19">
        <f>IF(AND($F1024="",$G1024=""),"",N($F1024)-N($G1024))</f>
        <v/>
      </c>
    </row>
    <row r="1025">
      <c r="A1025" s="15" t="n"/>
      <c r="B1025" s="16">
        <f>IF($A1025="","",TEXT($A1025,"mmm"))</f>
        <v/>
      </c>
      <c r="C1025" s="17">
        <f>IF($A1025="","",YEAR($A1025))</f>
        <v/>
      </c>
      <c r="D1025" s="13" t="n"/>
      <c r="E1025" s="13" t="n"/>
      <c r="F1025" s="18" t="n"/>
      <c r="G1025" s="18" t="n"/>
      <c r="H1025" s="19">
        <f>IF(AND($F1025="",$G1025=""),"",N($F1025)-N($G1025))</f>
        <v/>
      </c>
    </row>
    <row r="1026">
      <c r="A1026" s="15" t="n"/>
      <c r="B1026" s="16">
        <f>IF($A1026="","",TEXT($A1026,"mmm"))</f>
        <v/>
      </c>
      <c r="C1026" s="17">
        <f>IF($A1026="","",YEAR($A1026))</f>
        <v/>
      </c>
      <c r="D1026" s="13" t="n"/>
      <c r="E1026" s="13" t="n"/>
      <c r="F1026" s="18" t="n"/>
      <c r="G1026" s="18" t="n"/>
      <c r="H1026" s="19">
        <f>IF(AND($F1026="",$G1026=""),"",N($F1026)-N($G1026))</f>
        <v/>
      </c>
    </row>
    <row r="1027">
      <c r="A1027" s="15" t="n"/>
      <c r="B1027" s="16">
        <f>IF($A1027="","",TEXT($A1027,"mmm"))</f>
        <v/>
      </c>
      <c r="C1027" s="17">
        <f>IF($A1027="","",YEAR($A1027))</f>
        <v/>
      </c>
      <c r="D1027" s="13" t="n"/>
      <c r="E1027" s="13" t="n"/>
      <c r="F1027" s="18" t="n"/>
      <c r="G1027" s="18" t="n"/>
      <c r="H1027" s="19">
        <f>IF(AND($F1027="",$G1027=""),"",N($F1027)-N($G1027))</f>
        <v/>
      </c>
    </row>
    <row r="1028">
      <c r="A1028" s="15" t="n"/>
      <c r="B1028" s="16">
        <f>IF($A1028="","",TEXT($A1028,"mmm"))</f>
        <v/>
      </c>
      <c r="C1028" s="17">
        <f>IF($A1028="","",YEAR($A1028))</f>
        <v/>
      </c>
      <c r="D1028" s="13" t="n"/>
      <c r="E1028" s="13" t="n"/>
      <c r="F1028" s="18" t="n"/>
      <c r="G1028" s="18" t="n"/>
      <c r="H1028" s="19">
        <f>IF(AND($F1028="",$G1028=""),"",N($F1028)-N($G1028))</f>
        <v/>
      </c>
    </row>
    <row r="1029">
      <c r="A1029" s="15" t="n"/>
      <c r="B1029" s="16">
        <f>IF($A1029="","",TEXT($A1029,"mmm"))</f>
        <v/>
      </c>
      <c r="C1029" s="17">
        <f>IF($A1029="","",YEAR($A1029))</f>
        <v/>
      </c>
      <c r="D1029" s="13" t="n"/>
      <c r="E1029" s="13" t="n"/>
      <c r="F1029" s="18" t="n"/>
      <c r="G1029" s="18" t="n"/>
      <c r="H1029" s="19">
        <f>IF(AND($F1029="",$G1029=""),"",N($F1029)-N($G1029))</f>
        <v/>
      </c>
    </row>
    <row r="1030">
      <c r="A1030" s="15" t="n"/>
      <c r="B1030" s="16">
        <f>IF($A1030="","",TEXT($A1030,"mmm"))</f>
        <v/>
      </c>
      <c r="C1030" s="17">
        <f>IF($A1030="","",YEAR($A1030))</f>
        <v/>
      </c>
      <c r="D1030" s="13" t="n"/>
      <c r="E1030" s="13" t="n"/>
      <c r="F1030" s="18" t="n"/>
      <c r="G1030" s="18" t="n"/>
      <c r="H1030" s="19">
        <f>IF(AND($F1030="",$G1030=""),"",N($F1030)-N($G1030))</f>
        <v/>
      </c>
    </row>
    <row r="1031">
      <c r="A1031" s="15" t="n"/>
      <c r="B1031" s="16">
        <f>IF($A1031="","",TEXT($A1031,"mmm"))</f>
        <v/>
      </c>
      <c r="C1031" s="17">
        <f>IF($A1031="","",YEAR($A1031))</f>
        <v/>
      </c>
      <c r="D1031" s="13" t="n"/>
      <c r="E1031" s="13" t="n"/>
      <c r="F1031" s="18" t="n"/>
      <c r="G1031" s="18" t="n"/>
      <c r="H1031" s="19">
        <f>IF(AND($F1031="",$G1031=""),"",N($F1031)-N($G1031))</f>
        <v/>
      </c>
    </row>
    <row r="1032">
      <c r="A1032" s="15" t="n"/>
      <c r="B1032" s="16">
        <f>IF($A1032="","",TEXT($A1032,"mmm"))</f>
        <v/>
      </c>
      <c r="C1032" s="17">
        <f>IF($A1032="","",YEAR($A1032))</f>
        <v/>
      </c>
      <c r="D1032" s="13" t="n"/>
      <c r="E1032" s="13" t="n"/>
      <c r="F1032" s="18" t="n"/>
      <c r="G1032" s="18" t="n"/>
      <c r="H1032" s="19">
        <f>IF(AND($F1032="",$G1032=""),"",N($F1032)-N($G1032))</f>
        <v/>
      </c>
    </row>
    <row r="1033">
      <c r="A1033" s="15" t="n"/>
      <c r="B1033" s="16">
        <f>IF($A1033="","",TEXT($A1033,"mmm"))</f>
        <v/>
      </c>
      <c r="C1033" s="17">
        <f>IF($A1033="","",YEAR($A1033))</f>
        <v/>
      </c>
      <c r="D1033" s="13" t="n"/>
      <c r="E1033" s="13" t="n"/>
      <c r="F1033" s="18" t="n"/>
      <c r="G1033" s="18" t="n"/>
      <c r="H1033" s="19">
        <f>IF(AND($F1033="",$G1033=""),"",N($F1033)-N($G1033))</f>
        <v/>
      </c>
    </row>
    <row r="1034">
      <c r="A1034" s="15" t="n"/>
      <c r="B1034" s="16">
        <f>IF($A1034="","",TEXT($A1034,"mmm"))</f>
        <v/>
      </c>
      <c r="C1034" s="17">
        <f>IF($A1034="","",YEAR($A1034))</f>
        <v/>
      </c>
      <c r="D1034" s="13" t="n"/>
      <c r="E1034" s="13" t="n"/>
      <c r="F1034" s="18" t="n"/>
      <c r="G1034" s="18" t="n"/>
      <c r="H1034" s="19">
        <f>IF(AND($F1034="",$G1034=""),"",N($F1034)-N($G1034))</f>
        <v/>
      </c>
    </row>
    <row r="1035">
      <c r="A1035" s="15" t="n"/>
      <c r="B1035" s="16">
        <f>IF($A1035="","",TEXT($A1035,"mmm"))</f>
        <v/>
      </c>
      <c r="C1035" s="17">
        <f>IF($A1035="","",YEAR($A1035))</f>
        <v/>
      </c>
      <c r="D1035" s="13" t="n"/>
      <c r="E1035" s="13" t="n"/>
      <c r="F1035" s="18" t="n"/>
      <c r="G1035" s="18" t="n"/>
      <c r="H1035" s="19">
        <f>IF(AND($F1035="",$G1035=""),"",N($F1035)-N($G1035))</f>
        <v/>
      </c>
    </row>
    <row r="1036">
      <c r="A1036" s="15" t="n"/>
      <c r="B1036" s="16">
        <f>IF($A1036="","",TEXT($A1036,"mmm"))</f>
        <v/>
      </c>
      <c r="C1036" s="17">
        <f>IF($A1036="","",YEAR($A1036))</f>
        <v/>
      </c>
      <c r="D1036" s="13" t="n"/>
      <c r="E1036" s="13" t="n"/>
      <c r="F1036" s="18" t="n"/>
      <c r="G1036" s="18" t="n"/>
      <c r="H1036" s="19">
        <f>IF(AND($F1036="",$G1036=""),"",N($F1036)-N($G1036))</f>
        <v/>
      </c>
    </row>
    <row r="1037">
      <c r="A1037" s="15" t="n"/>
      <c r="B1037" s="16">
        <f>IF($A1037="","",TEXT($A1037,"mmm"))</f>
        <v/>
      </c>
      <c r="C1037" s="17">
        <f>IF($A1037="","",YEAR($A1037))</f>
        <v/>
      </c>
      <c r="D1037" s="13" t="n"/>
      <c r="E1037" s="13" t="n"/>
      <c r="F1037" s="18" t="n"/>
      <c r="G1037" s="18" t="n"/>
      <c r="H1037" s="19">
        <f>IF(AND($F1037="",$G1037=""),"",N($F1037)-N($G1037))</f>
        <v/>
      </c>
    </row>
    <row r="1038">
      <c r="A1038" s="15" t="n"/>
      <c r="B1038" s="16">
        <f>IF($A1038="","",TEXT($A1038,"mmm"))</f>
        <v/>
      </c>
      <c r="C1038" s="17">
        <f>IF($A1038="","",YEAR($A1038))</f>
        <v/>
      </c>
      <c r="D1038" s="13" t="n"/>
      <c r="E1038" s="13" t="n"/>
      <c r="F1038" s="18" t="n"/>
      <c r="G1038" s="18" t="n"/>
      <c r="H1038" s="19">
        <f>IF(AND($F1038="",$G1038=""),"",N($F1038)-N($G1038))</f>
        <v/>
      </c>
    </row>
    <row r="1039">
      <c r="A1039" s="15" t="n"/>
      <c r="B1039" s="16">
        <f>IF($A1039="","",TEXT($A1039,"mmm"))</f>
        <v/>
      </c>
      <c r="C1039" s="17">
        <f>IF($A1039="","",YEAR($A1039))</f>
        <v/>
      </c>
      <c r="D1039" s="13" t="n"/>
      <c r="E1039" s="13" t="n"/>
      <c r="F1039" s="18" t="n"/>
      <c r="G1039" s="18" t="n"/>
      <c r="H1039" s="19">
        <f>IF(AND($F1039="",$G1039=""),"",N($F1039)-N($G1039))</f>
        <v/>
      </c>
    </row>
    <row r="1040">
      <c r="A1040" s="15" t="n"/>
      <c r="B1040" s="16">
        <f>IF($A1040="","",TEXT($A1040,"mmm"))</f>
        <v/>
      </c>
      <c r="C1040" s="17">
        <f>IF($A1040="","",YEAR($A1040))</f>
        <v/>
      </c>
      <c r="D1040" s="13" t="n"/>
      <c r="E1040" s="13" t="n"/>
      <c r="F1040" s="18" t="n"/>
      <c r="G1040" s="18" t="n"/>
      <c r="H1040" s="19">
        <f>IF(AND($F1040="",$G1040=""),"",N($F1040)-N($G1040))</f>
        <v/>
      </c>
    </row>
    <row r="1041">
      <c r="A1041" s="15" t="n"/>
      <c r="B1041" s="16">
        <f>IF($A1041="","",TEXT($A1041,"mmm"))</f>
        <v/>
      </c>
      <c r="C1041" s="17">
        <f>IF($A1041="","",YEAR($A1041))</f>
        <v/>
      </c>
      <c r="D1041" s="13" t="n"/>
      <c r="E1041" s="13" t="n"/>
      <c r="F1041" s="18" t="n"/>
      <c r="G1041" s="18" t="n"/>
      <c r="H1041" s="19">
        <f>IF(AND($F1041="",$G1041=""),"",N($F1041)-N($G1041))</f>
        <v/>
      </c>
    </row>
    <row r="1042">
      <c r="A1042" s="15" t="n"/>
      <c r="B1042" s="16">
        <f>IF($A1042="","",TEXT($A1042,"mmm"))</f>
        <v/>
      </c>
      <c r="C1042" s="17">
        <f>IF($A1042="","",YEAR($A1042))</f>
        <v/>
      </c>
      <c r="D1042" s="13" t="n"/>
      <c r="E1042" s="13" t="n"/>
      <c r="F1042" s="18" t="n"/>
      <c r="G1042" s="18" t="n"/>
      <c r="H1042" s="19">
        <f>IF(AND($F1042="",$G1042=""),"",N($F1042)-N($G1042))</f>
        <v/>
      </c>
    </row>
    <row r="1043">
      <c r="A1043" s="15" t="n"/>
      <c r="B1043" s="16">
        <f>IF($A1043="","",TEXT($A1043,"mmm"))</f>
        <v/>
      </c>
      <c r="C1043" s="17">
        <f>IF($A1043="","",YEAR($A1043))</f>
        <v/>
      </c>
      <c r="D1043" s="13" t="n"/>
      <c r="E1043" s="13" t="n"/>
      <c r="F1043" s="18" t="n"/>
      <c r="G1043" s="18" t="n"/>
      <c r="H1043" s="19">
        <f>IF(AND($F1043="",$G1043=""),"",N($F1043)-N($G1043))</f>
        <v/>
      </c>
    </row>
    <row r="1044">
      <c r="A1044" s="15" t="n"/>
      <c r="B1044" s="16">
        <f>IF($A1044="","",TEXT($A1044,"mmm"))</f>
        <v/>
      </c>
      <c r="C1044" s="17">
        <f>IF($A1044="","",YEAR($A1044))</f>
        <v/>
      </c>
      <c r="D1044" s="13" t="n"/>
      <c r="E1044" s="13" t="n"/>
      <c r="F1044" s="18" t="n"/>
      <c r="G1044" s="18" t="n"/>
      <c r="H1044" s="19">
        <f>IF(AND($F1044="",$G1044=""),"",N($F1044)-N($G1044))</f>
        <v/>
      </c>
    </row>
    <row r="1045">
      <c r="A1045" s="15" t="n"/>
      <c r="B1045" s="16">
        <f>IF($A1045="","",TEXT($A1045,"mmm"))</f>
        <v/>
      </c>
      <c r="C1045" s="17">
        <f>IF($A1045="","",YEAR($A1045))</f>
        <v/>
      </c>
      <c r="D1045" s="13" t="n"/>
      <c r="E1045" s="13" t="n"/>
      <c r="F1045" s="18" t="n"/>
      <c r="G1045" s="18" t="n"/>
      <c r="H1045" s="19">
        <f>IF(AND($F1045="",$G1045=""),"",N($F1045)-N($G1045))</f>
        <v/>
      </c>
    </row>
    <row r="1046">
      <c r="A1046" s="15" t="n"/>
      <c r="B1046" s="16">
        <f>IF($A1046="","",TEXT($A1046,"mmm"))</f>
        <v/>
      </c>
      <c r="C1046" s="17">
        <f>IF($A1046="","",YEAR($A1046))</f>
        <v/>
      </c>
      <c r="D1046" s="13" t="n"/>
      <c r="E1046" s="13" t="n"/>
      <c r="F1046" s="18" t="n"/>
      <c r="G1046" s="18" t="n"/>
      <c r="H1046" s="19">
        <f>IF(AND($F1046="",$G1046=""),"",N($F1046)-N($G1046))</f>
        <v/>
      </c>
    </row>
    <row r="1047">
      <c r="A1047" s="15" t="n"/>
      <c r="B1047" s="16">
        <f>IF($A1047="","",TEXT($A1047,"mmm"))</f>
        <v/>
      </c>
      <c r="C1047" s="17">
        <f>IF($A1047="","",YEAR($A1047))</f>
        <v/>
      </c>
      <c r="D1047" s="13" t="n"/>
      <c r="E1047" s="13" t="n"/>
      <c r="F1047" s="18" t="n"/>
      <c r="G1047" s="18" t="n"/>
      <c r="H1047" s="19">
        <f>IF(AND($F1047="",$G1047=""),"",N($F1047)-N($G1047))</f>
        <v/>
      </c>
    </row>
    <row r="1048">
      <c r="A1048" s="15" t="n"/>
      <c r="B1048" s="16">
        <f>IF($A1048="","",TEXT($A1048,"mmm"))</f>
        <v/>
      </c>
      <c r="C1048" s="17">
        <f>IF($A1048="","",YEAR($A1048))</f>
        <v/>
      </c>
      <c r="D1048" s="13" t="n"/>
      <c r="E1048" s="13" t="n"/>
      <c r="F1048" s="18" t="n"/>
      <c r="G1048" s="18" t="n"/>
      <c r="H1048" s="19">
        <f>IF(AND($F1048="",$G1048=""),"",N($F1048)-N($G1048))</f>
        <v/>
      </c>
    </row>
    <row r="1049">
      <c r="A1049" s="15" t="n"/>
      <c r="B1049" s="16">
        <f>IF($A1049="","",TEXT($A1049,"mmm"))</f>
        <v/>
      </c>
      <c r="C1049" s="17">
        <f>IF($A1049="","",YEAR($A1049))</f>
        <v/>
      </c>
      <c r="D1049" s="13" t="n"/>
      <c r="E1049" s="13" t="n"/>
      <c r="F1049" s="18" t="n"/>
      <c r="G1049" s="18" t="n"/>
      <c r="H1049" s="19">
        <f>IF(AND($F1049="",$G1049=""),"",N($F1049)-N($G1049))</f>
        <v/>
      </c>
    </row>
    <row r="1050">
      <c r="A1050" s="15" t="n"/>
      <c r="B1050" s="16">
        <f>IF($A1050="","",TEXT($A1050,"mmm"))</f>
        <v/>
      </c>
      <c r="C1050" s="17">
        <f>IF($A1050="","",YEAR($A1050))</f>
        <v/>
      </c>
      <c r="D1050" s="13" t="n"/>
      <c r="E1050" s="13" t="n"/>
      <c r="F1050" s="18" t="n"/>
      <c r="G1050" s="18" t="n"/>
      <c r="H1050" s="19">
        <f>IF(AND($F1050="",$G1050=""),"",N($F1050)-N($G1050))</f>
        <v/>
      </c>
    </row>
    <row r="1051">
      <c r="A1051" s="15" t="n"/>
      <c r="B1051" s="16">
        <f>IF($A1051="","",TEXT($A1051,"mmm"))</f>
        <v/>
      </c>
      <c r="C1051" s="17">
        <f>IF($A1051="","",YEAR($A1051))</f>
        <v/>
      </c>
      <c r="D1051" s="13" t="n"/>
      <c r="E1051" s="13" t="n"/>
      <c r="F1051" s="18" t="n"/>
      <c r="G1051" s="18" t="n"/>
      <c r="H1051" s="19">
        <f>IF(AND($F1051="",$G1051=""),"",N($F1051)-N($G1051))</f>
        <v/>
      </c>
    </row>
    <row r="1052">
      <c r="A1052" s="15" t="n"/>
      <c r="B1052" s="16">
        <f>IF($A1052="","",TEXT($A1052,"mmm"))</f>
        <v/>
      </c>
      <c r="C1052" s="17">
        <f>IF($A1052="","",YEAR($A1052))</f>
        <v/>
      </c>
      <c r="D1052" s="13" t="n"/>
      <c r="E1052" s="13" t="n"/>
      <c r="F1052" s="18" t="n"/>
      <c r="G1052" s="18" t="n"/>
      <c r="H1052" s="19">
        <f>IF(AND($F1052="",$G1052=""),"",N($F1052)-N($G1052))</f>
        <v/>
      </c>
    </row>
    <row r="1053">
      <c r="A1053" s="15" t="n"/>
      <c r="B1053" s="16">
        <f>IF($A1053="","",TEXT($A1053,"mmm"))</f>
        <v/>
      </c>
      <c r="C1053" s="17">
        <f>IF($A1053="","",YEAR($A1053))</f>
        <v/>
      </c>
      <c r="D1053" s="13" t="n"/>
      <c r="E1053" s="13" t="n"/>
      <c r="F1053" s="18" t="n"/>
      <c r="G1053" s="18" t="n"/>
      <c r="H1053" s="19">
        <f>IF(AND($F1053="",$G1053=""),"",N($F1053)-N($G1053))</f>
        <v/>
      </c>
    </row>
    <row r="1054">
      <c r="A1054" s="15" t="n"/>
      <c r="B1054" s="16">
        <f>IF($A1054="","",TEXT($A1054,"mmm"))</f>
        <v/>
      </c>
      <c r="C1054" s="17">
        <f>IF($A1054="","",YEAR($A1054))</f>
        <v/>
      </c>
      <c r="D1054" s="13" t="n"/>
      <c r="E1054" s="13" t="n"/>
      <c r="F1054" s="18" t="n"/>
      <c r="G1054" s="18" t="n"/>
      <c r="H1054" s="19">
        <f>IF(AND($F1054="",$G1054=""),"",N($F1054)-N($G1054))</f>
        <v/>
      </c>
    </row>
    <row r="1055">
      <c r="A1055" s="15" t="n"/>
      <c r="B1055" s="16">
        <f>IF($A1055="","",TEXT($A1055,"mmm"))</f>
        <v/>
      </c>
      <c r="C1055" s="17">
        <f>IF($A1055="","",YEAR($A1055))</f>
        <v/>
      </c>
      <c r="D1055" s="13" t="n"/>
      <c r="E1055" s="13" t="n"/>
      <c r="F1055" s="18" t="n"/>
      <c r="G1055" s="18" t="n"/>
      <c r="H1055" s="19">
        <f>IF(AND($F1055="",$G1055=""),"",N($F1055)-N($G1055))</f>
        <v/>
      </c>
    </row>
    <row r="1056">
      <c r="A1056" s="15" t="n"/>
      <c r="B1056" s="16">
        <f>IF($A1056="","",TEXT($A1056,"mmm"))</f>
        <v/>
      </c>
      <c r="C1056" s="17">
        <f>IF($A1056="","",YEAR($A1056))</f>
        <v/>
      </c>
      <c r="D1056" s="13" t="n"/>
      <c r="E1056" s="13" t="n"/>
      <c r="F1056" s="18" t="n"/>
      <c r="G1056" s="18" t="n"/>
      <c r="H1056" s="19">
        <f>IF(AND($F1056="",$G1056=""),"",N($F1056)-N($G1056))</f>
        <v/>
      </c>
    </row>
    <row r="1057">
      <c r="A1057" s="15" t="n"/>
      <c r="B1057" s="16">
        <f>IF($A1057="","",TEXT($A1057,"mmm"))</f>
        <v/>
      </c>
      <c r="C1057" s="17">
        <f>IF($A1057="","",YEAR($A1057))</f>
        <v/>
      </c>
      <c r="D1057" s="13" t="n"/>
      <c r="E1057" s="13" t="n"/>
      <c r="F1057" s="18" t="n"/>
      <c r="G1057" s="18" t="n"/>
      <c r="H1057" s="19">
        <f>IF(AND($F1057="",$G1057=""),"",N($F1057)-N($G1057))</f>
        <v/>
      </c>
    </row>
    <row r="1058">
      <c r="A1058" s="15" t="n"/>
      <c r="B1058" s="16">
        <f>IF($A1058="","",TEXT($A1058,"mmm"))</f>
        <v/>
      </c>
      <c r="C1058" s="17">
        <f>IF($A1058="","",YEAR($A1058))</f>
        <v/>
      </c>
      <c r="D1058" s="13" t="n"/>
      <c r="E1058" s="13" t="n"/>
      <c r="F1058" s="18" t="n"/>
      <c r="G1058" s="18" t="n"/>
      <c r="H1058" s="19">
        <f>IF(AND($F1058="",$G1058=""),"",N($F1058)-N($G1058))</f>
        <v/>
      </c>
    </row>
    <row r="1059">
      <c r="A1059" s="15" t="n"/>
      <c r="B1059" s="16">
        <f>IF($A1059="","",TEXT($A1059,"mmm"))</f>
        <v/>
      </c>
      <c r="C1059" s="17">
        <f>IF($A1059="","",YEAR($A1059))</f>
        <v/>
      </c>
      <c r="D1059" s="13" t="n"/>
      <c r="E1059" s="13" t="n"/>
      <c r="F1059" s="18" t="n"/>
      <c r="G1059" s="18" t="n"/>
      <c r="H1059" s="19">
        <f>IF(AND($F1059="",$G1059=""),"",N($F1059)-N($G1059))</f>
        <v/>
      </c>
    </row>
    <row r="1060">
      <c r="A1060" s="15" t="n"/>
      <c r="B1060" s="16">
        <f>IF($A1060="","",TEXT($A1060,"mmm"))</f>
        <v/>
      </c>
      <c r="C1060" s="17">
        <f>IF($A1060="","",YEAR($A1060))</f>
        <v/>
      </c>
      <c r="D1060" s="13" t="n"/>
      <c r="E1060" s="13" t="n"/>
      <c r="F1060" s="18" t="n"/>
      <c r="G1060" s="18" t="n"/>
      <c r="H1060" s="19">
        <f>IF(AND($F1060="",$G1060=""),"",N($F1060)-N($G1060))</f>
        <v/>
      </c>
    </row>
    <row r="1061">
      <c r="A1061" s="15" t="n"/>
      <c r="B1061" s="16">
        <f>IF($A1061="","",TEXT($A1061,"mmm"))</f>
        <v/>
      </c>
      <c r="C1061" s="17">
        <f>IF($A1061="","",YEAR($A1061))</f>
        <v/>
      </c>
      <c r="D1061" s="13" t="n"/>
      <c r="E1061" s="13" t="n"/>
      <c r="F1061" s="18" t="n"/>
      <c r="G1061" s="18" t="n"/>
      <c r="H1061" s="19">
        <f>IF(AND($F1061="",$G1061=""),"",N($F1061)-N($G1061))</f>
        <v/>
      </c>
    </row>
    <row r="1062">
      <c r="A1062" s="15" t="n"/>
      <c r="B1062" s="16">
        <f>IF($A1062="","",TEXT($A1062,"mmm"))</f>
        <v/>
      </c>
      <c r="C1062" s="17">
        <f>IF($A1062="","",YEAR($A1062))</f>
        <v/>
      </c>
      <c r="D1062" s="13" t="n"/>
      <c r="E1062" s="13" t="n"/>
      <c r="F1062" s="18" t="n"/>
      <c r="G1062" s="18" t="n"/>
      <c r="H1062" s="19">
        <f>IF(AND($F1062="",$G1062=""),"",N($F1062)-N($G1062))</f>
        <v/>
      </c>
    </row>
    <row r="1063">
      <c r="A1063" s="15" t="n"/>
      <c r="B1063" s="16">
        <f>IF($A1063="","",TEXT($A1063,"mmm"))</f>
        <v/>
      </c>
      <c r="C1063" s="17">
        <f>IF($A1063="","",YEAR($A1063))</f>
        <v/>
      </c>
      <c r="D1063" s="13" t="n"/>
      <c r="E1063" s="13" t="n"/>
      <c r="F1063" s="18" t="n"/>
      <c r="G1063" s="18" t="n"/>
      <c r="H1063" s="19">
        <f>IF(AND($F1063="",$G1063=""),"",N($F1063)-N($G1063))</f>
        <v/>
      </c>
    </row>
    <row r="1064">
      <c r="A1064" s="15" t="n"/>
      <c r="B1064" s="16">
        <f>IF($A1064="","",TEXT($A1064,"mmm"))</f>
        <v/>
      </c>
      <c r="C1064" s="17">
        <f>IF($A1064="","",YEAR($A1064))</f>
        <v/>
      </c>
      <c r="D1064" s="13" t="n"/>
      <c r="E1064" s="13" t="n"/>
      <c r="F1064" s="18" t="n"/>
      <c r="G1064" s="18" t="n"/>
      <c r="H1064" s="19">
        <f>IF(AND($F1064="",$G1064=""),"",N($F1064)-N($G1064))</f>
        <v/>
      </c>
    </row>
    <row r="1065">
      <c r="A1065" s="15" t="n"/>
      <c r="B1065" s="16">
        <f>IF($A1065="","",TEXT($A1065,"mmm"))</f>
        <v/>
      </c>
      <c r="C1065" s="17">
        <f>IF($A1065="","",YEAR($A1065))</f>
        <v/>
      </c>
      <c r="D1065" s="13" t="n"/>
      <c r="E1065" s="13" t="n"/>
      <c r="F1065" s="18" t="n"/>
      <c r="G1065" s="18" t="n"/>
      <c r="H1065" s="19">
        <f>IF(AND($F1065="",$G1065=""),"",N($F1065)-N($G1065))</f>
        <v/>
      </c>
    </row>
    <row r="1066">
      <c r="A1066" s="15" t="n"/>
      <c r="B1066" s="16">
        <f>IF($A1066="","",TEXT($A1066,"mmm"))</f>
        <v/>
      </c>
      <c r="C1066" s="17">
        <f>IF($A1066="","",YEAR($A1066))</f>
        <v/>
      </c>
      <c r="D1066" s="13" t="n"/>
      <c r="E1066" s="13" t="n"/>
      <c r="F1066" s="18" t="n"/>
      <c r="G1066" s="18" t="n"/>
      <c r="H1066" s="19">
        <f>IF(AND($F1066="",$G1066=""),"",N($F1066)-N($G1066))</f>
        <v/>
      </c>
    </row>
    <row r="1067">
      <c r="A1067" s="15" t="n"/>
      <c r="B1067" s="16">
        <f>IF($A1067="","",TEXT($A1067,"mmm"))</f>
        <v/>
      </c>
      <c r="C1067" s="17">
        <f>IF($A1067="","",YEAR($A1067))</f>
        <v/>
      </c>
      <c r="D1067" s="13" t="n"/>
      <c r="E1067" s="13" t="n"/>
      <c r="F1067" s="18" t="n"/>
      <c r="G1067" s="18" t="n"/>
      <c r="H1067" s="19">
        <f>IF(AND($F1067="",$G1067=""),"",N($F1067)-N($G1067))</f>
        <v/>
      </c>
    </row>
    <row r="1068">
      <c r="A1068" s="15" t="n"/>
      <c r="B1068" s="16">
        <f>IF($A1068="","",TEXT($A1068,"mmm"))</f>
        <v/>
      </c>
      <c r="C1068" s="17">
        <f>IF($A1068="","",YEAR($A1068))</f>
        <v/>
      </c>
      <c r="D1068" s="13" t="n"/>
      <c r="E1068" s="13" t="n"/>
      <c r="F1068" s="18" t="n"/>
      <c r="G1068" s="18" t="n"/>
      <c r="H1068" s="19">
        <f>IF(AND($F1068="",$G1068=""),"",N($F1068)-N($G1068))</f>
        <v/>
      </c>
    </row>
    <row r="1069">
      <c r="A1069" s="15" t="n"/>
      <c r="B1069" s="16">
        <f>IF($A1069="","",TEXT($A1069,"mmm"))</f>
        <v/>
      </c>
      <c r="C1069" s="17">
        <f>IF($A1069="","",YEAR($A1069))</f>
        <v/>
      </c>
      <c r="D1069" s="13" t="n"/>
      <c r="E1069" s="13" t="n"/>
      <c r="F1069" s="18" t="n"/>
      <c r="G1069" s="18" t="n"/>
      <c r="H1069" s="19">
        <f>IF(AND($F1069="",$G1069=""),"",N($F1069)-N($G1069))</f>
        <v/>
      </c>
    </row>
    <row r="1070">
      <c r="A1070" s="15" t="n"/>
      <c r="B1070" s="16">
        <f>IF($A1070="","",TEXT($A1070,"mmm"))</f>
        <v/>
      </c>
      <c r="C1070" s="17">
        <f>IF($A1070="","",YEAR($A1070))</f>
        <v/>
      </c>
      <c r="D1070" s="13" t="n"/>
      <c r="E1070" s="13" t="n"/>
      <c r="F1070" s="18" t="n"/>
      <c r="G1070" s="18" t="n"/>
      <c r="H1070" s="19">
        <f>IF(AND($F1070="",$G1070=""),"",N($F1070)-N($G1070))</f>
        <v/>
      </c>
    </row>
    <row r="1071">
      <c r="A1071" s="15" t="n"/>
      <c r="B1071" s="16">
        <f>IF($A1071="","",TEXT($A1071,"mmm"))</f>
        <v/>
      </c>
      <c r="C1071" s="17">
        <f>IF($A1071="","",YEAR($A1071))</f>
        <v/>
      </c>
      <c r="D1071" s="13" t="n"/>
      <c r="E1071" s="13" t="n"/>
      <c r="F1071" s="18" t="n"/>
      <c r="G1071" s="18" t="n"/>
      <c r="H1071" s="19">
        <f>IF(AND($F1071="",$G1071=""),"",N($F1071)-N($G1071))</f>
        <v/>
      </c>
    </row>
    <row r="1072">
      <c r="A1072" s="15" t="n"/>
      <c r="B1072" s="16">
        <f>IF($A1072="","",TEXT($A1072,"mmm"))</f>
        <v/>
      </c>
      <c r="C1072" s="17">
        <f>IF($A1072="","",YEAR($A1072))</f>
        <v/>
      </c>
      <c r="D1072" s="13" t="n"/>
      <c r="E1072" s="13" t="n"/>
      <c r="F1072" s="18" t="n"/>
      <c r="G1072" s="18" t="n"/>
      <c r="H1072" s="19">
        <f>IF(AND($F1072="",$G1072=""),"",N($F1072)-N($G1072))</f>
        <v/>
      </c>
    </row>
    <row r="1073">
      <c r="A1073" s="15" t="n"/>
      <c r="B1073" s="16">
        <f>IF($A1073="","",TEXT($A1073,"mmm"))</f>
        <v/>
      </c>
      <c r="C1073" s="17">
        <f>IF($A1073="","",YEAR($A1073))</f>
        <v/>
      </c>
      <c r="D1073" s="13" t="n"/>
      <c r="E1073" s="13" t="n"/>
      <c r="F1073" s="18" t="n"/>
      <c r="G1073" s="18" t="n"/>
      <c r="H1073" s="19">
        <f>IF(AND($F1073="",$G1073=""),"",N($F1073)-N($G1073))</f>
        <v/>
      </c>
    </row>
    <row r="1074">
      <c r="A1074" s="15" t="n"/>
      <c r="B1074" s="16">
        <f>IF($A1074="","",TEXT($A1074,"mmm"))</f>
        <v/>
      </c>
      <c r="C1074" s="17">
        <f>IF($A1074="","",YEAR($A1074))</f>
        <v/>
      </c>
      <c r="D1074" s="13" t="n"/>
      <c r="E1074" s="13" t="n"/>
      <c r="F1074" s="18" t="n"/>
      <c r="G1074" s="18" t="n"/>
      <c r="H1074" s="19">
        <f>IF(AND($F1074="",$G1074=""),"",N($F1074)-N($G1074))</f>
        <v/>
      </c>
    </row>
    <row r="1075">
      <c r="A1075" s="15" t="n"/>
      <c r="B1075" s="16">
        <f>IF($A1075="","",TEXT($A1075,"mmm"))</f>
        <v/>
      </c>
      <c r="C1075" s="17">
        <f>IF($A1075="","",YEAR($A1075))</f>
        <v/>
      </c>
      <c r="D1075" s="13" t="n"/>
      <c r="E1075" s="13" t="n"/>
      <c r="F1075" s="18" t="n"/>
      <c r="G1075" s="18" t="n"/>
      <c r="H1075" s="19">
        <f>IF(AND($F1075="",$G1075=""),"",N($F1075)-N($G1075))</f>
        <v/>
      </c>
    </row>
    <row r="1076">
      <c r="A1076" s="15" t="n"/>
      <c r="B1076" s="16">
        <f>IF($A1076="","",TEXT($A1076,"mmm"))</f>
        <v/>
      </c>
      <c r="C1076" s="17">
        <f>IF($A1076="","",YEAR($A1076))</f>
        <v/>
      </c>
      <c r="D1076" s="13" t="n"/>
      <c r="E1076" s="13" t="n"/>
      <c r="F1076" s="18" t="n"/>
      <c r="G1076" s="18" t="n"/>
      <c r="H1076" s="19">
        <f>IF(AND($F1076="",$G1076=""),"",N($F1076)-N($G1076))</f>
        <v/>
      </c>
    </row>
    <row r="1077">
      <c r="A1077" s="15" t="n"/>
      <c r="B1077" s="16">
        <f>IF($A1077="","",TEXT($A1077,"mmm"))</f>
        <v/>
      </c>
      <c r="C1077" s="17">
        <f>IF($A1077="","",YEAR($A1077))</f>
        <v/>
      </c>
      <c r="D1077" s="13" t="n"/>
      <c r="E1077" s="13" t="n"/>
      <c r="F1077" s="18" t="n"/>
      <c r="G1077" s="18" t="n"/>
      <c r="H1077" s="19">
        <f>IF(AND($F1077="",$G1077=""),"",N($F1077)-N($G1077))</f>
        <v/>
      </c>
    </row>
    <row r="1078">
      <c r="A1078" s="15" t="n"/>
      <c r="B1078" s="16">
        <f>IF($A1078="","",TEXT($A1078,"mmm"))</f>
        <v/>
      </c>
      <c r="C1078" s="17">
        <f>IF($A1078="","",YEAR($A1078))</f>
        <v/>
      </c>
      <c r="D1078" s="13" t="n"/>
      <c r="E1078" s="13" t="n"/>
      <c r="F1078" s="18" t="n"/>
      <c r="G1078" s="18" t="n"/>
      <c r="H1078" s="19">
        <f>IF(AND($F1078="",$G1078=""),"",N($F1078)-N($G1078))</f>
        <v/>
      </c>
    </row>
    <row r="1079">
      <c r="A1079" s="15" t="n"/>
      <c r="B1079" s="16">
        <f>IF($A1079="","",TEXT($A1079,"mmm"))</f>
        <v/>
      </c>
      <c r="C1079" s="17">
        <f>IF($A1079="","",YEAR($A1079))</f>
        <v/>
      </c>
      <c r="D1079" s="13" t="n"/>
      <c r="E1079" s="13" t="n"/>
      <c r="F1079" s="18" t="n"/>
      <c r="G1079" s="18" t="n"/>
      <c r="H1079" s="19">
        <f>IF(AND($F1079="",$G1079=""),"",N($F1079)-N($G1079))</f>
        <v/>
      </c>
    </row>
    <row r="1080">
      <c r="A1080" s="15" t="n"/>
      <c r="B1080" s="16">
        <f>IF($A1080="","",TEXT($A1080,"mmm"))</f>
        <v/>
      </c>
      <c r="C1080" s="17">
        <f>IF($A1080="","",YEAR($A1080))</f>
        <v/>
      </c>
      <c r="D1080" s="13" t="n"/>
      <c r="E1080" s="13" t="n"/>
      <c r="F1080" s="18" t="n"/>
      <c r="G1080" s="18" t="n"/>
      <c r="H1080" s="19">
        <f>IF(AND($F1080="",$G1080=""),"",N($F1080)-N($G1080))</f>
        <v/>
      </c>
    </row>
    <row r="1081">
      <c r="A1081" s="15" t="n"/>
      <c r="B1081" s="16">
        <f>IF($A1081="","",TEXT($A1081,"mmm"))</f>
        <v/>
      </c>
      <c r="C1081" s="17">
        <f>IF($A1081="","",YEAR($A1081))</f>
        <v/>
      </c>
      <c r="D1081" s="13" t="n"/>
      <c r="E1081" s="13" t="n"/>
      <c r="F1081" s="18" t="n"/>
      <c r="G1081" s="18" t="n"/>
      <c r="H1081" s="19">
        <f>IF(AND($F1081="",$G1081=""),"",N($F1081)-N($G1081))</f>
        <v/>
      </c>
    </row>
    <row r="1082">
      <c r="A1082" s="15" t="n"/>
      <c r="B1082" s="16">
        <f>IF($A1082="","",TEXT($A1082,"mmm"))</f>
        <v/>
      </c>
      <c r="C1082" s="17">
        <f>IF($A1082="","",YEAR($A1082))</f>
        <v/>
      </c>
      <c r="D1082" s="13" t="n"/>
      <c r="E1082" s="13" t="n"/>
      <c r="F1082" s="18" t="n"/>
      <c r="G1082" s="18" t="n"/>
      <c r="H1082" s="19">
        <f>IF(AND($F1082="",$G1082=""),"",N($F1082)-N($G1082))</f>
        <v/>
      </c>
    </row>
    <row r="1083">
      <c r="A1083" s="15" t="n"/>
      <c r="B1083" s="16">
        <f>IF($A1083="","",TEXT($A1083,"mmm"))</f>
        <v/>
      </c>
      <c r="C1083" s="17">
        <f>IF($A1083="","",YEAR($A1083))</f>
        <v/>
      </c>
      <c r="D1083" s="13" t="n"/>
      <c r="E1083" s="13" t="n"/>
      <c r="F1083" s="18" t="n"/>
      <c r="G1083" s="18" t="n"/>
      <c r="H1083" s="19">
        <f>IF(AND($F1083="",$G1083=""),"",N($F1083)-N($G1083))</f>
        <v/>
      </c>
    </row>
    <row r="1084">
      <c r="A1084" s="15" t="n"/>
      <c r="B1084" s="16">
        <f>IF($A1084="","",TEXT($A1084,"mmm"))</f>
        <v/>
      </c>
      <c r="C1084" s="17">
        <f>IF($A1084="","",YEAR($A1084))</f>
        <v/>
      </c>
      <c r="D1084" s="13" t="n"/>
      <c r="E1084" s="13" t="n"/>
      <c r="F1084" s="18" t="n"/>
      <c r="G1084" s="18" t="n"/>
      <c r="H1084" s="19">
        <f>IF(AND($F1084="",$G1084=""),"",N($F1084)-N($G1084))</f>
        <v/>
      </c>
    </row>
    <row r="1085">
      <c r="A1085" s="15" t="n"/>
      <c r="B1085" s="16">
        <f>IF($A1085="","",TEXT($A1085,"mmm"))</f>
        <v/>
      </c>
      <c r="C1085" s="17">
        <f>IF($A1085="","",YEAR($A1085))</f>
        <v/>
      </c>
      <c r="D1085" s="13" t="n"/>
      <c r="E1085" s="13" t="n"/>
      <c r="F1085" s="18" t="n"/>
      <c r="G1085" s="18" t="n"/>
      <c r="H1085" s="19">
        <f>IF(AND($F1085="",$G1085=""),"",N($F1085)-N($G1085))</f>
        <v/>
      </c>
    </row>
    <row r="1086">
      <c r="A1086" s="15" t="n"/>
      <c r="B1086" s="16">
        <f>IF($A1086="","",TEXT($A1086,"mmm"))</f>
        <v/>
      </c>
      <c r="C1086" s="17">
        <f>IF($A1086="","",YEAR($A1086))</f>
        <v/>
      </c>
      <c r="D1086" s="13" t="n"/>
      <c r="E1086" s="13" t="n"/>
      <c r="F1086" s="18" t="n"/>
      <c r="G1086" s="18" t="n"/>
      <c r="H1086" s="19">
        <f>IF(AND($F1086="",$G1086=""),"",N($F1086)-N($G1086))</f>
        <v/>
      </c>
    </row>
    <row r="1087">
      <c r="A1087" s="15" t="n"/>
      <c r="B1087" s="16">
        <f>IF($A1087="","",TEXT($A1087,"mmm"))</f>
        <v/>
      </c>
      <c r="C1087" s="17">
        <f>IF($A1087="","",YEAR($A1087))</f>
        <v/>
      </c>
      <c r="D1087" s="13" t="n"/>
      <c r="E1087" s="13" t="n"/>
      <c r="F1087" s="18" t="n"/>
      <c r="G1087" s="18" t="n"/>
      <c r="H1087" s="19">
        <f>IF(AND($F1087="",$G1087=""),"",N($F1087)-N($G1087))</f>
        <v/>
      </c>
    </row>
    <row r="1088">
      <c r="A1088" s="15" t="n"/>
      <c r="B1088" s="16">
        <f>IF($A1088="","",TEXT($A1088,"mmm"))</f>
        <v/>
      </c>
      <c r="C1088" s="17">
        <f>IF($A1088="","",YEAR($A1088))</f>
        <v/>
      </c>
      <c r="D1088" s="13" t="n"/>
      <c r="E1088" s="13" t="n"/>
      <c r="F1088" s="18" t="n"/>
      <c r="G1088" s="18" t="n"/>
      <c r="H1088" s="19">
        <f>IF(AND($F1088="",$G1088=""),"",N($F1088)-N($G1088))</f>
        <v/>
      </c>
    </row>
    <row r="1089">
      <c r="A1089" s="15" t="n"/>
      <c r="B1089" s="16">
        <f>IF($A1089="","",TEXT($A1089,"mmm"))</f>
        <v/>
      </c>
      <c r="C1089" s="17">
        <f>IF($A1089="","",YEAR($A1089))</f>
        <v/>
      </c>
      <c r="D1089" s="13" t="n"/>
      <c r="E1089" s="13" t="n"/>
      <c r="F1089" s="18" t="n"/>
      <c r="G1089" s="18" t="n"/>
      <c r="H1089" s="19">
        <f>IF(AND($F1089="",$G1089=""),"",N($F1089)-N($G1089))</f>
        <v/>
      </c>
    </row>
    <row r="1090">
      <c r="A1090" s="15" t="n"/>
      <c r="B1090" s="16">
        <f>IF($A1090="","",TEXT($A1090,"mmm"))</f>
        <v/>
      </c>
      <c r="C1090" s="17">
        <f>IF($A1090="","",YEAR($A1090))</f>
        <v/>
      </c>
      <c r="D1090" s="13" t="n"/>
      <c r="E1090" s="13" t="n"/>
      <c r="F1090" s="18" t="n"/>
      <c r="G1090" s="18" t="n"/>
      <c r="H1090" s="19">
        <f>IF(AND($F1090="",$G1090=""),"",N($F1090)-N($G1090))</f>
        <v/>
      </c>
    </row>
    <row r="1091">
      <c r="A1091" s="15" t="n"/>
      <c r="B1091" s="16">
        <f>IF($A1091="","",TEXT($A1091,"mmm"))</f>
        <v/>
      </c>
      <c r="C1091" s="17">
        <f>IF($A1091="","",YEAR($A1091))</f>
        <v/>
      </c>
      <c r="D1091" s="13" t="n"/>
      <c r="E1091" s="13" t="n"/>
      <c r="F1091" s="18" t="n"/>
      <c r="G1091" s="18" t="n"/>
      <c r="H1091" s="19">
        <f>IF(AND($F1091="",$G1091=""),"",N($F1091)-N($G1091))</f>
        <v/>
      </c>
    </row>
    <row r="1092">
      <c r="A1092" s="15" t="n"/>
      <c r="B1092" s="16">
        <f>IF($A1092="","",TEXT($A1092,"mmm"))</f>
        <v/>
      </c>
      <c r="C1092" s="17">
        <f>IF($A1092="","",YEAR($A1092))</f>
        <v/>
      </c>
      <c r="D1092" s="13" t="n"/>
      <c r="E1092" s="13" t="n"/>
      <c r="F1092" s="18" t="n"/>
      <c r="G1092" s="18" t="n"/>
      <c r="H1092" s="19">
        <f>IF(AND($F1092="",$G1092=""),"",N($F1092)-N($G1092))</f>
        <v/>
      </c>
    </row>
    <row r="1093">
      <c r="A1093" s="15" t="n"/>
      <c r="B1093" s="16">
        <f>IF($A1093="","",TEXT($A1093,"mmm"))</f>
        <v/>
      </c>
      <c r="C1093" s="17">
        <f>IF($A1093="","",YEAR($A1093))</f>
        <v/>
      </c>
      <c r="D1093" s="13" t="n"/>
      <c r="E1093" s="13" t="n"/>
      <c r="F1093" s="18" t="n"/>
      <c r="G1093" s="18" t="n"/>
      <c r="H1093" s="19">
        <f>IF(AND($F1093="",$G1093=""),"",N($F1093)-N($G1093))</f>
        <v/>
      </c>
    </row>
    <row r="1094">
      <c r="A1094" s="15" t="n"/>
      <c r="B1094" s="16">
        <f>IF($A1094="","",TEXT($A1094,"mmm"))</f>
        <v/>
      </c>
      <c r="C1094" s="17">
        <f>IF($A1094="","",YEAR($A1094))</f>
        <v/>
      </c>
      <c r="D1094" s="13" t="n"/>
      <c r="E1094" s="13" t="n"/>
      <c r="F1094" s="18" t="n"/>
      <c r="G1094" s="18" t="n"/>
      <c r="H1094" s="19">
        <f>IF(AND($F1094="",$G1094=""),"",N($F1094)-N($G1094))</f>
        <v/>
      </c>
    </row>
    <row r="1095">
      <c r="A1095" s="15" t="n"/>
      <c r="B1095" s="16">
        <f>IF($A1095="","",TEXT($A1095,"mmm"))</f>
        <v/>
      </c>
      <c r="C1095" s="17">
        <f>IF($A1095="","",YEAR($A1095))</f>
        <v/>
      </c>
      <c r="D1095" s="13" t="n"/>
      <c r="E1095" s="13" t="n"/>
      <c r="F1095" s="18" t="n"/>
      <c r="G1095" s="18" t="n"/>
      <c r="H1095" s="19">
        <f>IF(AND($F1095="",$G1095=""),"",N($F1095)-N($G1095))</f>
        <v/>
      </c>
    </row>
    <row r="1096">
      <c r="A1096" s="15" t="n"/>
      <c r="B1096" s="16">
        <f>IF($A1096="","",TEXT($A1096,"mmm"))</f>
        <v/>
      </c>
      <c r="C1096" s="17">
        <f>IF($A1096="","",YEAR($A1096))</f>
        <v/>
      </c>
      <c r="D1096" s="13" t="n"/>
      <c r="E1096" s="13" t="n"/>
      <c r="F1096" s="18" t="n"/>
      <c r="G1096" s="18" t="n"/>
      <c r="H1096" s="19">
        <f>IF(AND($F1096="",$G1096=""),"",N($F1096)-N($G1096))</f>
        <v/>
      </c>
    </row>
    <row r="1097">
      <c r="A1097" s="15" t="n"/>
      <c r="B1097" s="16">
        <f>IF($A1097="","",TEXT($A1097,"mmm"))</f>
        <v/>
      </c>
      <c r="C1097" s="17">
        <f>IF($A1097="","",YEAR($A1097))</f>
        <v/>
      </c>
      <c r="D1097" s="13" t="n"/>
      <c r="E1097" s="13" t="n"/>
      <c r="F1097" s="18" t="n"/>
      <c r="G1097" s="18" t="n"/>
      <c r="H1097" s="19">
        <f>IF(AND($F1097="",$G1097=""),"",N($F1097)-N($G1097))</f>
        <v/>
      </c>
    </row>
    <row r="1098">
      <c r="A1098" s="15" t="n"/>
      <c r="B1098" s="16">
        <f>IF($A1098="","",TEXT($A1098,"mmm"))</f>
        <v/>
      </c>
      <c r="C1098" s="17">
        <f>IF($A1098="","",YEAR($A1098))</f>
        <v/>
      </c>
      <c r="D1098" s="13" t="n"/>
      <c r="E1098" s="13" t="n"/>
      <c r="F1098" s="18" t="n"/>
      <c r="G1098" s="18" t="n"/>
      <c r="H1098" s="19">
        <f>IF(AND($F1098="",$G1098=""),"",N($F1098)-N($G1098))</f>
        <v/>
      </c>
    </row>
    <row r="1099">
      <c r="A1099" s="15" t="n"/>
      <c r="B1099" s="16">
        <f>IF($A1099="","",TEXT($A1099,"mmm"))</f>
        <v/>
      </c>
      <c r="C1099" s="17">
        <f>IF($A1099="","",YEAR($A1099))</f>
        <v/>
      </c>
      <c r="D1099" s="13" t="n"/>
      <c r="E1099" s="13" t="n"/>
      <c r="F1099" s="18" t="n"/>
      <c r="G1099" s="18" t="n"/>
      <c r="H1099" s="19">
        <f>IF(AND($F1099="",$G1099=""),"",N($F1099)-N($G1099))</f>
        <v/>
      </c>
    </row>
    <row r="1100">
      <c r="A1100" s="15" t="n"/>
      <c r="B1100" s="16">
        <f>IF($A1100="","",TEXT($A1100,"mmm"))</f>
        <v/>
      </c>
      <c r="C1100" s="17">
        <f>IF($A1100="","",YEAR($A1100))</f>
        <v/>
      </c>
      <c r="D1100" s="13" t="n"/>
      <c r="E1100" s="13" t="n"/>
      <c r="F1100" s="18" t="n"/>
      <c r="G1100" s="18" t="n"/>
      <c r="H1100" s="19">
        <f>IF(AND($F1100="",$G1100=""),"",N($F1100)-N($G1100))</f>
        <v/>
      </c>
    </row>
    <row r="1101">
      <c r="A1101" s="15" t="n"/>
      <c r="B1101" s="16">
        <f>IF($A1101="","",TEXT($A1101,"mmm"))</f>
        <v/>
      </c>
      <c r="C1101" s="17">
        <f>IF($A1101="","",YEAR($A1101))</f>
        <v/>
      </c>
      <c r="D1101" s="13" t="n"/>
      <c r="E1101" s="13" t="n"/>
      <c r="F1101" s="18" t="n"/>
      <c r="G1101" s="18" t="n"/>
      <c r="H1101" s="19">
        <f>IF(AND($F1101="",$G1101=""),"",N($F1101)-N($G1101))</f>
        <v/>
      </c>
    </row>
    <row r="1102">
      <c r="A1102" s="15" t="n"/>
      <c r="B1102" s="16">
        <f>IF($A1102="","",TEXT($A1102,"mmm"))</f>
        <v/>
      </c>
      <c r="C1102" s="17">
        <f>IF($A1102="","",YEAR($A1102))</f>
        <v/>
      </c>
      <c r="D1102" s="13" t="n"/>
      <c r="E1102" s="13" t="n"/>
      <c r="F1102" s="18" t="n"/>
      <c r="G1102" s="18" t="n"/>
      <c r="H1102" s="19">
        <f>IF(AND($F1102="",$G1102=""),"",N($F1102)-N($G1102))</f>
        <v/>
      </c>
    </row>
    <row r="1103">
      <c r="A1103" s="15" t="n"/>
      <c r="B1103" s="16">
        <f>IF($A1103="","",TEXT($A1103,"mmm"))</f>
        <v/>
      </c>
      <c r="C1103" s="17">
        <f>IF($A1103="","",YEAR($A1103))</f>
        <v/>
      </c>
      <c r="D1103" s="13" t="n"/>
      <c r="E1103" s="13" t="n"/>
      <c r="F1103" s="18" t="n"/>
      <c r="G1103" s="18" t="n"/>
      <c r="H1103" s="19">
        <f>IF(AND($F1103="",$G1103=""),"",N($F1103)-N($G1103))</f>
        <v/>
      </c>
    </row>
    <row r="1104">
      <c r="A1104" s="15" t="n"/>
      <c r="B1104" s="16">
        <f>IF($A1104="","",TEXT($A1104,"mmm"))</f>
        <v/>
      </c>
      <c r="C1104" s="17">
        <f>IF($A1104="","",YEAR($A1104))</f>
        <v/>
      </c>
      <c r="D1104" s="13" t="n"/>
      <c r="E1104" s="13" t="n"/>
      <c r="F1104" s="18" t="n"/>
      <c r="G1104" s="18" t="n"/>
      <c r="H1104" s="19">
        <f>IF(AND($F1104="",$G1104=""),"",N($F1104)-N($G1104))</f>
        <v/>
      </c>
    </row>
    <row r="1105">
      <c r="A1105" s="15" t="n"/>
      <c r="B1105" s="16">
        <f>IF($A1105="","",TEXT($A1105,"mmm"))</f>
        <v/>
      </c>
      <c r="C1105" s="17">
        <f>IF($A1105="","",YEAR($A1105))</f>
        <v/>
      </c>
      <c r="D1105" s="13" t="n"/>
      <c r="E1105" s="13" t="n"/>
      <c r="F1105" s="18" t="n"/>
      <c r="G1105" s="18" t="n"/>
      <c r="H1105" s="19">
        <f>IF(AND($F1105="",$G1105=""),"",N($F1105)-N($G1105))</f>
        <v/>
      </c>
    </row>
    <row r="1106">
      <c r="A1106" s="15" t="n"/>
      <c r="B1106" s="16">
        <f>IF($A1106="","",TEXT($A1106,"mmm"))</f>
        <v/>
      </c>
      <c r="C1106" s="17">
        <f>IF($A1106="","",YEAR($A1106))</f>
        <v/>
      </c>
      <c r="D1106" s="13" t="n"/>
      <c r="E1106" s="13" t="n"/>
      <c r="F1106" s="18" t="n"/>
      <c r="G1106" s="18" t="n"/>
      <c r="H1106" s="19">
        <f>IF(AND($F1106="",$G1106=""),"",N($F1106)-N($G1106))</f>
        <v/>
      </c>
    </row>
    <row r="1107">
      <c r="A1107" s="15" t="n"/>
      <c r="B1107" s="16">
        <f>IF($A1107="","",TEXT($A1107,"mmm"))</f>
        <v/>
      </c>
      <c r="C1107" s="17">
        <f>IF($A1107="","",YEAR($A1107))</f>
        <v/>
      </c>
      <c r="D1107" s="13" t="n"/>
      <c r="E1107" s="13" t="n"/>
      <c r="F1107" s="18" t="n"/>
      <c r="G1107" s="18" t="n"/>
      <c r="H1107" s="19">
        <f>IF(AND($F1107="",$G1107=""),"",N($F1107)-N($G1107))</f>
        <v/>
      </c>
    </row>
    <row r="1108">
      <c r="A1108" s="15" t="n"/>
      <c r="B1108" s="16">
        <f>IF($A1108="","",TEXT($A1108,"mmm"))</f>
        <v/>
      </c>
      <c r="C1108" s="17">
        <f>IF($A1108="","",YEAR($A1108))</f>
        <v/>
      </c>
      <c r="D1108" s="13" t="n"/>
      <c r="E1108" s="13" t="n"/>
      <c r="F1108" s="18" t="n"/>
      <c r="G1108" s="18" t="n"/>
      <c r="H1108" s="19">
        <f>IF(AND($F1108="",$G1108=""),"",N($F1108)-N($G1108))</f>
        <v/>
      </c>
    </row>
    <row r="1109">
      <c r="A1109" s="15" t="n"/>
      <c r="B1109" s="16">
        <f>IF($A1109="","",TEXT($A1109,"mmm"))</f>
        <v/>
      </c>
      <c r="C1109" s="17">
        <f>IF($A1109="","",YEAR($A1109))</f>
        <v/>
      </c>
      <c r="D1109" s="13" t="n"/>
      <c r="E1109" s="13" t="n"/>
      <c r="F1109" s="18" t="n"/>
      <c r="G1109" s="18" t="n"/>
      <c r="H1109" s="19">
        <f>IF(AND($F1109="",$G1109=""),"",N($F1109)-N($G1109))</f>
        <v/>
      </c>
    </row>
    <row r="1110">
      <c r="A1110" s="15" t="n"/>
      <c r="B1110" s="16">
        <f>IF($A1110="","",TEXT($A1110,"mmm"))</f>
        <v/>
      </c>
      <c r="C1110" s="17">
        <f>IF($A1110="","",YEAR($A1110))</f>
        <v/>
      </c>
      <c r="D1110" s="13" t="n"/>
      <c r="E1110" s="13" t="n"/>
      <c r="F1110" s="18" t="n"/>
      <c r="G1110" s="18" t="n"/>
      <c r="H1110" s="19">
        <f>IF(AND($F1110="",$G1110=""),"",N($F1110)-N($G1110))</f>
        <v/>
      </c>
    </row>
    <row r="1111">
      <c r="A1111" s="15" t="n"/>
      <c r="B1111" s="16">
        <f>IF($A1111="","",TEXT($A1111,"mmm"))</f>
        <v/>
      </c>
      <c r="C1111" s="17">
        <f>IF($A1111="","",YEAR($A1111))</f>
        <v/>
      </c>
      <c r="D1111" s="13" t="n"/>
      <c r="E1111" s="13" t="n"/>
      <c r="F1111" s="18" t="n"/>
      <c r="G1111" s="18" t="n"/>
      <c r="H1111" s="19">
        <f>IF(AND($F1111="",$G1111=""),"",N($F1111)-N($G1111))</f>
        <v/>
      </c>
    </row>
    <row r="1112">
      <c r="A1112" s="15" t="n"/>
      <c r="B1112" s="16">
        <f>IF($A1112="","",TEXT($A1112,"mmm"))</f>
        <v/>
      </c>
      <c r="C1112" s="17">
        <f>IF($A1112="","",YEAR($A1112))</f>
        <v/>
      </c>
      <c r="D1112" s="13" t="n"/>
      <c r="E1112" s="13" t="n"/>
      <c r="F1112" s="18" t="n"/>
      <c r="G1112" s="18" t="n"/>
      <c r="H1112" s="19">
        <f>IF(AND($F1112="",$G1112=""),"",N($F1112)-N($G1112))</f>
        <v/>
      </c>
    </row>
    <row r="1113">
      <c r="A1113" s="15" t="n"/>
      <c r="B1113" s="16">
        <f>IF($A1113="","",TEXT($A1113,"mmm"))</f>
        <v/>
      </c>
      <c r="C1113" s="17">
        <f>IF($A1113="","",YEAR($A1113))</f>
        <v/>
      </c>
      <c r="D1113" s="13" t="n"/>
      <c r="E1113" s="13" t="n"/>
      <c r="F1113" s="18" t="n"/>
      <c r="G1113" s="18" t="n"/>
      <c r="H1113" s="19">
        <f>IF(AND($F1113="",$G1113=""),"",N($F1113)-N($G1113))</f>
        <v/>
      </c>
    </row>
    <row r="1114">
      <c r="A1114" s="15" t="n"/>
      <c r="B1114" s="16">
        <f>IF($A1114="","",TEXT($A1114,"mmm"))</f>
        <v/>
      </c>
      <c r="C1114" s="17">
        <f>IF($A1114="","",YEAR($A1114))</f>
        <v/>
      </c>
      <c r="D1114" s="13" t="n"/>
      <c r="E1114" s="13" t="n"/>
      <c r="F1114" s="18" t="n"/>
      <c r="G1114" s="18" t="n"/>
      <c r="H1114" s="19">
        <f>IF(AND($F1114="",$G1114=""),"",N($F1114)-N($G1114))</f>
        <v/>
      </c>
    </row>
    <row r="1115">
      <c r="A1115" s="15" t="n"/>
      <c r="B1115" s="16">
        <f>IF($A1115="","",TEXT($A1115,"mmm"))</f>
        <v/>
      </c>
      <c r="C1115" s="17">
        <f>IF($A1115="","",YEAR($A1115))</f>
        <v/>
      </c>
      <c r="D1115" s="13" t="n"/>
      <c r="E1115" s="13" t="n"/>
      <c r="F1115" s="18" t="n"/>
      <c r="G1115" s="18" t="n"/>
      <c r="H1115" s="19">
        <f>IF(AND($F1115="",$G1115=""),"",N($F1115)-N($G1115))</f>
        <v/>
      </c>
    </row>
    <row r="1116">
      <c r="A1116" s="15" t="n"/>
      <c r="B1116" s="16">
        <f>IF($A1116="","",TEXT($A1116,"mmm"))</f>
        <v/>
      </c>
      <c r="C1116" s="17">
        <f>IF($A1116="","",YEAR($A1116))</f>
        <v/>
      </c>
      <c r="D1116" s="13" t="n"/>
      <c r="E1116" s="13" t="n"/>
      <c r="F1116" s="18" t="n"/>
      <c r="G1116" s="18" t="n"/>
      <c r="H1116" s="19">
        <f>IF(AND($F1116="",$G1116=""),"",N($F1116)-N($G1116))</f>
        <v/>
      </c>
    </row>
    <row r="1117">
      <c r="A1117" s="15" t="n"/>
      <c r="B1117" s="16">
        <f>IF($A1117="","",TEXT($A1117,"mmm"))</f>
        <v/>
      </c>
      <c r="C1117" s="17">
        <f>IF($A1117="","",YEAR($A1117))</f>
        <v/>
      </c>
      <c r="D1117" s="13" t="n"/>
      <c r="E1117" s="13" t="n"/>
      <c r="F1117" s="18" t="n"/>
      <c r="G1117" s="18" t="n"/>
      <c r="H1117" s="19">
        <f>IF(AND($F1117="",$G1117=""),"",N($F1117)-N($G1117))</f>
        <v/>
      </c>
    </row>
    <row r="1118">
      <c r="A1118" s="15" t="n"/>
      <c r="B1118" s="16">
        <f>IF($A1118="","",TEXT($A1118,"mmm"))</f>
        <v/>
      </c>
      <c r="C1118" s="17">
        <f>IF($A1118="","",YEAR($A1118))</f>
        <v/>
      </c>
      <c r="D1118" s="13" t="n"/>
      <c r="E1118" s="13" t="n"/>
      <c r="F1118" s="18" t="n"/>
      <c r="G1118" s="18" t="n"/>
      <c r="H1118" s="19">
        <f>IF(AND($F1118="",$G1118=""),"",N($F1118)-N($G1118))</f>
        <v/>
      </c>
    </row>
    <row r="1119">
      <c r="A1119" s="15" t="n"/>
      <c r="B1119" s="16">
        <f>IF($A1119="","",TEXT($A1119,"mmm"))</f>
        <v/>
      </c>
      <c r="C1119" s="17">
        <f>IF($A1119="","",YEAR($A1119))</f>
        <v/>
      </c>
      <c r="D1119" s="13" t="n"/>
      <c r="E1119" s="13" t="n"/>
      <c r="F1119" s="18" t="n"/>
      <c r="G1119" s="18" t="n"/>
      <c r="H1119" s="19">
        <f>IF(AND($F1119="",$G1119=""),"",N($F1119)-N($G1119))</f>
        <v/>
      </c>
    </row>
    <row r="1120">
      <c r="A1120" s="15" t="n"/>
      <c r="B1120" s="16">
        <f>IF($A1120="","",TEXT($A1120,"mmm"))</f>
        <v/>
      </c>
      <c r="C1120" s="17">
        <f>IF($A1120="","",YEAR($A1120))</f>
        <v/>
      </c>
      <c r="D1120" s="13" t="n"/>
      <c r="E1120" s="13" t="n"/>
      <c r="F1120" s="18" t="n"/>
      <c r="G1120" s="18" t="n"/>
      <c r="H1120" s="19">
        <f>IF(AND($F1120="",$G1120=""),"",N($F1120)-N($G1120))</f>
        <v/>
      </c>
    </row>
    <row r="1121">
      <c r="A1121" s="15" t="n"/>
      <c r="B1121" s="16">
        <f>IF($A1121="","",TEXT($A1121,"mmm"))</f>
        <v/>
      </c>
      <c r="C1121" s="17">
        <f>IF($A1121="","",YEAR($A1121))</f>
        <v/>
      </c>
      <c r="D1121" s="13" t="n"/>
      <c r="E1121" s="13" t="n"/>
      <c r="F1121" s="18" t="n"/>
      <c r="G1121" s="18" t="n"/>
      <c r="H1121" s="19">
        <f>IF(AND($F1121="",$G1121=""),"",N($F1121)-N($G1121))</f>
        <v/>
      </c>
    </row>
    <row r="1122">
      <c r="A1122" s="15" t="n"/>
      <c r="B1122" s="16">
        <f>IF($A1122="","",TEXT($A1122,"mmm"))</f>
        <v/>
      </c>
      <c r="C1122" s="17">
        <f>IF($A1122="","",YEAR($A1122))</f>
        <v/>
      </c>
      <c r="D1122" s="13" t="n"/>
      <c r="E1122" s="13" t="n"/>
      <c r="F1122" s="18" t="n"/>
      <c r="G1122" s="18" t="n"/>
      <c r="H1122" s="19">
        <f>IF(AND($F1122="",$G1122=""),"",N($F1122)-N($G1122))</f>
        <v/>
      </c>
    </row>
    <row r="1123">
      <c r="A1123" s="15" t="n"/>
      <c r="B1123" s="16">
        <f>IF($A1123="","",TEXT($A1123,"mmm"))</f>
        <v/>
      </c>
      <c r="C1123" s="17">
        <f>IF($A1123="","",YEAR($A1123))</f>
        <v/>
      </c>
      <c r="D1123" s="13" t="n"/>
      <c r="E1123" s="13" t="n"/>
      <c r="F1123" s="18" t="n"/>
      <c r="G1123" s="18" t="n"/>
      <c r="H1123" s="19">
        <f>IF(AND($F1123="",$G1123=""),"",N($F1123)-N($G1123))</f>
        <v/>
      </c>
    </row>
    <row r="1124">
      <c r="A1124" s="15" t="n"/>
      <c r="B1124" s="16">
        <f>IF($A1124="","",TEXT($A1124,"mmm"))</f>
        <v/>
      </c>
      <c r="C1124" s="17">
        <f>IF($A1124="","",YEAR($A1124))</f>
        <v/>
      </c>
      <c r="D1124" s="13" t="n"/>
      <c r="E1124" s="13" t="n"/>
      <c r="F1124" s="18" t="n"/>
      <c r="G1124" s="18" t="n"/>
      <c r="H1124" s="19">
        <f>IF(AND($F1124="",$G1124=""),"",N($F1124)-N($G1124))</f>
        <v/>
      </c>
    </row>
    <row r="1125">
      <c r="A1125" s="15" t="n"/>
      <c r="B1125" s="16">
        <f>IF($A1125="","",TEXT($A1125,"mmm"))</f>
        <v/>
      </c>
      <c r="C1125" s="17">
        <f>IF($A1125="","",YEAR($A1125))</f>
        <v/>
      </c>
      <c r="D1125" s="13" t="n"/>
      <c r="E1125" s="13" t="n"/>
      <c r="F1125" s="18" t="n"/>
      <c r="G1125" s="18" t="n"/>
      <c r="H1125" s="19">
        <f>IF(AND($F1125="",$G1125=""),"",N($F1125)-N($G1125))</f>
        <v/>
      </c>
    </row>
    <row r="1126">
      <c r="A1126" s="15" t="n"/>
      <c r="B1126" s="16">
        <f>IF($A1126="","",TEXT($A1126,"mmm"))</f>
        <v/>
      </c>
      <c r="C1126" s="17">
        <f>IF($A1126="","",YEAR($A1126))</f>
        <v/>
      </c>
      <c r="D1126" s="13" t="n"/>
      <c r="E1126" s="13" t="n"/>
      <c r="F1126" s="18" t="n"/>
      <c r="G1126" s="18" t="n"/>
      <c r="H1126" s="19">
        <f>IF(AND($F1126="",$G1126=""),"",N($F1126)-N($G1126))</f>
        <v/>
      </c>
    </row>
    <row r="1127">
      <c r="A1127" s="15" t="n"/>
      <c r="B1127" s="16">
        <f>IF($A1127="","",TEXT($A1127,"mmm"))</f>
        <v/>
      </c>
      <c r="C1127" s="17">
        <f>IF($A1127="","",YEAR($A1127))</f>
        <v/>
      </c>
      <c r="D1127" s="13" t="n"/>
      <c r="E1127" s="13" t="n"/>
      <c r="F1127" s="18" t="n"/>
      <c r="G1127" s="18" t="n"/>
      <c r="H1127" s="19">
        <f>IF(AND($F1127="",$G1127=""),"",N($F1127)-N($G1127))</f>
        <v/>
      </c>
    </row>
    <row r="1128">
      <c r="A1128" s="15" t="n"/>
      <c r="B1128" s="16">
        <f>IF($A1128="","",TEXT($A1128,"mmm"))</f>
        <v/>
      </c>
      <c r="C1128" s="17">
        <f>IF($A1128="","",YEAR($A1128))</f>
        <v/>
      </c>
      <c r="D1128" s="13" t="n"/>
      <c r="E1128" s="13" t="n"/>
      <c r="F1128" s="18" t="n"/>
      <c r="G1128" s="18" t="n"/>
      <c r="H1128" s="19">
        <f>IF(AND($F1128="",$G1128=""),"",N($F1128)-N($G1128))</f>
        <v/>
      </c>
    </row>
    <row r="1129">
      <c r="A1129" s="15" t="n"/>
      <c r="B1129" s="16">
        <f>IF($A1129="","",TEXT($A1129,"mmm"))</f>
        <v/>
      </c>
      <c r="C1129" s="17">
        <f>IF($A1129="","",YEAR($A1129))</f>
        <v/>
      </c>
      <c r="D1129" s="13" t="n"/>
      <c r="E1129" s="13" t="n"/>
      <c r="F1129" s="18" t="n"/>
      <c r="G1129" s="18" t="n"/>
      <c r="H1129" s="19">
        <f>IF(AND($F1129="",$G1129=""),"",N($F1129)-N($G1129))</f>
        <v/>
      </c>
    </row>
    <row r="1130">
      <c r="A1130" s="15" t="n"/>
      <c r="B1130" s="16">
        <f>IF($A1130="","",TEXT($A1130,"mmm"))</f>
        <v/>
      </c>
      <c r="C1130" s="17">
        <f>IF($A1130="","",YEAR($A1130))</f>
        <v/>
      </c>
      <c r="D1130" s="13" t="n"/>
      <c r="E1130" s="13" t="n"/>
      <c r="F1130" s="18" t="n"/>
      <c r="G1130" s="18" t="n"/>
      <c r="H1130" s="19">
        <f>IF(AND($F1130="",$G1130=""),"",N($F1130)-N($G1130))</f>
        <v/>
      </c>
    </row>
    <row r="1131">
      <c r="A1131" s="15" t="n"/>
      <c r="B1131" s="16">
        <f>IF($A1131="","",TEXT($A1131,"mmm"))</f>
        <v/>
      </c>
      <c r="C1131" s="17">
        <f>IF($A1131="","",YEAR($A1131))</f>
        <v/>
      </c>
      <c r="D1131" s="13" t="n"/>
      <c r="E1131" s="13" t="n"/>
      <c r="F1131" s="18" t="n"/>
      <c r="G1131" s="18" t="n"/>
      <c r="H1131" s="19">
        <f>IF(AND($F1131="",$G1131=""),"",N($F1131)-N($G1131))</f>
        <v/>
      </c>
    </row>
    <row r="1132">
      <c r="A1132" s="15" t="n"/>
      <c r="B1132" s="16">
        <f>IF($A1132="","",TEXT($A1132,"mmm"))</f>
        <v/>
      </c>
      <c r="C1132" s="17">
        <f>IF($A1132="","",YEAR($A1132))</f>
        <v/>
      </c>
      <c r="D1132" s="13" t="n"/>
      <c r="E1132" s="13" t="n"/>
      <c r="F1132" s="18" t="n"/>
      <c r="G1132" s="18" t="n"/>
      <c r="H1132" s="19">
        <f>IF(AND($F1132="",$G1132=""),"",N($F1132)-N($G1132))</f>
        <v/>
      </c>
    </row>
    <row r="1133">
      <c r="A1133" s="15" t="n"/>
      <c r="B1133" s="16">
        <f>IF($A1133="","",TEXT($A1133,"mmm"))</f>
        <v/>
      </c>
      <c r="C1133" s="17">
        <f>IF($A1133="","",YEAR($A1133))</f>
        <v/>
      </c>
      <c r="D1133" s="13" t="n"/>
      <c r="E1133" s="13" t="n"/>
      <c r="F1133" s="18" t="n"/>
      <c r="G1133" s="18" t="n"/>
      <c r="H1133" s="19">
        <f>IF(AND($F1133="",$G1133=""),"",N($F1133)-N($G1133))</f>
        <v/>
      </c>
    </row>
    <row r="1134">
      <c r="A1134" s="15" t="n"/>
      <c r="B1134" s="16">
        <f>IF($A1134="","",TEXT($A1134,"mmm"))</f>
        <v/>
      </c>
      <c r="C1134" s="17">
        <f>IF($A1134="","",YEAR($A1134))</f>
        <v/>
      </c>
      <c r="D1134" s="13" t="n"/>
      <c r="E1134" s="13" t="n"/>
      <c r="F1134" s="18" t="n"/>
      <c r="G1134" s="18" t="n"/>
      <c r="H1134" s="19">
        <f>IF(AND($F1134="",$G1134=""),"",N($F1134)-N($G1134))</f>
        <v/>
      </c>
    </row>
    <row r="1135">
      <c r="A1135" s="15" t="n"/>
      <c r="B1135" s="16">
        <f>IF($A1135="","",TEXT($A1135,"mmm"))</f>
        <v/>
      </c>
      <c r="C1135" s="17">
        <f>IF($A1135="","",YEAR($A1135))</f>
        <v/>
      </c>
      <c r="D1135" s="13" t="n"/>
      <c r="E1135" s="13" t="n"/>
      <c r="F1135" s="18" t="n"/>
      <c r="G1135" s="18" t="n"/>
      <c r="H1135" s="19">
        <f>IF(AND($F1135="",$G1135=""),"",N($F1135)-N($G1135))</f>
        <v/>
      </c>
    </row>
    <row r="1136">
      <c r="A1136" s="15" t="n"/>
      <c r="B1136" s="16">
        <f>IF($A1136="","",TEXT($A1136,"mmm"))</f>
        <v/>
      </c>
      <c r="C1136" s="17">
        <f>IF($A1136="","",YEAR($A1136))</f>
        <v/>
      </c>
      <c r="D1136" s="13" t="n"/>
      <c r="E1136" s="13" t="n"/>
      <c r="F1136" s="18" t="n"/>
      <c r="G1136" s="18" t="n"/>
      <c r="H1136" s="19">
        <f>IF(AND($F1136="",$G1136=""),"",N($F1136)-N($G1136))</f>
        <v/>
      </c>
    </row>
    <row r="1137">
      <c r="A1137" s="15" t="n"/>
      <c r="B1137" s="16">
        <f>IF($A1137="","",TEXT($A1137,"mmm"))</f>
        <v/>
      </c>
      <c r="C1137" s="17">
        <f>IF($A1137="","",YEAR($A1137))</f>
        <v/>
      </c>
      <c r="D1137" s="13" t="n"/>
      <c r="E1137" s="13" t="n"/>
      <c r="F1137" s="18" t="n"/>
      <c r="G1137" s="18" t="n"/>
      <c r="H1137" s="19">
        <f>IF(AND($F1137="",$G1137=""),"",N($F1137)-N($G1137))</f>
        <v/>
      </c>
    </row>
    <row r="1138">
      <c r="A1138" s="15" t="n"/>
      <c r="B1138" s="16">
        <f>IF($A1138="","",TEXT($A1138,"mmm"))</f>
        <v/>
      </c>
      <c r="C1138" s="17">
        <f>IF($A1138="","",YEAR($A1138))</f>
        <v/>
      </c>
      <c r="D1138" s="13" t="n"/>
      <c r="E1138" s="13" t="n"/>
      <c r="F1138" s="18" t="n"/>
      <c r="G1138" s="18" t="n"/>
      <c r="H1138" s="19">
        <f>IF(AND($F1138="",$G1138=""),"",N($F1138)-N($G1138))</f>
        <v/>
      </c>
    </row>
    <row r="1139">
      <c r="A1139" s="15" t="n"/>
      <c r="B1139" s="16">
        <f>IF($A1139="","",TEXT($A1139,"mmm"))</f>
        <v/>
      </c>
      <c r="C1139" s="17">
        <f>IF($A1139="","",YEAR($A1139))</f>
        <v/>
      </c>
      <c r="D1139" s="13" t="n"/>
      <c r="E1139" s="13" t="n"/>
      <c r="F1139" s="18" t="n"/>
      <c r="G1139" s="18" t="n"/>
      <c r="H1139" s="19">
        <f>IF(AND($F1139="",$G1139=""),"",N($F1139)-N($G1139))</f>
        <v/>
      </c>
    </row>
    <row r="1140">
      <c r="A1140" s="15" t="n"/>
      <c r="B1140" s="16">
        <f>IF($A1140="","",TEXT($A1140,"mmm"))</f>
        <v/>
      </c>
      <c r="C1140" s="17">
        <f>IF($A1140="","",YEAR($A1140))</f>
        <v/>
      </c>
      <c r="D1140" s="13" t="n"/>
      <c r="E1140" s="13" t="n"/>
      <c r="F1140" s="18" t="n"/>
      <c r="G1140" s="18" t="n"/>
      <c r="H1140" s="19">
        <f>IF(AND($F1140="",$G1140=""),"",N($F1140)-N($G1140))</f>
        <v/>
      </c>
    </row>
    <row r="1141">
      <c r="A1141" s="15" t="n"/>
      <c r="B1141" s="16">
        <f>IF($A1141="","",TEXT($A1141,"mmm"))</f>
        <v/>
      </c>
      <c r="C1141" s="17">
        <f>IF($A1141="","",YEAR($A1141))</f>
        <v/>
      </c>
      <c r="D1141" s="13" t="n"/>
      <c r="E1141" s="13" t="n"/>
      <c r="F1141" s="18" t="n"/>
      <c r="G1141" s="18" t="n"/>
      <c r="H1141" s="19">
        <f>IF(AND($F1141="",$G1141=""),"",N($F1141)-N($G1141))</f>
        <v/>
      </c>
    </row>
    <row r="1142">
      <c r="A1142" s="15" t="n"/>
      <c r="B1142" s="16">
        <f>IF($A1142="","",TEXT($A1142,"mmm"))</f>
        <v/>
      </c>
      <c r="C1142" s="17">
        <f>IF($A1142="","",YEAR($A1142))</f>
        <v/>
      </c>
      <c r="D1142" s="13" t="n"/>
      <c r="E1142" s="13" t="n"/>
      <c r="F1142" s="18" t="n"/>
      <c r="G1142" s="18" t="n"/>
      <c r="H1142" s="19">
        <f>IF(AND($F1142="",$G1142=""),"",N($F1142)-N($G1142))</f>
        <v/>
      </c>
    </row>
    <row r="1143">
      <c r="A1143" s="15" t="n"/>
      <c r="B1143" s="16">
        <f>IF($A1143="","",TEXT($A1143,"mmm"))</f>
        <v/>
      </c>
      <c r="C1143" s="17">
        <f>IF($A1143="","",YEAR($A1143))</f>
        <v/>
      </c>
      <c r="D1143" s="13" t="n"/>
      <c r="E1143" s="13" t="n"/>
      <c r="F1143" s="18" t="n"/>
      <c r="G1143" s="18" t="n"/>
      <c r="H1143" s="19">
        <f>IF(AND($F1143="",$G1143=""),"",N($F1143)-N($G1143))</f>
        <v/>
      </c>
    </row>
    <row r="1144">
      <c r="A1144" s="15" t="n"/>
      <c r="B1144" s="16">
        <f>IF($A1144="","",TEXT($A1144,"mmm"))</f>
        <v/>
      </c>
      <c r="C1144" s="17">
        <f>IF($A1144="","",YEAR($A1144))</f>
        <v/>
      </c>
      <c r="D1144" s="13" t="n"/>
      <c r="E1144" s="13" t="n"/>
      <c r="F1144" s="18" t="n"/>
      <c r="G1144" s="18" t="n"/>
      <c r="H1144" s="19">
        <f>IF(AND($F1144="",$G1144=""),"",N($F1144)-N($G1144))</f>
        <v/>
      </c>
    </row>
    <row r="1145">
      <c r="A1145" s="15" t="n"/>
      <c r="B1145" s="16">
        <f>IF($A1145="","",TEXT($A1145,"mmm"))</f>
        <v/>
      </c>
      <c r="C1145" s="17">
        <f>IF($A1145="","",YEAR($A1145))</f>
        <v/>
      </c>
      <c r="D1145" s="13" t="n"/>
      <c r="E1145" s="13" t="n"/>
      <c r="F1145" s="18" t="n"/>
      <c r="G1145" s="18" t="n"/>
      <c r="H1145" s="19">
        <f>IF(AND($F1145="",$G1145=""),"",N($F1145)-N($G1145))</f>
        <v/>
      </c>
    </row>
    <row r="1146">
      <c r="A1146" s="15" t="n"/>
      <c r="B1146" s="16">
        <f>IF($A1146="","",TEXT($A1146,"mmm"))</f>
        <v/>
      </c>
      <c r="C1146" s="17">
        <f>IF($A1146="","",YEAR($A1146))</f>
        <v/>
      </c>
      <c r="D1146" s="13" t="n"/>
      <c r="E1146" s="13" t="n"/>
      <c r="F1146" s="18" t="n"/>
      <c r="G1146" s="18" t="n"/>
      <c r="H1146" s="19">
        <f>IF(AND($F1146="",$G1146=""),"",N($F1146)-N($G1146))</f>
        <v/>
      </c>
    </row>
    <row r="1147">
      <c r="A1147" s="15" t="n"/>
      <c r="B1147" s="16">
        <f>IF($A1147="","",TEXT($A1147,"mmm"))</f>
        <v/>
      </c>
      <c r="C1147" s="17">
        <f>IF($A1147="","",YEAR($A1147))</f>
        <v/>
      </c>
      <c r="D1147" s="13" t="n"/>
      <c r="E1147" s="13" t="n"/>
      <c r="F1147" s="18" t="n"/>
      <c r="G1147" s="18" t="n"/>
      <c r="H1147" s="19">
        <f>IF(AND($F1147="",$G1147=""),"",N($F1147)-N($G1147))</f>
        <v/>
      </c>
    </row>
    <row r="1148">
      <c r="A1148" s="15" t="n"/>
      <c r="B1148" s="16">
        <f>IF($A1148="","",TEXT($A1148,"mmm"))</f>
        <v/>
      </c>
      <c r="C1148" s="17">
        <f>IF($A1148="","",YEAR($A1148))</f>
        <v/>
      </c>
      <c r="D1148" s="13" t="n"/>
      <c r="E1148" s="13" t="n"/>
      <c r="F1148" s="18" t="n"/>
      <c r="G1148" s="18" t="n"/>
      <c r="H1148" s="19">
        <f>IF(AND($F1148="",$G1148=""),"",N($F1148)-N($G1148))</f>
        <v/>
      </c>
    </row>
    <row r="1149">
      <c r="A1149" s="15" t="n"/>
      <c r="B1149" s="16">
        <f>IF($A1149="","",TEXT($A1149,"mmm"))</f>
        <v/>
      </c>
      <c r="C1149" s="17">
        <f>IF($A1149="","",YEAR($A1149))</f>
        <v/>
      </c>
      <c r="D1149" s="13" t="n"/>
      <c r="E1149" s="13" t="n"/>
      <c r="F1149" s="18" t="n"/>
      <c r="G1149" s="18" t="n"/>
      <c r="H1149" s="19">
        <f>IF(AND($F1149="",$G1149=""),"",N($F1149)-N($G1149))</f>
        <v/>
      </c>
    </row>
    <row r="1150">
      <c r="A1150" s="15" t="n"/>
      <c r="B1150" s="16">
        <f>IF($A1150="","",TEXT($A1150,"mmm"))</f>
        <v/>
      </c>
      <c r="C1150" s="17">
        <f>IF($A1150="","",YEAR($A1150))</f>
        <v/>
      </c>
      <c r="D1150" s="13" t="n"/>
      <c r="E1150" s="13" t="n"/>
      <c r="F1150" s="18" t="n"/>
      <c r="G1150" s="18" t="n"/>
      <c r="H1150" s="19">
        <f>IF(AND($F1150="",$G1150=""),"",N($F1150)-N($G1150))</f>
        <v/>
      </c>
    </row>
    <row r="1151">
      <c r="A1151" s="15" t="n"/>
      <c r="B1151" s="16">
        <f>IF($A1151="","",TEXT($A1151,"mmm"))</f>
        <v/>
      </c>
      <c r="C1151" s="17">
        <f>IF($A1151="","",YEAR($A1151))</f>
        <v/>
      </c>
      <c r="D1151" s="13" t="n"/>
      <c r="E1151" s="13" t="n"/>
      <c r="F1151" s="18" t="n"/>
      <c r="G1151" s="18" t="n"/>
      <c r="H1151" s="19">
        <f>IF(AND($F1151="",$G1151=""),"",N($F1151)-N($G1151))</f>
        <v/>
      </c>
    </row>
    <row r="1152">
      <c r="A1152" s="15" t="n"/>
      <c r="B1152" s="16">
        <f>IF($A1152="","",TEXT($A1152,"mmm"))</f>
        <v/>
      </c>
      <c r="C1152" s="17">
        <f>IF($A1152="","",YEAR($A1152))</f>
        <v/>
      </c>
      <c r="D1152" s="13" t="n"/>
      <c r="E1152" s="13" t="n"/>
      <c r="F1152" s="18" t="n"/>
      <c r="G1152" s="18" t="n"/>
      <c r="H1152" s="19">
        <f>IF(AND($F1152="",$G1152=""),"",N($F1152)-N($G1152))</f>
        <v/>
      </c>
    </row>
    <row r="1153">
      <c r="A1153" s="15" t="n"/>
      <c r="B1153" s="16">
        <f>IF($A1153="","",TEXT($A1153,"mmm"))</f>
        <v/>
      </c>
      <c r="C1153" s="17">
        <f>IF($A1153="","",YEAR($A1153))</f>
        <v/>
      </c>
      <c r="D1153" s="13" t="n"/>
      <c r="E1153" s="13" t="n"/>
      <c r="F1153" s="18" t="n"/>
      <c r="G1153" s="18" t="n"/>
      <c r="H1153" s="19">
        <f>IF(AND($F1153="",$G1153=""),"",N($F1153)-N($G1153))</f>
        <v/>
      </c>
    </row>
    <row r="1154">
      <c r="A1154" s="15" t="n"/>
      <c r="B1154" s="16">
        <f>IF($A1154="","",TEXT($A1154,"mmm"))</f>
        <v/>
      </c>
      <c r="C1154" s="17">
        <f>IF($A1154="","",YEAR($A1154))</f>
        <v/>
      </c>
      <c r="D1154" s="13" t="n"/>
      <c r="E1154" s="13" t="n"/>
      <c r="F1154" s="18" t="n"/>
      <c r="G1154" s="18" t="n"/>
      <c r="H1154" s="19">
        <f>IF(AND($F1154="",$G1154=""),"",N($F1154)-N($G1154))</f>
        <v/>
      </c>
    </row>
    <row r="1155">
      <c r="A1155" s="15" t="n"/>
      <c r="B1155" s="16">
        <f>IF($A1155="","",TEXT($A1155,"mmm"))</f>
        <v/>
      </c>
      <c r="C1155" s="17">
        <f>IF($A1155="","",YEAR($A1155))</f>
        <v/>
      </c>
      <c r="D1155" s="13" t="n"/>
      <c r="E1155" s="13" t="n"/>
      <c r="F1155" s="18" t="n"/>
      <c r="G1155" s="18" t="n"/>
      <c r="H1155" s="19">
        <f>IF(AND($F1155="",$G1155=""),"",N($F1155)-N($G1155))</f>
        <v/>
      </c>
    </row>
    <row r="1156">
      <c r="A1156" s="15" t="n"/>
      <c r="B1156" s="16">
        <f>IF($A1156="","",TEXT($A1156,"mmm"))</f>
        <v/>
      </c>
      <c r="C1156" s="17">
        <f>IF($A1156="","",YEAR($A1156))</f>
        <v/>
      </c>
      <c r="D1156" s="13" t="n"/>
      <c r="E1156" s="13" t="n"/>
      <c r="F1156" s="18" t="n"/>
      <c r="G1156" s="18" t="n"/>
      <c r="H1156" s="19">
        <f>IF(AND($F1156="",$G1156=""),"",N($F1156)-N($G1156))</f>
        <v/>
      </c>
    </row>
    <row r="1157">
      <c r="A1157" s="15" t="n"/>
      <c r="B1157" s="16">
        <f>IF($A1157="","",TEXT($A1157,"mmm"))</f>
        <v/>
      </c>
      <c r="C1157" s="17">
        <f>IF($A1157="","",YEAR($A1157))</f>
        <v/>
      </c>
      <c r="D1157" s="13" t="n"/>
      <c r="E1157" s="13" t="n"/>
      <c r="F1157" s="18" t="n"/>
      <c r="G1157" s="18" t="n"/>
      <c r="H1157" s="19">
        <f>IF(AND($F1157="",$G1157=""),"",N($F1157)-N($G1157))</f>
        <v/>
      </c>
    </row>
    <row r="1158">
      <c r="A1158" s="15" t="n"/>
      <c r="B1158" s="16">
        <f>IF($A1158="","",TEXT($A1158,"mmm"))</f>
        <v/>
      </c>
      <c r="C1158" s="17">
        <f>IF($A1158="","",YEAR($A1158))</f>
        <v/>
      </c>
      <c r="D1158" s="13" t="n"/>
      <c r="E1158" s="13" t="n"/>
      <c r="F1158" s="18" t="n"/>
      <c r="G1158" s="18" t="n"/>
      <c r="H1158" s="19">
        <f>IF(AND($F1158="",$G1158=""),"",N($F1158)-N($G1158))</f>
        <v/>
      </c>
    </row>
    <row r="1159">
      <c r="A1159" s="15" t="n"/>
      <c r="B1159" s="16">
        <f>IF($A1159="","",TEXT($A1159,"mmm"))</f>
        <v/>
      </c>
      <c r="C1159" s="17">
        <f>IF($A1159="","",YEAR($A1159))</f>
        <v/>
      </c>
      <c r="D1159" s="13" t="n"/>
      <c r="E1159" s="13" t="n"/>
      <c r="F1159" s="18" t="n"/>
      <c r="G1159" s="18" t="n"/>
      <c r="H1159" s="19">
        <f>IF(AND($F1159="",$G1159=""),"",N($F1159)-N($G1159))</f>
        <v/>
      </c>
    </row>
    <row r="1160">
      <c r="A1160" s="15" t="n"/>
      <c r="B1160" s="16">
        <f>IF($A1160="","",TEXT($A1160,"mmm"))</f>
        <v/>
      </c>
      <c r="C1160" s="17">
        <f>IF($A1160="","",YEAR($A1160))</f>
        <v/>
      </c>
      <c r="D1160" s="13" t="n"/>
      <c r="E1160" s="13" t="n"/>
      <c r="F1160" s="18" t="n"/>
      <c r="G1160" s="18" t="n"/>
      <c r="H1160" s="19">
        <f>IF(AND($F1160="",$G1160=""),"",N($F1160)-N($G1160))</f>
        <v/>
      </c>
    </row>
    <row r="1161">
      <c r="A1161" s="15" t="n"/>
      <c r="B1161" s="16">
        <f>IF($A1161="","",TEXT($A1161,"mmm"))</f>
        <v/>
      </c>
      <c r="C1161" s="17">
        <f>IF($A1161="","",YEAR($A1161))</f>
        <v/>
      </c>
      <c r="D1161" s="13" t="n"/>
      <c r="E1161" s="13" t="n"/>
      <c r="F1161" s="18" t="n"/>
      <c r="G1161" s="18" t="n"/>
      <c r="H1161" s="19">
        <f>IF(AND($F1161="",$G1161=""),"",N($F1161)-N($G1161))</f>
        <v/>
      </c>
    </row>
    <row r="1162">
      <c r="A1162" s="15" t="n"/>
      <c r="B1162" s="16">
        <f>IF($A1162="","",TEXT($A1162,"mmm"))</f>
        <v/>
      </c>
      <c r="C1162" s="17">
        <f>IF($A1162="","",YEAR($A1162))</f>
        <v/>
      </c>
      <c r="D1162" s="13" t="n"/>
      <c r="E1162" s="13" t="n"/>
      <c r="F1162" s="18" t="n"/>
      <c r="G1162" s="18" t="n"/>
      <c r="H1162" s="19">
        <f>IF(AND($F1162="",$G1162=""),"",N($F1162)-N($G1162))</f>
        <v/>
      </c>
    </row>
    <row r="1163">
      <c r="A1163" s="15" t="n"/>
      <c r="B1163" s="16">
        <f>IF($A1163="","",TEXT($A1163,"mmm"))</f>
        <v/>
      </c>
      <c r="C1163" s="17">
        <f>IF($A1163="","",YEAR($A1163))</f>
        <v/>
      </c>
      <c r="D1163" s="13" t="n"/>
      <c r="E1163" s="13" t="n"/>
      <c r="F1163" s="18" t="n"/>
      <c r="G1163" s="18" t="n"/>
      <c r="H1163" s="19">
        <f>IF(AND($F1163="",$G1163=""),"",N($F1163)-N($G1163))</f>
        <v/>
      </c>
    </row>
    <row r="1164">
      <c r="A1164" s="15" t="n"/>
      <c r="B1164" s="16">
        <f>IF($A1164="","",TEXT($A1164,"mmm"))</f>
        <v/>
      </c>
      <c r="C1164" s="17">
        <f>IF($A1164="","",YEAR($A1164))</f>
        <v/>
      </c>
      <c r="D1164" s="13" t="n"/>
      <c r="E1164" s="13" t="n"/>
      <c r="F1164" s="18" t="n"/>
      <c r="G1164" s="18" t="n"/>
      <c r="H1164" s="19">
        <f>IF(AND($F1164="",$G1164=""),"",N($F1164)-N($G1164))</f>
        <v/>
      </c>
    </row>
    <row r="1165">
      <c r="A1165" s="15" t="n"/>
      <c r="B1165" s="16">
        <f>IF($A1165="","",TEXT($A1165,"mmm"))</f>
        <v/>
      </c>
      <c r="C1165" s="17">
        <f>IF($A1165="","",YEAR($A1165))</f>
        <v/>
      </c>
      <c r="D1165" s="13" t="n"/>
      <c r="E1165" s="13" t="n"/>
      <c r="F1165" s="18" t="n"/>
      <c r="G1165" s="18" t="n"/>
      <c r="H1165" s="19">
        <f>IF(AND($F1165="",$G1165=""),"",N($F1165)-N($G1165))</f>
        <v/>
      </c>
    </row>
    <row r="1166">
      <c r="A1166" s="15" t="n"/>
      <c r="B1166" s="16">
        <f>IF($A1166="","",TEXT($A1166,"mmm"))</f>
        <v/>
      </c>
      <c r="C1166" s="17">
        <f>IF($A1166="","",YEAR($A1166))</f>
        <v/>
      </c>
      <c r="D1166" s="13" t="n"/>
      <c r="E1166" s="13" t="n"/>
      <c r="F1166" s="18" t="n"/>
      <c r="G1166" s="18" t="n"/>
      <c r="H1166" s="19">
        <f>IF(AND($F1166="",$G1166=""),"",N($F1166)-N($G1166))</f>
        <v/>
      </c>
    </row>
    <row r="1167">
      <c r="A1167" s="15" t="n"/>
      <c r="B1167" s="16">
        <f>IF($A1167="","",TEXT($A1167,"mmm"))</f>
        <v/>
      </c>
      <c r="C1167" s="17">
        <f>IF($A1167="","",YEAR($A1167))</f>
        <v/>
      </c>
      <c r="D1167" s="13" t="n"/>
      <c r="E1167" s="13" t="n"/>
      <c r="F1167" s="18" t="n"/>
      <c r="G1167" s="18" t="n"/>
      <c r="H1167" s="19">
        <f>IF(AND($F1167="",$G1167=""),"",N($F1167)-N($G1167))</f>
        <v/>
      </c>
    </row>
    <row r="1168">
      <c r="A1168" s="15" t="n"/>
      <c r="B1168" s="16">
        <f>IF($A1168="","",TEXT($A1168,"mmm"))</f>
        <v/>
      </c>
      <c r="C1168" s="17">
        <f>IF($A1168="","",YEAR($A1168))</f>
        <v/>
      </c>
      <c r="D1168" s="13" t="n"/>
      <c r="E1168" s="13" t="n"/>
      <c r="F1168" s="18" t="n"/>
      <c r="G1168" s="18" t="n"/>
      <c r="H1168" s="19">
        <f>IF(AND($F1168="",$G1168=""),"",N($F1168)-N($G1168))</f>
        <v/>
      </c>
    </row>
    <row r="1169">
      <c r="A1169" s="15" t="n"/>
      <c r="B1169" s="16">
        <f>IF($A1169="","",TEXT($A1169,"mmm"))</f>
        <v/>
      </c>
      <c r="C1169" s="17">
        <f>IF($A1169="","",YEAR($A1169))</f>
        <v/>
      </c>
      <c r="D1169" s="13" t="n"/>
      <c r="E1169" s="13" t="n"/>
      <c r="F1169" s="18" t="n"/>
      <c r="G1169" s="18" t="n"/>
      <c r="H1169" s="19">
        <f>IF(AND($F1169="",$G1169=""),"",N($F1169)-N($G1169))</f>
        <v/>
      </c>
    </row>
    <row r="1170">
      <c r="A1170" s="15" t="n"/>
      <c r="B1170" s="16">
        <f>IF($A1170="","",TEXT($A1170,"mmm"))</f>
        <v/>
      </c>
      <c r="C1170" s="17">
        <f>IF($A1170="","",YEAR($A1170))</f>
        <v/>
      </c>
      <c r="D1170" s="13" t="n"/>
      <c r="E1170" s="13" t="n"/>
      <c r="F1170" s="18" t="n"/>
      <c r="G1170" s="18" t="n"/>
      <c r="H1170" s="19">
        <f>IF(AND($F1170="",$G1170=""),"",N($F1170)-N($G1170))</f>
        <v/>
      </c>
    </row>
    <row r="1171">
      <c r="A1171" s="15" t="n"/>
      <c r="B1171" s="16">
        <f>IF($A1171="","",TEXT($A1171,"mmm"))</f>
        <v/>
      </c>
      <c r="C1171" s="17">
        <f>IF($A1171="","",YEAR($A1171))</f>
        <v/>
      </c>
      <c r="D1171" s="13" t="n"/>
      <c r="E1171" s="13" t="n"/>
      <c r="F1171" s="18" t="n"/>
      <c r="G1171" s="18" t="n"/>
      <c r="H1171" s="19">
        <f>IF(AND($F1171="",$G1171=""),"",N($F1171)-N($G1171))</f>
        <v/>
      </c>
    </row>
    <row r="1172">
      <c r="A1172" s="15" t="n"/>
      <c r="B1172" s="16">
        <f>IF($A1172="","",TEXT($A1172,"mmm"))</f>
        <v/>
      </c>
      <c r="C1172" s="17">
        <f>IF($A1172="","",YEAR($A1172))</f>
        <v/>
      </c>
      <c r="D1172" s="13" t="n"/>
      <c r="E1172" s="13" t="n"/>
      <c r="F1172" s="18" t="n"/>
      <c r="G1172" s="18" t="n"/>
      <c r="H1172" s="19">
        <f>IF(AND($F1172="",$G1172=""),"",N($F1172)-N($G1172))</f>
        <v/>
      </c>
    </row>
    <row r="1173">
      <c r="A1173" s="15" t="n"/>
      <c r="B1173" s="16">
        <f>IF($A1173="","",TEXT($A1173,"mmm"))</f>
        <v/>
      </c>
      <c r="C1173" s="17">
        <f>IF($A1173="","",YEAR($A1173))</f>
        <v/>
      </c>
      <c r="D1173" s="13" t="n"/>
      <c r="E1173" s="13" t="n"/>
      <c r="F1173" s="18" t="n"/>
      <c r="G1173" s="18" t="n"/>
      <c r="H1173" s="19">
        <f>IF(AND($F1173="",$G1173=""),"",N($F1173)-N($G1173))</f>
        <v/>
      </c>
    </row>
    <row r="1174">
      <c r="A1174" s="15" t="n"/>
      <c r="B1174" s="16">
        <f>IF($A1174="","",TEXT($A1174,"mmm"))</f>
        <v/>
      </c>
      <c r="C1174" s="17">
        <f>IF($A1174="","",YEAR($A1174))</f>
        <v/>
      </c>
      <c r="D1174" s="13" t="n"/>
      <c r="E1174" s="13" t="n"/>
      <c r="F1174" s="18" t="n"/>
      <c r="G1174" s="18" t="n"/>
      <c r="H1174" s="19">
        <f>IF(AND($F1174="",$G1174=""),"",N($F1174)-N($G1174))</f>
        <v/>
      </c>
    </row>
    <row r="1175">
      <c r="A1175" s="15" t="n"/>
      <c r="B1175" s="16">
        <f>IF($A1175="","",TEXT($A1175,"mmm"))</f>
        <v/>
      </c>
      <c r="C1175" s="17">
        <f>IF($A1175="","",YEAR($A1175))</f>
        <v/>
      </c>
      <c r="D1175" s="13" t="n"/>
      <c r="E1175" s="13" t="n"/>
      <c r="F1175" s="18" t="n"/>
      <c r="G1175" s="18" t="n"/>
      <c r="H1175" s="19">
        <f>IF(AND($F1175="",$G1175=""),"",N($F1175)-N($G1175))</f>
        <v/>
      </c>
    </row>
    <row r="1176">
      <c r="A1176" s="15" t="n"/>
      <c r="B1176" s="16">
        <f>IF($A1176="","",TEXT($A1176,"mmm"))</f>
        <v/>
      </c>
      <c r="C1176" s="17">
        <f>IF($A1176="","",YEAR($A1176))</f>
        <v/>
      </c>
      <c r="D1176" s="13" t="n"/>
      <c r="E1176" s="13" t="n"/>
      <c r="F1176" s="18" t="n"/>
      <c r="G1176" s="18" t="n"/>
      <c r="H1176" s="19">
        <f>IF(AND($F1176="",$G1176=""),"",N($F1176)-N($G1176))</f>
        <v/>
      </c>
    </row>
    <row r="1177">
      <c r="A1177" s="15" t="n"/>
      <c r="B1177" s="16">
        <f>IF($A1177="","",TEXT($A1177,"mmm"))</f>
        <v/>
      </c>
      <c r="C1177" s="17">
        <f>IF($A1177="","",YEAR($A1177))</f>
        <v/>
      </c>
      <c r="D1177" s="13" t="n"/>
      <c r="E1177" s="13" t="n"/>
      <c r="F1177" s="18" t="n"/>
      <c r="G1177" s="18" t="n"/>
      <c r="H1177" s="19">
        <f>IF(AND($F1177="",$G1177=""),"",N($F1177)-N($G1177))</f>
        <v/>
      </c>
    </row>
    <row r="1178">
      <c r="A1178" s="15" t="n"/>
      <c r="B1178" s="16">
        <f>IF($A1178="","",TEXT($A1178,"mmm"))</f>
        <v/>
      </c>
      <c r="C1178" s="17">
        <f>IF($A1178="","",YEAR($A1178))</f>
        <v/>
      </c>
      <c r="D1178" s="13" t="n"/>
      <c r="E1178" s="13" t="n"/>
      <c r="F1178" s="18" t="n"/>
      <c r="G1178" s="18" t="n"/>
      <c r="H1178" s="19">
        <f>IF(AND($F1178="",$G1178=""),"",N($F1178)-N($G1178))</f>
        <v/>
      </c>
    </row>
    <row r="1179">
      <c r="A1179" s="15" t="n"/>
      <c r="B1179" s="16">
        <f>IF($A1179="","",TEXT($A1179,"mmm"))</f>
        <v/>
      </c>
      <c r="C1179" s="17">
        <f>IF($A1179="","",YEAR($A1179))</f>
        <v/>
      </c>
      <c r="D1179" s="13" t="n"/>
      <c r="E1179" s="13" t="n"/>
      <c r="F1179" s="18" t="n"/>
      <c r="G1179" s="18" t="n"/>
      <c r="H1179" s="19">
        <f>IF(AND($F1179="",$G1179=""),"",N($F1179)-N($G1179))</f>
        <v/>
      </c>
    </row>
    <row r="1180">
      <c r="A1180" s="15" t="n"/>
      <c r="B1180" s="16">
        <f>IF($A1180="","",TEXT($A1180,"mmm"))</f>
        <v/>
      </c>
      <c r="C1180" s="17">
        <f>IF($A1180="","",YEAR($A1180))</f>
        <v/>
      </c>
      <c r="D1180" s="13" t="n"/>
      <c r="E1180" s="13" t="n"/>
      <c r="F1180" s="18" t="n"/>
      <c r="G1180" s="18" t="n"/>
      <c r="H1180" s="19">
        <f>IF(AND($F1180="",$G1180=""),"",N($F1180)-N($G1180))</f>
        <v/>
      </c>
    </row>
    <row r="1181">
      <c r="A1181" s="15" t="n"/>
      <c r="B1181" s="16">
        <f>IF($A1181="","",TEXT($A1181,"mmm"))</f>
        <v/>
      </c>
      <c r="C1181" s="17">
        <f>IF($A1181="","",YEAR($A1181))</f>
        <v/>
      </c>
      <c r="D1181" s="13" t="n"/>
      <c r="E1181" s="13" t="n"/>
      <c r="F1181" s="18" t="n"/>
      <c r="G1181" s="18" t="n"/>
      <c r="H1181" s="19">
        <f>IF(AND($F1181="",$G1181=""),"",N($F1181)-N($G1181))</f>
        <v/>
      </c>
    </row>
    <row r="1182">
      <c r="A1182" s="15" t="n"/>
      <c r="B1182" s="16">
        <f>IF($A1182="","",TEXT($A1182,"mmm"))</f>
        <v/>
      </c>
      <c r="C1182" s="17">
        <f>IF($A1182="","",YEAR($A1182))</f>
        <v/>
      </c>
      <c r="D1182" s="13" t="n"/>
      <c r="E1182" s="13" t="n"/>
      <c r="F1182" s="18" t="n"/>
      <c r="G1182" s="18" t="n"/>
      <c r="H1182" s="19">
        <f>IF(AND($F1182="",$G1182=""),"",N($F1182)-N($G1182))</f>
        <v/>
      </c>
    </row>
    <row r="1183">
      <c r="A1183" s="15" t="n"/>
      <c r="B1183" s="16">
        <f>IF($A1183="","",TEXT($A1183,"mmm"))</f>
        <v/>
      </c>
      <c r="C1183" s="17">
        <f>IF($A1183="","",YEAR($A1183))</f>
        <v/>
      </c>
      <c r="D1183" s="13" t="n"/>
      <c r="E1183" s="13" t="n"/>
      <c r="F1183" s="18" t="n"/>
      <c r="G1183" s="18" t="n"/>
      <c r="H1183" s="19">
        <f>IF(AND($F1183="",$G1183=""),"",N($F1183)-N($G1183))</f>
        <v/>
      </c>
    </row>
    <row r="1184">
      <c r="A1184" s="15" t="n"/>
      <c r="B1184" s="16">
        <f>IF($A1184="","",TEXT($A1184,"mmm"))</f>
        <v/>
      </c>
      <c r="C1184" s="17">
        <f>IF($A1184="","",YEAR($A1184))</f>
        <v/>
      </c>
      <c r="D1184" s="13" t="n"/>
      <c r="E1184" s="13" t="n"/>
      <c r="F1184" s="18" t="n"/>
      <c r="G1184" s="18" t="n"/>
      <c r="H1184" s="19">
        <f>IF(AND($F1184="",$G1184=""),"",N($F1184)-N($G1184))</f>
        <v/>
      </c>
    </row>
    <row r="1185">
      <c r="A1185" s="15" t="n"/>
      <c r="B1185" s="16">
        <f>IF($A1185="","",TEXT($A1185,"mmm"))</f>
        <v/>
      </c>
      <c r="C1185" s="17">
        <f>IF($A1185="","",YEAR($A1185))</f>
        <v/>
      </c>
      <c r="D1185" s="13" t="n"/>
      <c r="E1185" s="13" t="n"/>
      <c r="F1185" s="18" t="n"/>
      <c r="G1185" s="18" t="n"/>
      <c r="H1185" s="19">
        <f>IF(AND($F1185="",$G1185=""),"",N($F1185)-N($G1185))</f>
        <v/>
      </c>
    </row>
    <row r="1186">
      <c r="A1186" s="15" t="n"/>
      <c r="B1186" s="16">
        <f>IF($A1186="","",TEXT($A1186,"mmm"))</f>
        <v/>
      </c>
      <c r="C1186" s="17">
        <f>IF($A1186="","",YEAR($A1186))</f>
        <v/>
      </c>
      <c r="D1186" s="13" t="n"/>
      <c r="E1186" s="13" t="n"/>
      <c r="F1186" s="18" t="n"/>
      <c r="G1186" s="18" t="n"/>
      <c r="H1186" s="19">
        <f>IF(AND($F1186="",$G1186=""),"",N($F1186)-N($G1186))</f>
        <v/>
      </c>
    </row>
    <row r="1187">
      <c r="A1187" s="15" t="n"/>
      <c r="B1187" s="16">
        <f>IF($A1187="","",TEXT($A1187,"mmm"))</f>
        <v/>
      </c>
      <c r="C1187" s="17">
        <f>IF($A1187="","",YEAR($A1187))</f>
        <v/>
      </c>
      <c r="D1187" s="13" t="n"/>
      <c r="E1187" s="13" t="n"/>
      <c r="F1187" s="18" t="n"/>
      <c r="G1187" s="18" t="n"/>
      <c r="H1187" s="19">
        <f>IF(AND($F1187="",$G1187=""),"",N($F1187)-N($G1187))</f>
        <v/>
      </c>
    </row>
    <row r="1188">
      <c r="A1188" s="15" t="n"/>
      <c r="B1188" s="16">
        <f>IF($A1188="","",TEXT($A1188,"mmm"))</f>
        <v/>
      </c>
      <c r="C1188" s="17">
        <f>IF($A1188="","",YEAR($A1188))</f>
        <v/>
      </c>
      <c r="D1188" s="13" t="n"/>
      <c r="E1188" s="13" t="n"/>
      <c r="F1188" s="18" t="n"/>
      <c r="G1188" s="18" t="n"/>
      <c r="H1188" s="19">
        <f>IF(AND($F1188="",$G1188=""),"",N($F1188)-N($G1188))</f>
        <v/>
      </c>
    </row>
    <row r="1189">
      <c r="A1189" s="15" t="n"/>
      <c r="B1189" s="16">
        <f>IF($A1189="","",TEXT($A1189,"mmm"))</f>
        <v/>
      </c>
      <c r="C1189" s="17">
        <f>IF($A1189="","",YEAR($A1189))</f>
        <v/>
      </c>
      <c r="D1189" s="13" t="n"/>
      <c r="E1189" s="13" t="n"/>
      <c r="F1189" s="18" t="n"/>
      <c r="G1189" s="18" t="n"/>
      <c r="H1189" s="19">
        <f>IF(AND($F1189="",$G1189=""),"",N($F1189)-N($G1189))</f>
        <v/>
      </c>
    </row>
    <row r="1190">
      <c r="A1190" s="15" t="n"/>
      <c r="B1190" s="16">
        <f>IF($A1190="","",TEXT($A1190,"mmm"))</f>
        <v/>
      </c>
      <c r="C1190" s="17">
        <f>IF($A1190="","",YEAR($A1190))</f>
        <v/>
      </c>
      <c r="D1190" s="13" t="n"/>
      <c r="E1190" s="13" t="n"/>
      <c r="F1190" s="18" t="n"/>
      <c r="G1190" s="18" t="n"/>
      <c r="H1190" s="19">
        <f>IF(AND($F1190="",$G1190=""),"",N($F1190)-N($G1190))</f>
        <v/>
      </c>
    </row>
    <row r="1191">
      <c r="A1191" s="15" t="n"/>
      <c r="B1191" s="16">
        <f>IF($A1191="","",TEXT($A1191,"mmm"))</f>
        <v/>
      </c>
      <c r="C1191" s="17">
        <f>IF($A1191="","",YEAR($A1191))</f>
        <v/>
      </c>
      <c r="D1191" s="13" t="n"/>
      <c r="E1191" s="13" t="n"/>
      <c r="F1191" s="18" t="n"/>
      <c r="G1191" s="18" t="n"/>
      <c r="H1191" s="19">
        <f>IF(AND($F1191="",$G1191=""),"",N($F1191)-N($G1191))</f>
        <v/>
      </c>
    </row>
    <row r="1192">
      <c r="A1192" s="15" t="n"/>
      <c r="B1192" s="16">
        <f>IF($A1192="","",TEXT($A1192,"mmm"))</f>
        <v/>
      </c>
      <c r="C1192" s="17">
        <f>IF($A1192="","",YEAR($A1192))</f>
        <v/>
      </c>
      <c r="D1192" s="13" t="n"/>
      <c r="E1192" s="13" t="n"/>
      <c r="F1192" s="18" t="n"/>
      <c r="G1192" s="18" t="n"/>
      <c r="H1192" s="19">
        <f>IF(AND($F1192="",$G1192=""),"",N($F1192)-N($G1192))</f>
        <v/>
      </c>
    </row>
    <row r="1193">
      <c r="A1193" s="15" t="n"/>
      <c r="B1193" s="16">
        <f>IF($A1193="","",TEXT($A1193,"mmm"))</f>
        <v/>
      </c>
      <c r="C1193" s="17">
        <f>IF($A1193="","",YEAR($A1193))</f>
        <v/>
      </c>
      <c r="D1193" s="13" t="n"/>
      <c r="E1193" s="13" t="n"/>
      <c r="F1193" s="18" t="n"/>
      <c r="G1193" s="18" t="n"/>
      <c r="H1193" s="19">
        <f>IF(AND($F1193="",$G1193=""),"",N($F1193)-N($G1193))</f>
        <v/>
      </c>
    </row>
    <row r="1194">
      <c r="A1194" s="15" t="n"/>
      <c r="B1194" s="16">
        <f>IF($A1194="","",TEXT($A1194,"mmm"))</f>
        <v/>
      </c>
      <c r="C1194" s="17">
        <f>IF($A1194="","",YEAR($A1194))</f>
        <v/>
      </c>
      <c r="D1194" s="13" t="n"/>
      <c r="E1194" s="13" t="n"/>
      <c r="F1194" s="18" t="n"/>
      <c r="G1194" s="18" t="n"/>
      <c r="H1194" s="19">
        <f>IF(AND($F1194="",$G1194=""),"",N($F1194)-N($G1194))</f>
        <v/>
      </c>
    </row>
    <row r="1195">
      <c r="A1195" s="15" t="n"/>
      <c r="B1195" s="16">
        <f>IF($A1195="","",TEXT($A1195,"mmm"))</f>
        <v/>
      </c>
      <c r="C1195" s="17">
        <f>IF($A1195="","",YEAR($A1195))</f>
        <v/>
      </c>
      <c r="D1195" s="13" t="n"/>
      <c r="E1195" s="13" t="n"/>
      <c r="F1195" s="18" t="n"/>
      <c r="G1195" s="18" t="n"/>
      <c r="H1195" s="19">
        <f>IF(AND($F1195="",$G1195=""),"",N($F1195)-N($G1195))</f>
        <v/>
      </c>
    </row>
    <row r="1196">
      <c r="A1196" s="15" t="n"/>
      <c r="B1196" s="16">
        <f>IF($A1196="","",TEXT($A1196,"mmm"))</f>
        <v/>
      </c>
      <c r="C1196" s="17">
        <f>IF($A1196="","",YEAR($A1196))</f>
        <v/>
      </c>
      <c r="D1196" s="13" t="n"/>
      <c r="E1196" s="13" t="n"/>
      <c r="F1196" s="18" t="n"/>
      <c r="G1196" s="18" t="n"/>
      <c r="H1196" s="19">
        <f>IF(AND($F1196="",$G1196=""),"",N($F1196)-N($G1196))</f>
        <v/>
      </c>
    </row>
    <row r="1197">
      <c r="A1197" s="15" t="n"/>
      <c r="B1197" s="16">
        <f>IF($A1197="","",TEXT($A1197,"mmm"))</f>
        <v/>
      </c>
      <c r="C1197" s="17">
        <f>IF($A1197="","",YEAR($A1197))</f>
        <v/>
      </c>
      <c r="D1197" s="13" t="n"/>
      <c r="E1197" s="13" t="n"/>
      <c r="F1197" s="18" t="n"/>
      <c r="G1197" s="18" t="n"/>
      <c r="H1197" s="19">
        <f>IF(AND($F1197="",$G1197=""),"",N($F1197)-N($G1197))</f>
        <v/>
      </c>
    </row>
    <row r="1198">
      <c r="A1198" s="15" t="n"/>
      <c r="B1198" s="16">
        <f>IF($A1198="","",TEXT($A1198,"mmm"))</f>
        <v/>
      </c>
      <c r="C1198" s="17">
        <f>IF($A1198="","",YEAR($A1198))</f>
        <v/>
      </c>
      <c r="D1198" s="13" t="n"/>
      <c r="E1198" s="13" t="n"/>
      <c r="F1198" s="18" t="n"/>
      <c r="G1198" s="18" t="n"/>
      <c r="H1198" s="19">
        <f>IF(AND($F1198="",$G1198=""),"",N($F1198)-N($G1198))</f>
        <v/>
      </c>
    </row>
    <row r="1199">
      <c r="A1199" s="15" t="n"/>
      <c r="B1199" s="16">
        <f>IF($A1199="","",TEXT($A1199,"mmm"))</f>
        <v/>
      </c>
      <c r="C1199" s="17">
        <f>IF($A1199="","",YEAR($A1199))</f>
        <v/>
      </c>
      <c r="D1199" s="13" t="n"/>
      <c r="E1199" s="13" t="n"/>
      <c r="F1199" s="18" t="n"/>
      <c r="G1199" s="18" t="n"/>
      <c r="H1199" s="19">
        <f>IF(AND($F1199="",$G1199=""),"",N($F1199)-N($G1199))</f>
        <v/>
      </c>
    </row>
    <row r="1200">
      <c r="A1200" s="15" t="n"/>
      <c r="B1200" s="16">
        <f>IF($A1200="","",TEXT($A1200,"mmm"))</f>
        <v/>
      </c>
      <c r="C1200" s="17">
        <f>IF($A1200="","",YEAR($A1200))</f>
        <v/>
      </c>
      <c r="D1200" s="13" t="n"/>
      <c r="E1200" s="13" t="n"/>
      <c r="F1200" s="18" t="n"/>
      <c r="G1200" s="18" t="n"/>
      <c r="H1200" s="19">
        <f>IF(AND($F1200="",$G1200=""),"",N($F1200)-N($G1200))</f>
        <v/>
      </c>
    </row>
    <row r="1201">
      <c r="A1201" s="15" t="n"/>
      <c r="B1201" s="16">
        <f>IF($A1201="","",TEXT($A1201,"mmm"))</f>
        <v/>
      </c>
      <c r="C1201" s="17">
        <f>IF($A1201="","",YEAR($A1201))</f>
        <v/>
      </c>
      <c r="D1201" s="13" t="n"/>
      <c r="E1201" s="13" t="n"/>
      <c r="F1201" s="18" t="n"/>
      <c r="G1201" s="18" t="n"/>
      <c r="H1201" s="19">
        <f>IF(AND($F1201="",$G1201=""),"",N($F1201)-N($G1201))</f>
        <v/>
      </c>
    </row>
    <row r="1202">
      <c r="A1202" s="15" t="n"/>
      <c r="B1202" s="16">
        <f>IF($A1202="","",TEXT($A1202,"mmm"))</f>
        <v/>
      </c>
      <c r="C1202" s="17">
        <f>IF($A1202="","",YEAR($A1202))</f>
        <v/>
      </c>
      <c r="D1202" s="13" t="n"/>
      <c r="E1202" s="13" t="n"/>
      <c r="F1202" s="18" t="n"/>
      <c r="G1202" s="18" t="n"/>
      <c r="H1202" s="19">
        <f>IF(AND($F1202="",$G1202=""),"",N($F1202)-N($G1202))</f>
        <v/>
      </c>
    </row>
    <row r="1203">
      <c r="A1203" s="15" t="n"/>
      <c r="B1203" s="16">
        <f>IF($A1203="","",TEXT($A1203,"mmm"))</f>
        <v/>
      </c>
      <c r="C1203" s="17">
        <f>IF($A1203="","",YEAR($A1203))</f>
        <v/>
      </c>
      <c r="D1203" s="13" t="n"/>
      <c r="E1203" s="13" t="n"/>
      <c r="F1203" s="18" t="n"/>
      <c r="G1203" s="18" t="n"/>
      <c r="H1203" s="19">
        <f>IF(AND($F1203="",$G1203=""),"",N($F1203)-N($G1203))</f>
        <v/>
      </c>
    </row>
    <row r="1204">
      <c r="A1204" s="15" t="n"/>
      <c r="B1204" s="16">
        <f>IF($A1204="","",TEXT($A1204,"mmm"))</f>
        <v/>
      </c>
      <c r="C1204" s="17">
        <f>IF($A1204="","",YEAR($A1204))</f>
        <v/>
      </c>
      <c r="D1204" s="13" t="n"/>
      <c r="E1204" s="13" t="n"/>
      <c r="F1204" s="18" t="n"/>
      <c r="G1204" s="18" t="n"/>
      <c r="H1204" s="19">
        <f>IF(AND($F1204="",$G1204=""),"",N($F1204)-N($G1204))</f>
        <v/>
      </c>
    </row>
    <row r="1206">
      <c r="A1206" s="14" t="inlineStr">
        <is>
          <t>Year is filled in for you from the date. It is what keeps one year's totals separate from the next.</t>
        </is>
      </c>
    </row>
  </sheetData>
  <dataValidations count="1">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D1003 D1004 D1005 D1006 D1007 D1008 D1009 D1010 D1011 D1012 D1013 D1014 D1015 D1016 D1017 D1018 D1019 D1020 D1021 D1022 D1023 D1024 D1025 D1026 D1027 D1028 D1029 D1030 D1031 D1032 D1033 D1034 D1035 D1036 D1037 D1038 D1039 D1040 D1041 D1042 D1043 D1044 D1045 D1046 D1047 D1048 D1049 D1050 D1051 D1052 D1053 D1054 D1055 D1056 D1057 D1058 D1059 D1060 D1061 D1062 D1063 D1064 D1065 D1066 D1067 D1068 D1069 D1070 D1071 D1072 D1073 D1074 D1075 D1076 D1077 D1078 D1079 D1080 D1081 D1082 D1083 D1084 D1085 D1086 D1087 D1088 D1089 D1090 D1091 D1092 D1093 D1094 D1095 D1096 D1097 D1098 D1099 D1100 D1101 D1102 D1103 D1104 D1105 D1106 D1107 D1108 D1109 D1110 D1111 D1112 D1113 D1114 D1115 D1116 D1117 D1118 D1119 D1120 D1121 D1122 D1123 D1124 D1125 D1126 D1127 D1128 D1129 D1130 D1131 D1132 D1133 D1134 D1135 D1136 D1137 D1138 D1139 D1140 D1141 D1142 D1143 D1144 D1145 D1146 D1147 D1148 D1149 D1150 D1151 D1152 D1153 D1154 D1155 D1156 D1157 D1158 D1159 D1160 D1161 D1162 D1163 D1164 D1165 D1166 D1167 D1168 D1169 D1170 D1171 D1172 D1173 D1174 D1175 D1176 D1177 D1178 D1179 D1180 D1181 D1182 D1183 D1184 D1185 D1186 D1187 D1188 D1189 D1190 D1191 D1192 D1193 D1194 D1195 D1196 D1197 D1198 D1199 D1200 D1201 D1202 D1203 D1204" showDropDown="0" showInputMessage="0" showErrorMessage="0" allowBlank="1" type="list">
      <formula1>=Categories!$B$5:$B$54</formula1>
    </dataValidation>
  </dataValidations>
  <pageMargins left="0.75" right="0.75" top="1" bottom="1" header="0.5" footer="0.5"/>
</worksheet>
</file>

<file path=xl/worksheets/sheet4.xml><?xml version="1.0" encoding="utf-8"?>
<worksheet xmlns="http://schemas.openxmlformats.org/spreadsheetml/2006/main">
  <sheetPr>
    <tabColor rgb="0000B4A6"/>
    <outlinePr summaryBelow="1" summaryRight="1"/>
    <pageSetUpPr/>
  </sheetPr>
  <dimension ref="A1:P5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3" customWidth="1" min="14" max="14"/>
    <col width="13" customWidth="1" min="15" max="15"/>
    <col width="12" customWidth="1" min="16" max="16"/>
  </cols>
  <sheetData>
    <row r="1" ht="30" customHeight="1">
      <c r="A1" s="1" t="inlineStr">
        <is>
          <t>Budget vs Actual</t>
        </is>
      </c>
      <c r="B1" s="2" t="n"/>
      <c r="C1" s="2" t="n"/>
      <c r="D1" s="2" t="n"/>
      <c r="E1" s="2" t="n"/>
      <c r="F1" s="2" t="n"/>
      <c r="G1" s="2" t="n"/>
      <c r="H1" s="2" t="n"/>
      <c r="I1" s="2" t="n"/>
      <c r="J1" s="2" t="n"/>
      <c r="K1" s="2" t="n"/>
      <c r="L1" s="2" t="n"/>
      <c r="M1" s="2" t="n"/>
      <c r="N1" s="2" t="n"/>
      <c r="O1" s="2" t="n"/>
      <c r="P1" s="2" t="n"/>
    </row>
    <row r="2" ht="18" customHeight="1">
      <c r="A2" s="3" t="inlineStr">
        <is>
          <t>Type your monthly plan. Actuals pull from the Transactions tab for the year you choose.</t>
        </is>
      </c>
      <c r="B2" s="2" t="n"/>
      <c r="C2" s="2" t="n"/>
      <c r="D2" s="2" t="n"/>
      <c r="E2" s="2" t="n"/>
      <c r="F2" s="2" t="n"/>
      <c r="G2" s="2" t="n"/>
      <c r="H2" s="2" t="n"/>
      <c r="I2" s="2" t="n"/>
      <c r="J2" s="2" t="n"/>
      <c r="K2" s="2" t="n"/>
      <c r="L2" s="2" t="n"/>
      <c r="M2" s="2" t="n"/>
      <c r="N2" s="2" t="n"/>
      <c r="O2" s="2" t="n"/>
      <c r="P2" s="2" t="n"/>
    </row>
    <row r="3">
      <c r="A3" s="20" t="inlineStr">
        <is>
          <t>Budget year →</t>
        </is>
      </c>
      <c r="B3" s="21" t="n">
        <v>2026</v>
      </c>
      <c r="C3" s="14" t="inlineStr">
        <is>
          <t>Only transactions dated in this year are counted. Change it and every actual updates.</t>
        </is>
      </c>
    </row>
    <row r="4" ht="28" customHeight="1">
      <c r="A4" s="11" t="inlineStr">
        <is>
          <t>Category</t>
        </is>
      </c>
      <c r="B4" s="11" t="inlineStr">
        <is>
          <t>Jan</t>
        </is>
      </c>
      <c r="C4" s="11" t="inlineStr">
        <is>
          <t>Feb</t>
        </is>
      </c>
      <c r="D4" s="11" t="inlineStr">
        <is>
          <t>Mar</t>
        </is>
      </c>
      <c r="E4" s="11" t="inlineStr">
        <is>
          <t>Apr</t>
        </is>
      </c>
      <c r="F4" s="11" t="inlineStr">
        <is>
          <t>May</t>
        </is>
      </c>
      <c r="G4" s="11" t="inlineStr">
        <is>
          <t>Jun</t>
        </is>
      </c>
      <c r="H4" s="11" t="inlineStr">
        <is>
          <t>Jul</t>
        </is>
      </c>
      <c r="I4" s="11" t="inlineStr">
        <is>
          <t>Aug</t>
        </is>
      </c>
      <c r="J4" s="11" t="inlineStr">
        <is>
          <t>Sep</t>
        </is>
      </c>
      <c r="K4" s="11" t="inlineStr">
        <is>
          <t>Oct</t>
        </is>
      </c>
      <c r="L4" s="11" t="inlineStr">
        <is>
          <t>Nov</t>
        </is>
      </c>
      <c r="M4" s="11" t="inlineStr">
        <is>
          <t>Dec</t>
        </is>
      </c>
      <c r="N4" s="11" t="inlineStr">
        <is>
          <t>Budget Total</t>
        </is>
      </c>
      <c r="O4" s="11" t="inlineStr">
        <is>
          <t>Actual Total</t>
        </is>
      </c>
      <c r="P4" s="11" t="inlineStr">
        <is>
          <t>Variance</t>
        </is>
      </c>
    </row>
    <row r="5">
      <c r="A5" s="12">
        <f>Categories!B5</f>
        <v/>
      </c>
      <c r="B5" s="22" t="n">
        <v>0</v>
      </c>
      <c r="C5" s="22" t="n">
        <v>0</v>
      </c>
      <c r="D5" s="22" t="n">
        <v>0</v>
      </c>
      <c r="E5" s="22" t="n">
        <v>0</v>
      </c>
      <c r="F5" s="22" t="n">
        <v>0</v>
      </c>
      <c r="G5" s="22" t="n">
        <v>0</v>
      </c>
      <c r="H5" s="22" t="n">
        <v>0</v>
      </c>
      <c r="I5" s="22" t="n">
        <v>0</v>
      </c>
      <c r="J5" s="22" t="n">
        <v>0</v>
      </c>
      <c r="K5" s="22" t="n">
        <v>0</v>
      </c>
      <c r="L5" s="22" t="n">
        <v>0</v>
      </c>
      <c r="M5" s="22" t="n">
        <v>0</v>
      </c>
      <c r="N5" s="23">
        <f>SUM(B5:M5)</f>
        <v/>
      </c>
      <c r="O5" s="23">
        <f>IF($A5="","",SUMIFS(Transactions!$F$5:$F$1204,Transactions!$D$5:$D$1204,$A5,Transactions!$C$5:$C$1204,$B$3)+SUMIFS(Transactions!$G$5:$G$1204,Transactions!$D$5:$D$1204,$A5,Transactions!$C$5:$C$1204,$B$3))</f>
        <v/>
      </c>
      <c r="P5" s="24">
        <f>IF($A5="","",N5-O5)</f>
        <v/>
      </c>
    </row>
    <row r="6">
      <c r="A6" s="12">
        <f>Categories!B6</f>
        <v/>
      </c>
      <c r="B6" s="22" t="n">
        <v>0</v>
      </c>
      <c r="C6" s="22" t="n">
        <v>0</v>
      </c>
      <c r="D6" s="22" t="n">
        <v>0</v>
      </c>
      <c r="E6" s="22" t="n">
        <v>0</v>
      </c>
      <c r="F6" s="22" t="n">
        <v>0</v>
      </c>
      <c r="G6" s="22" t="n">
        <v>0</v>
      </c>
      <c r="H6" s="22" t="n">
        <v>0</v>
      </c>
      <c r="I6" s="22" t="n">
        <v>0</v>
      </c>
      <c r="J6" s="22" t="n">
        <v>0</v>
      </c>
      <c r="K6" s="22" t="n">
        <v>0</v>
      </c>
      <c r="L6" s="22" t="n">
        <v>0</v>
      </c>
      <c r="M6" s="22" t="n">
        <v>0</v>
      </c>
      <c r="N6" s="23">
        <f>SUM(B6:M6)</f>
        <v/>
      </c>
      <c r="O6" s="23">
        <f>IF($A6="","",SUMIFS(Transactions!$F$5:$F$1204,Transactions!$D$5:$D$1204,$A6,Transactions!$C$5:$C$1204,$B$3)+SUMIFS(Transactions!$G$5:$G$1204,Transactions!$D$5:$D$1204,$A6,Transactions!$C$5:$C$1204,$B$3))</f>
        <v/>
      </c>
      <c r="P6" s="24">
        <f>IF($A6="","",N6-O6)</f>
        <v/>
      </c>
    </row>
    <row r="7">
      <c r="A7" s="12">
        <f>Categories!B7</f>
        <v/>
      </c>
      <c r="B7" s="22" t="n">
        <v>0</v>
      </c>
      <c r="C7" s="22" t="n">
        <v>0</v>
      </c>
      <c r="D7" s="22" t="n">
        <v>0</v>
      </c>
      <c r="E7" s="22" t="n">
        <v>0</v>
      </c>
      <c r="F7" s="22" t="n">
        <v>0</v>
      </c>
      <c r="G7" s="22" t="n">
        <v>0</v>
      </c>
      <c r="H7" s="22" t="n">
        <v>0</v>
      </c>
      <c r="I7" s="22" t="n">
        <v>0</v>
      </c>
      <c r="J7" s="22" t="n">
        <v>0</v>
      </c>
      <c r="K7" s="22" t="n">
        <v>0</v>
      </c>
      <c r="L7" s="22" t="n">
        <v>0</v>
      </c>
      <c r="M7" s="22" t="n">
        <v>0</v>
      </c>
      <c r="N7" s="23">
        <f>SUM(B7:M7)</f>
        <v/>
      </c>
      <c r="O7" s="23">
        <f>IF($A7="","",SUMIFS(Transactions!$F$5:$F$1204,Transactions!$D$5:$D$1204,$A7,Transactions!$C$5:$C$1204,$B$3)+SUMIFS(Transactions!$G$5:$G$1204,Transactions!$D$5:$D$1204,$A7,Transactions!$C$5:$C$1204,$B$3))</f>
        <v/>
      </c>
      <c r="P7" s="24">
        <f>IF($A7="","",N7-O7)</f>
        <v/>
      </c>
    </row>
    <row r="8">
      <c r="A8" s="12">
        <f>Categories!B8</f>
        <v/>
      </c>
      <c r="B8" s="22" t="n">
        <v>0</v>
      </c>
      <c r="C8" s="22" t="n">
        <v>0</v>
      </c>
      <c r="D8" s="22" t="n">
        <v>0</v>
      </c>
      <c r="E8" s="22" t="n">
        <v>0</v>
      </c>
      <c r="F8" s="22" t="n">
        <v>0</v>
      </c>
      <c r="G8" s="22" t="n">
        <v>0</v>
      </c>
      <c r="H8" s="22" t="n">
        <v>0</v>
      </c>
      <c r="I8" s="22" t="n">
        <v>0</v>
      </c>
      <c r="J8" s="22" t="n">
        <v>0</v>
      </c>
      <c r="K8" s="22" t="n">
        <v>0</v>
      </c>
      <c r="L8" s="22" t="n">
        <v>0</v>
      </c>
      <c r="M8" s="22" t="n">
        <v>0</v>
      </c>
      <c r="N8" s="23">
        <f>SUM(B8:M8)</f>
        <v/>
      </c>
      <c r="O8" s="23">
        <f>IF($A8="","",SUMIFS(Transactions!$F$5:$F$1204,Transactions!$D$5:$D$1204,$A8,Transactions!$C$5:$C$1204,$B$3)+SUMIFS(Transactions!$G$5:$G$1204,Transactions!$D$5:$D$1204,$A8,Transactions!$C$5:$C$1204,$B$3))</f>
        <v/>
      </c>
      <c r="P8" s="24">
        <f>IF($A8="","",N8-O8)</f>
        <v/>
      </c>
    </row>
    <row r="9">
      <c r="A9" s="12">
        <f>Categories!B9</f>
        <v/>
      </c>
      <c r="B9" s="22" t="n">
        <v>0</v>
      </c>
      <c r="C9" s="22" t="n">
        <v>0</v>
      </c>
      <c r="D9" s="22" t="n">
        <v>0</v>
      </c>
      <c r="E9" s="22" t="n">
        <v>0</v>
      </c>
      <c r="F9" s="22" t="n">
        <v>0</v>
      </c>
      <c r="G9" s="22" t="n">
        <v>0</v>
      </c>
      <c r="H9" s="22" t="n">
        <v>0</v>
      </c>
      <c r="I9" s="22" t="n">
        <v>0</v>
      </c>
      <c r="J9" s="22" t="n">
        <v>0</v>
      </c>
      <c r="K9" s="22" t="n">
        <v>0</v>
      </c>
      <c r="L9" s="22" t="n">
        <v>0</v>
      </c>
      <c r="M9" s="22" t="n">
        <v>0</v>
      </c>
      <c r="N9" s="23">
        <f>SUM(B9:M9)</f>
        <v/>
      </c>
      <c r="O9" s="23">
        <f>IF($A9="","",SUMIFS(Transactions!$F$5:$F$1204,Transactions!$D$5:$D$1204,$A9,Transactions!$C$5:$C$1204,$B$3)+SUMIFS(Transactions!$G$5:$G$1204,Transactions!$D$5:$D$1204,$A9,Transactions!$C$5:$C$1204,$B$3))</f>
        <v/>
      </c>
      <c r="P9" s="24">
        <f>IF($A9="","",N9-O9)</f>
        <v/>
      </c>
    </row>
    <row r="10">
      <c r="A10" s="12">
        <f>Categories!B10</f>
        <v/>
      </c>
      <c r="B10" s="22" t="n">
        <v>0</v>
      </c>
      <c r="C10" s="22" t="n">
        <v>0</v>
      </c>
      <c r="D10" s="22" t="n">
        <v>0</v>
      </c>
      <c r="E10" s="22" t="n">
        <v>0</v>
      </c>
      <c r="F10" s="22" t="n">
        <v>0</v>
      </c>
      <c r="G10" s="22" t="n">
        <v>0</v>
      </c>
      <c r="H10" s="22" t="n">
        <v>0</v>
      </c>
      <c r="I10" s="22" t="n">
        <v>0</v>
      </c>
      <c r="J10" s="22" t="n">
        <v>0</v>
      </c>
      <c r="K10" s="22" t="n">
        <v>0</v>
      </c>
      <c r="L10" s="22" t="n">
        <v>0</v>
      </c>
      <c r="M10" s="22" t="n">
        <v>0</v>
      </c>
      <c r="N10" s="23">
        <f>SUM(B10:M10)</f>
        <v/>
      </c>
      <c r="O10" s="23">
        <f>IF($A10="","",SUMIFS(Transactions!$F$5:$F$1204,Transactions!$D$5:$D$1204,$A10,Transactions!$C$5:$C$1204,$B$3)+SUMIFS(Transactions!$G$5:$G$1204,Transactions!$D$5:$D$1204,$A10,Transactions!$C$5:$C$1204,$B$3))</f>
        <v/>
      </c>
      <c r="P10" s="24">
        <f>IF($A10="","",N10-O10)</f>
        <v/>
      </c>
    </row>
    <row r="11">
      <c r="A11" s="12">
        <f>Categories!B11</f>
        <v/>
      </c>
      <c r="B11" s="22" t="n">
        <v>0</v>
      </c>
      <c r="C11" s="22" t="n">
        <v>0</v>
      </c>
      <c r="D11" s="22" t="n">
        <v>0</v>
      </c>
      <c r="E11" s="22" t="n">
        <v>0</v>
      </c>
      <c r="F11" s="22" t="n">
        <v>0</v>
      </c>
      <c r="G11" s="22" t="n">
        <v>0</v>
      </c>
      <c r="H11" s="22" t="n">
        <v>0</v>
      </c>
      <c r="I11" s="22" t="n">
        <v>0</v>
      </c>
      <c r="J11" s="22" t="n">
        <v>0</v>
      </c>
      <c r="K11" s="22" t="n">
        <v>0</v>
      </c>
      <c r="L11" s="22" t="n">
        <v>0</v>
      </c>
      <c r="M11" s="22" t="n">
        <v>0</v>
      </c>
      <c r="N11" s="23">
        <f>SUM(B11:M11)</f>
        <v/>
      </c>
      <c r="O11" s="23">
        <f>IF($A11="","",SUMIFS(Transactions!$F$5:$F$1204,Transactions!$D$5:$D$1204,$A11,Transactions!$C$5:$C$1204,$B$3)+SUMIFS(Transactions!$G$5:$G$1204,Transactions!$D$5:$D$1204,$A11,Transactions!$C$5:$C$1204,$B$3))</f>
        <v/>
      </c>
      <c r="P11" s="24">
        <f>IF($A11="","",N11-O11)</f>
        <v/>
      </c>
    </row>
    <row r="12">
      <c r="A12" s="12">
        <f>Categories!B12</f>
        <v/>
      </c>
      <c r="B12" s="22" t="n">
        <v>0</v>
      </c>
      <c r="C12" s="22" t="n">
        <v>0</v>
      </c>
      <c r="D12" s="22" t="n">
        <v>0</v>
      </c>
      <c r="E12" s="22" t="n">
        <v>0</v>
      </c>
      <c r="F12" s="22" t="n">
        <v>0</v>
      </c>
      <c r="G12" s="22" t="n">
        <v>0</v>
      </c>
      <c r="H12" s="22" t="n">
        <v>0</v>
      </c>
      <c r="I12" s="22" t="n">
        <v>0</v>
      </c>
      <c r="J12" s="22" t="n">
        <v>0</v>
      </c>
      <c r="K12" s="22" t="n">
        <v>0</v>
      </c>
      <c r="L12" s="22" t="n">
        <v>0</v>
      </c>
      <c r="M12" s="22" t="n">
        <v>0</v>
      </c>
      <c r="N12" s="23">
        <f>SUM(B12:M12)</f>
        <v/>
      </c>
      <c r="O12" s="23">
        <f>IF($A12="","",SUMIFS(Transactions!$F$5:$F$1204,Transactions!$D$5:$D$1204,$A12,Transactions!$C$5:$C$1204,$B$3)+SUMIFS(Transactions!$G$5:$G$1204,Transactions!$D$5:$D$1204,$A12,Transactions!$C$5:$C$1204,$B$3))</f>
        <v/>
      </c>
      <c r="P12" s="24">
        <f>IF($A12="","",N12-O12)</f>
        <v/>
      </c>
    </row>
    <row r="13">
      <c r="A13" s="12">
        <f>Categories!B13</f>
        <v/>
      </c>
      <c r="B13" s="22" t="n">
        <v>0</v>
      </c>
      <c r="C13" s="22" t="n">
        <v>0</v>
      </c>
      <c r="D13" s="22" t="n">
        <v>0</v>
      </c>
      <c r="E13" s="22" t="n">
        <v>0</v>
      </c>
      <c r="F13" s="22" t="n">
        <v>0</v>
      </c>
      <c r="G13" s="22" t="n">
        <v>0</v>
      </c>
      <c r="H13" s="22" t="n">
        <v>0</v>
      </c>
      <c r="I13" s="22" t="n">
        <v>0</v>
      </c>
      <c r="J13" s="22" t="n">
        <v>0</v>
      </c>
      <c r="K13" s="22" t="n">
        <v>0</v>
      </c>
      <c r="L13" s="22" t="n">
        <v>0</v>
      </c>
      <c r="M13" s="22" t="n">
        <v>0</v>
      </c>
      <c r="N13" s="23">
        <f>SUM(B13:M13)</f>
        <v/>
      </c>
      <c r="O13" s="23">
        <f>IF($A13="","",SUMIFS(Transactions!$F$5:$F$1204,Transactions!$D$5:$D$1204,$A13,Transactions!$C$5:$C$1204,$B$3)+SUMIFS(Transactions!$G$5:$G$1204,Transactions!$D$5:$D$1204,$A13,Transactions!$C$5:$C$1204,$B$3))</f>
        <v/>
      </c>
      <c r="P13" s="24">
        <f>IF($A13="","",N13-O13)</f>
        <v/>
      </c>
    </row>
    <row r="14">
      <c r="A14" s="12">
        <f>Categories!B14</f>
        <v/>
      </c>
      <c r="B14" s="22" t="n">
        <v>0</v>
      </c>
      <c r="C14" s="22" t="n">
        <v>0</v>
      </c>
      <c r="D14" s="22" t="n">
        <v>0</v>
      </c>
      <c r="E14" s="22" t="n">
        <v>0</v>
      </c>
      <c r="F14" s="22" t="n">
        <v>0</v>
      </c>
      <c r="G14" s="22" t="n">
        <v>0</v>
      </c>
      <c r="H14" s="22" t="n">
        <v>0</v>
      </c>
      <c r="I14" s="22" t="n">
        <v>0</v>
      </c>
      <c r="J14" s="22" t="n">
        <v>0</v>
      </c>
      <c r="K14" s="22" t="n">
        <v>0</v>
      </c>
      <c r="L14" s="22" t="n">
        <v>0</v>
      </c>
      <c r="M14" s="22" t="n">
        <v>0</v>
      </c>
      <c r="N14" s="23">
        <f>SUM(B14:M14)</f>
        <v/>
      </c>
      <c r="O14" s="23">
        <f>IF($A14="","",SUMIFS(Transactions!$F$5:$F$1204,Transactions!$D$5:$D$1204,$A14,Transactions!$C$5:$C$1204,$B$3)+SUMIFS(Transactions!$G$5:$G$1204,Transactions!$D$5:$D$1204,$A14,Transactions!$C$5:$C$1204,$B$3))</f>
        <v/>
      </c>
      <c r="P14" s="24">
        <f>IF($A14="","",N14-O14)</f>
        <v/>
      </c>
    </row>
    <row r="15">
      <c r="A15" s="12">
        <f>Categories!B15</f>
        <v/>
      </c>
      <c r="B15" s="22" t="n">
        <v>0</v>
      </c>
      <c r="C15" s="22" t="n">
        <v>0</v>
      </c>
      <c r="D15" s="22" t="n">
        <v>0</v>
      </c>
      <c r="E15" s="22" t="n">
        <v>0</v>
      </c>
      <c r="F15" s="22" t="n">
        <v>0</v>
      </c>
      <c r="G15" s="22" t="n">
        <v>0</v>
      </c>
      <c r="H15" s="22" t="n">
        <v>0</v>
      </c>
      <c r="I15" s="22" t="n">
        <v>0</v>
      </c>
      <c r="J15" s="22" t="n">
        <v>0</v>
      </c>
      <c r="K15" s="22" t="n">
        <v>0</v>
      </c>
      <c r="L15" s="22" t="n">
        <v>0</v>
      </c>
      <c r="M15" s="22" t="n">
        <v>0</v>
      </c>
      <c r="N15" s="23">
        <f>SUM(B15:M15)</f>
        <v/>
      </c>
      <c r="O15" s="23">
        <f>IF($A15="","",SUMIFS(Transactions!$F$5:$F$1204,Transactions!$D$5:$D$1204,$A15,Transactions!$C$5:$C$1204,$B$3)+SUMIFS(Transactions!$G$5:$G$1204,Transactions!$D$5:$D$1204,$A15,Transactions!$C$5:$C$1204,$B$3))</f>
        <v/>
      </c>
      <c r="P15" s="24">
        <f>IF($A15="","",N15-O15)</f>
        <v/>
      </c>
    </row>
    <row r="16">
      <c r="A16" s="12">
        <f>Categories!B16</f>
        <v/>
      </c>
      <c r="B16" s="22" t="n">
        <v>0</v>
      </c>
      <c r="C16" s="22" t="n">
        <v>0</v>
      </c>
      <c r="D16" s="22" t="n">
        <v>0</v>
      </c>
      <c r="E16" s="22" t="n">
        <v>0</v>
      </c>
      <c r="F16" s="22" t="n">
        <v>0</v>
      </c>
      <c r="G16" s="22" t="n">
        <v>0</v>
      </c>
      <c r="H16" s="22" t="n">
        <v>0</v>
      </c>
      <c r="I16" s="22" t="n">
        <v>0</v>
      </c>
      <c r="J16" s="22" t="n">
        <v>0</v>
      </c>
      <c r="K16" s="22" t="n">
        <v>0</v>
      </c>
      <c r="L16" s="22" t="n">
        <v>0</v>
      </c>
      <c r="M16" s="22" t="n">
        <v>0</v>
      </c>
      <c r="N16" s="23">
        <f>SUM(B16:M16)</f>
        <v/>
      </c>
      <c r="O16" s="23">
        <f>IF($A16="","",SUMIFS(Transactions!$F$5:$F$1204,Transactions!$D$5:$D$1204,$A16,Transactions!$C$5:$C$1204,$B$3)+SUMIFS(Transactions!$G$5:$G$1204,Transactions!$D$5:$D$1204,$A16,Transactions!$C$5:$C$1204,$B$3))</f>
        <v/>
      </c>
      <c r="P16" s="24">
        <f>IF($A16="","",N16-O16)</f>
        <v/>
      </c>
    </row>
    <row r="17">
      <c r="A17" s="12">
        <f>Categories!B17</f>
        <v/>
      </c>
      <c r="B17" s="22" t="n">
        <v>0</v>
      </c>
      <c r="C17" s="22" t="n">
        <v>0</v>
      </c>
      <c r="D17" s="22" t="n">
        <v>0</v>
      </c>
      <c r="E17" s="22" t="n">
        <v>0</v>
      </c>
      <c r="F17" s="22" t="n">
        <v>0</v>
      </c>
      <c r="G17" s="22" t="n">
        <v>0</v>
      </c>
      <c r="H17" s="22" t="n">
        <v>0</v>
      </c>
      <c r="I17" s="22" t="n">
        <v>0</v>
      </c>
      <c r="J17" s="22" t="n">
        <v>0</v>
      </c>
      <c r="K17" s="22" t="n">
        <v>0</v>
      </c>
      <c r="L17" s="22" t="n">
        <v>0</v>
      </c>
      <c r="M17" s="22" t="n">
        <v>0</v>
      </c>
      <c r="N17" s="23">
        <f>SUM(B17:M17)</f>
        <v/>
      </c>
      <c r="O17" s="23">
        <f>IF($A17="","",SUMIFS(Transactions!$F$5:$F$1204,Transactions!$D$5:$D$1204,$A17,Transactions!$C$5:$C$1204,$B$3)+SUMIFS(Transactions!$G$5:$G$1204,Transactions!$D$5:$D$1204,$A17,Transactions!$C$5:$C$1204,$B$3))</f>
        <v/>
      </c>
      <c r="P17" s="24">
        <f>IF($A17="","",N17-O17)</f>
        <v/>
      </c>
    </row>
    <row r="18">
      <c r="A18" s="12">
        <f>Categories!B18</f>
        <v/>
      </c>
      <c r="B18" s="22" t="n">
        <v>0</v>
      </c>
      <c r="C18" s="22" t="n">
        <v>0</v>
      </c>
      <c r="D18" s="22" t="n">
        <v>0</v>
      </c>
      <c r="E18" s="22" t="n">
        <v>0</v>
      </c>
      <c r="F18" s="22" t="n">
        <v>0</v>
      </c>
      <c r="G18" s="22" t="n">
        <v>0</v>
      </c>
      <c r="H18" s="22" t="n">
        <v>0</v>
      </c>
      <c r="I18" s="22" t="n">
        <v>0</v>
      </c>
      <c r="J18" s="22" t="n">
        <v>0</v>
      </c>
      <c r="K18" s="22" t="n">
        <v>0</v>
      </c>
      <c r="L18" s="22" t="n">
        <v>0</v>
      </c>
      <c r="M18" s="22" t="n">
        <v>0</v>
      </c>
      <c r="N18" s="23">
        <f>SUM(B18:M18)</f>
        <v/>
      </c>
      <c r="O18" s="23">
        <f>IF($A18="","",SUMIFS(Transactions!$F$5:$F$1204,Transactions!$D$5:$D$1204,$A18,Transactions!$C$5:$C$1204,$B$3)+SUMIFS(Transactions!$G$5:$G$1204,Transactions!$D$5:$D$1204,$A18,Transactions!$C$5:$C$1204,$B$3))</f>
        <v/>
      </c>
      <c r="P18" s="24">
        <f>IF($A18="","",N18-O18)</f>
        <v/>
      </c>
    </row>
    <row r="19">
      <c r="A19" s="12">
        <f>Categories!B19</f>
        <v/>
      </c>
      <c r="B19" s="22" t="n">
        <v>0</v>
      </c>
      <c r="C19" s="22" t="n">
        <v>0</v>
      </c>
      <c r="D19" s="22" t="n">
        <v>0</v>
      </c>
      <c r="E19" s="22" t="n">
        <v>0</v>
      </c>
      <c r="F19" s="22" t="n">
        <v>0</v>
      </c>
      <c r="G19" s="22" t="n">
        <v>0</v>
      </c>
      <c r="H19" s="22" t="n">
        <v>0</v>
      </c>
      <c r="I19" s="22" t="n">
        <v>0</v>
      </c>
      <c r="J19" s="22" t="n">
        <v>0</v>
      </c>
      <c r="K19" s="22" t="n">
        <v>0</v>
      </c>
      <c r="L19" s="22" t="n">
        <v>0</v>
      </c>
      <c r="M19" s="22" t="n">
        <v>0</v>
      </c>
      <c r="N19" s="23">
        <f>SUM(B19:M19)</f>
        <v/>
      </c>
      <c r="O19" s="23">
        <f>IF($A19="","",SUMIFS(Transactions!$F$5:$F$1204,Transactions!$D$5:$D$1204,$A19,Transactions!$C$5:$C$1204,$B$3)+SUMIFS(Transactions!$G$5:$G$1204,Transactions!$D$5:$D$1204,$A19,Transactions!$C$5:$C$1204,$B$3))</f>
        <v/>
      </c>
      <c r="P19" s="24">
        <f>IF($A19="","",N19-O19)</f>
        <v/>
      </c>
    </row>
    <row r="20">
      <c r="A20" s="12">
        <f>Categories!B20</f>
        <v/>
      </c>
      <c r="B20" s="22" t="n">
        <v>0</v>
      </c>
      <c r="C20" s="22" t="n">
        <v>0</v>
      </c>
      <c r="D20" s="22" t="n">
        <v>0</v>
      </c>
      <c r="E20" s="22" t="n">
        <v>0</v>
      </c>
      <c r="F20" s="22" t="n">
        <v>0</v>
      </c>
      <c r="G20" s="22" t="n">
        <v>0</v>
      </c>
      <c r="H20" s="22" t="n">
        <v>0</v>
      </c>
      <c r="I20" s="22" t="n">
        <v>0</v>
      </c>
      <c r="J20" s="22" t="n">
        <v>0</v>
      </c>
      <c r="K20" s="22" t="n">
        <v>0</v>
      </c>
      <c r="L20" s="22" t="n">
        <v>0</v>
      </c>
      <c r="M20" s="22" t="n">
        <v>0</v>
      </c>
      <c r="N20" s="23">
        <f>SUM(B20:M20)</f>
        <v/>
      </c>
      <c r="O20" s="23">
        <f>IF($A20="","",SUMIFS(Transactions!$F$5:$F$1204,Transactions!$D$5:$D$1204,$A20,Transactions!$C$5:$C$1204,$B$3)+SUMIFS(Transactions!$G$5:$G$1204,Transactions!$D$5:$D$1204,$A20,Transactions!$C$5:$C$1204,$B$3))</f>
        <v/>
      </c>
      <c r="P20" s="24">
        <f>IF($A20="","",N20-O20)</f>
        <v/>
      </c>
    </row>
    <row r="21">
      <c r="A21" s="12">
        <f>Categories!B21</f>
        <v/>
      </c>
      <c r="B21" s="22" t="n">
        <v>0</v>
      </c>
      <c r="C21" s="22" t="n">
        <v>0</v>
      </c>
      <c r="D21" s="22" t="n">
        <v>0</v>
      </c>
      <c r="E21" s="22" t="n">
        <v>0</v>
      </c>
      <c r="F21" s="22" t="n">
        <v>0</v>
      </c>
      <c r="G21" s="22" t="n">
        <v>0</v>
      </c>
      <c r="H21" s="22" t="n">
        <v>0</v>
      </c>
      <c r="I21" s="22" t="n">
        <v>0</v>
      </c>
      <c r="J21" s="22" t="n">
        <v>0</v>
      </c>
      <c r="K21" s="22" t="n">
        <v>0</v>
      </c>
      <c r="L21" s="22" t="n">
        <v>0</v>
      </c>
      <c r="M21" s="22" t="n">
        <v>0</v>
      </c>
      <c r="N21" s="23">
        <f>SUM(B21:M21)</f>
        <v/>
      </c>
      <c r="O21" s="23">
        <f>IF($A21="","",SUMIFS(Transactions!$F$5:$F$1204,Transactions!$D$5:$D$1204,$A21,Transactions!$C$5:$C$1204,$B$3)+SUMIFS(Transactions!$G$5:$G$1204,Transactions!$D$5:$D$1204,$A21,Transactions!$C$5:$C$1204,$B$3))</f>
        <v/>
      </c>
      <c r="P21" s="24">
        <f>IF($A21="","",N21-O21)</f>
        <v/>
      </c>
    </row>
    <row r="22">
      <c r="A22" s="12">
        <f>Categories!B22</f>
        <v/>
      </c>
      <c r="B22" s="22" t="n">
        <v>0</v>
      </c>
      <c r="C22" s="22" t="n">
        <v>0</v>
      </c>
      <c r="D22" s="22" t="n">
        <v>0</v>
      </c>
      <c r="E22" s="22" t="n">
        <v>0</v>
      </c>
      <c r="F22" s="22" t="n">
        <v>0</v>
      </c>
      <c r="G22" s="22" t="n">
        <v>0</v>
      </c>
      <c r="H22" s="22" t="n">
        <v>0</v>
      </c>
      <c r="I22" s="22" t="n">
        <v>0</v>
      </c>
      <c r="J22" s="22" t="n">
        <v>0</v>
      </c>
      <c r="K22" s="22" t="n">
        <v>0</v>
      </c>
      <c r="L22" s="22" t="n">
        <v>0</v>
      </c>
      <c r="M22" s="22" t="n">
        <v>0</v>
      </c>
      <c r="N22" s="23">
        <f>SUM(B22:M22)</f>
        <v/>
      </c>
      <c r="O22" s="23">
        <f>IF($A22="","",SUMIFS(Transactions!$F$5:$F$1204,Transactions!$D$5:$D$1204,$A22,Transactions!$C$5:$C$1204,$B$3)+SUMIFS(Transactions!$G$5:$G$1204,Transactions!$D$5:$D$1204,$A22,Transactions!$C$5:$C$1204,$B$3))</f>
        <v/>
      </c>
      <c r="P22" s="24">
        <f>IF($A22="","",N22-O22)</f>
        <v/>
      </c>
    </row>
    <row r="23">
      <c r="A23" s="12">
        <f>Categories!B23</f>
        <v/>
      </c>
      <c r="B23" s="22" t="n">
        <v>0</v>
      </c>
      <c r="C23" s="22" t="n">
        <v>0</v>
      </c>
      <c r="D23" s="22" t="n">
        <v>0</v>
      </c>
      <c r="E23" s="22" t="n">
        <v>0</v>
      </c>
      <c r="F23" s="22" t="n">
        <v>0</v>
      </c>
      <c r="G23" s="22" t="n">
        <v>0</v>
      </c>
      <c r="H23" s="22" t="n">
        <v>0</v>
      </c>
      <c r="I23" s="22" t="n">
        <v>0</v>
      </c>
      <c r="J23" s="22" t="n">
        <v>0</v>
      </c>
      <c r="K23" s="22" t="n">
        <v>0</v>
      </c>
      <c r="L23" s="22" t="n">
        <v>0</v>
      </c>
      <c r="M23" s="22" t="n">
        <v>0</v>
      </c>
      <c r="N23" s="23">
        <f>SUM(B23:M23)</f>
        <v/>
      </c>
      <c r="O23" s="23">
        <f>IF($A23="","",SUMIFS(Transactions!$F$5:$F$1204,Transactions!$D$5:$D$1204,$A23,Transactions!$C$5:$C$1204,$B$3)+SUMIFS(Transactions!$G$5:$G$1204,Transactions!$D$5:$D$1204,$A23,Transactions!$C$5:$C$1204,$B$3))</f>
        <v/>
      </c>
      <c r="P23" s="24">
        <f>IF($A23="","",N23-O23)</f>
        <v/>
      </c>
    </row>
    <row r="24">
      <c r="A24" s="12">
        <f>Categories!B24</f>
        <v/>
      </c>
      <c r="B24" s="22" t="n">
        <v>0</v>
      </c>
      <c r="C24" s="22" t="n">
        <v>0</v>
      </c>
      <c r="D24" s="22" t="n">
        <v>0</v>
      </c>
      <c r="E24" s="22" t="n">
        <v>0</v>
      </c>
      <c r="F24" s="22" t="n">
        <v>0</v>
      </c>
      <c r="G24" s="22" t="n">
        <v>0</v>
      </c>
      <c r="H24" s="22" t="n">
        <v>0</v>
      </c>
      <c r="I24" s="22" t="n">
        <v>0</v>
      </c>
      <c r="J24" s="22" t="n">
        <v>0</v>
      </c>
      <c r="K24" s="22" t="n">
        <v>0</v>
      </c>
      <c r="L24" s="22" t="n">
        <v>0</v>
      </c>
      <c r="M24" s="22" t="n">
        <v>0</v>
      </c>
      <c r="N24" s="23">
        <f>SUM(B24:M24)</f>
        <v/>
      </c>
      <c r="O24" s="23">
        <f>IF($A24="","",SUMIFS(Transactions!$F$5:$F$1204,Transactions!$D$5:$D$1204,$A24,Transactions!$C$5:$C$1204,$B$3)+SUMIFS(Transactions!$G$5:$G$1204,Transactions!$D$5:$D$1204,$A24,Transactions!$C$5:$C$1204,$B$3))</f>
        <v/>
      </c>
      <c r="P24" s="24">
        <f>IF($A24="","",N24-O24)</f>
        <v/>
      </c>
    </row>
    <row r="25">
      <c r="A25" s="12">
        <f>Categories!B25</f>
        <v/>
      </c>
      <c r="B25" s="22" t="n">
        <v>0</v>
      </c>
      <c r="C25" s="22" t="n">
        <v>0</v>
      </c>
      <c r="D25" s="22" t="n">
        <v>0</v>
      </c>
      <c r="E25" s="22" t="n">
        <v>0</v>
      </c>
      <c r="F25" s="22" t="n">
        <v>0</v>
      </c>
      <c r="G25" s="22" t="n">
        <v>0</v>
      </c>
      <c r="H25" s="22" t="n">
        <v>0</v>
      </c>
      <c r="I25" s="22" t="n">
        <v>0</v>
      </c>
      <c r="J25" s="22" t="n">
        <v>0</v>
      </c>
      <c r="K25" s="22" t="n">
        <v>0</v>
      </c>
      <c r="L25" s="22" t="n">
        <v>0</v>
      </c>
      <c r="M25" s="22" t="n">
        <v>0</v>
      </c>
      <c r="N25" s="23">
        <f>SUM(B25:M25)</f>
        <v/>
      </c>
      <c r="O25" s="23">
        <f>IF($A25="","",SUMIFS(Transactions!$F$5:$F$1204,Transactions!$D$5:$D$1204,$A25,Transactions!$C$5:$C$1204,$B$3)+SUMIFS(Transactions!$G$5:$G$1204,Transactions!$D$5:$D$1204,$A25,Transactions!$C$5:$C$1204,$B$3))</f>
        <v/>
      </c>
      <c r="P25" s="24">
        <f>IF($A25="","",N25-O25)</f>
        <v/>
      </c>
    </row>
    <row r="26">
      <c r="A26" s="12">
        <f>Categories!B26</f>
        <v/>
      </c>
      <c r="B26" s="22" t="n">
        <v>0</v>
      </c>
      <c r="C26" s="22" t="n">
        <v>0</v>
      </c>
      <c r="D26" s="22" t="n">
        <v>0</v>
      </c>
      <c r="E26" s="22" t="n">
        <v>0</v>
      </c>
      <c r="F26" s="22" t="n">
        <v>0</v>
      </c>
      <c r="G26" s="22" t="n">
        <v>0</v>
      </c>
      <c r="H26" s="22" t="n">
        <v>0</v>
      </c>
      <c r="I26" s="22" t="n">
        <v>0</v>
      </c>
      <c r="J26" s="22" t="n">
        <v>0</v>
      </c>
      <c r="K26" s="22" t="n">
        <v>0</v>
      </c>
      <c r="L26" s="22" t="n">
        <v>0</v>
      </c>
      <c r="M26" s="22" t="n">
        <v>0</v>
      </c>
      <c r="N26" s="23">
        <f>SUM(B26:M26)</f>
        <v/>
      </c>
      <c r="O26" s="23">
        <f>IF($A26="","",SUMIFS(Transactions!$F$5:$F$1204,Transactions!$D$5:$D$1204,$A26,Transactions!$C$5:$C$1204,$B$3)+SUMIFS(Transactions!$G$5:$G$1204,Transactions!$D$5:$D$1204,$A26,Transactions!$C$5:$C$1204,$B$3))</f>
        <v/>
      </c>
      <c r="P26" s="24">
        <f>IF($A26="","",N26-O26)</f>
        <v/>
      </c>
    </row>
    <row r="27">
      <c r="A27" s="12">
        <f>Categories!B27</f>
        <v/>
      </c>
      <c r="B27" s="22" t="n">
        <v>0</v>
      </c>
      <c r="C27" s="22" t="n">
        <v>0</v>
      </c>
      <c r="D27" s="22" t="n">
        <v>0</v>
      </c>
      <c r="E27" s="22" t="n">
        <v>0</v>
      </c>
      <c r="F27" s="22" t="n">
        <v>0</v>
      </c>
      <c r="G27" s="22" t="n">
        <v>0</v>
      </c>
      <c r="H27" s="22" t="n">
        <v>0</v>
      </c>
      <c r="I27" s="22" t="n">
        <v>0</v>
      </c>
      <c r="J27" s="22" t="n">
        <v>0</v>
      </c>
      <c r="K27" s="22" t="n">
        <v>0</v>
      </c>
      <c r="L27" s="22" t="n">
        <v>0</v>
      </c>
      <c r="M27" s="22" t="n">
        <v>0</v>
      </c>
      <c r="N27" s="23">
        <f>SUM(B27:M27)</f>
        <v/>
      </c>
      <c r="O27" s="23">
        <f>IF($A27="","",SUMIFS(Transactions!$F$5:$F$1204,Transactions!$D$5:$D$1204,$A27,Transactions!$C$5:$C$1204,$B$3)+SUMIFS(Transactions!$G$5:$G$1204,Transactions!$D$5:$D$1204,$A27,Transactions!$C$5:$C$1204,$B$3))</f>
        <v/>
      </c>
      <c r="P27" s="24">
        <f>IF($A27="","",N27-O27)</f>
        <v/>
      </c>
    </row>
    <row r="28">
      <c r="A28" s="12">
        <f>Categories!B28</f>
        <v/>
      </c>
      <c r="B28" s="22" t="n">
        <v>0</v>
      </c>
      <c r="C28" s="22" t="n">
        <v>0</v>
      </c>
      <c r="D28" s="22" t="n">
        <v>0</v>
      </c>
      <c r="E28" s="22" t="n">
        <v>0</v>
      </c>
      <c r="F28" s="22" t="n">
        <v>0</v>
      </c>
      <c r="G28" s="22" t="n">
        <v>0</v>
      </c>
      <c r="H28" s="22" t="n">
        <v>0</v>
      </c>
      <c r="I28" s="22" t="n">
        <v>0</v>
      </c>
      <c r="J28" s="22" t="n">
        <v>0</v>
      </c>
      <c r="K28" s="22" t="n">
        <v>0</v>
      </c>
      <c r="L28" s="22" t="n">
        <v>0</v>
      </c>
      <c r="M28" s="22" t="n">
        <v>0</v>
      </c>
      <c r="N28" s="23">
        <f>SUM(B28:M28)</f>
        <v/>
      </c>
      <c r="O28" s="23">
        <f>IF($A28="","",SUMIFS(Transactions!$F$5:$F$1204,Transactions!$D$5:$D$1204,$A28,Transactions!$C$5:$C$1204,$B$3)+SUMIFS(Transactions!$G$5:$G$1204,Transactions!$D$5:$D$1204,$A28,Transactions!$C$5:$C$1204,$B$3))</f>
        <v/>
      </c>
      <c r="P28" s="24">
        <f>IF($A28="","",N28-O28)</f>
        <v/>
      </c>
    </row>
    <row r="29">
      <c r="A29" s="12">
        <f>Categories!B29</f>
        <v/>
      </c>
      <c r="B29" s="22" t="n">
        <v>0</v>
      </c>
      <c r="C29" s="22" t="n">
        <v>0</v>
      </c>
      <c r="D29" s="22" t="n">
        <v>0</v>
      </c>
      <c r="E29" s="22" t="n">
        <v>0</v>
      </c>
      <c r="F29" s="22" t="n">
        <v>0</v>
      </c>
      <c r="G29" s="22" t="n">
        <v>0</v>
      </c>
      <c r="H29" s="22" t="n">
        <v>0</v>
      </c>
      <c r="I29" s="22" t="n">
        <v>0</v>
      </c>
      <c r="J29" s="22" t="n">
        <v>0</v>
      </c>
      <c r="K29" s="22" t="n">
        <v>0</v>
      </c>
      <c r="L29" s="22" t="n">
        <v>0</v>
      </c>
      <c r="M29" s="22" t="n">
        <v>0</v>
      </c>
      <c r="N29" s="23">
        <f>SUM(B29:M29)</f>
        <v/>
      </c>
      <c r="O29" s="23">
        <f>IF($A29="","",SUMIFS(Transactions!$F$5:$F$1204,Transactions!$D$5:$D$1204,$A29,Transactions!$C$5:$C$1204,$B$3)+SUMIFS(Transactions!$G$5:$G$1204,Transactions!$D$5:$D$1204,$A29,Transactions!$C$5:$C$1204,$B$3))</f>
        <v/>
      </c>
      <c r="P29" s="24">
        <f>IF($A29="","",N29-O29)</f>
        <v/>
      </c>
    </row>
    <row r="30">
      <c r="A30" s="12">
        <f>Categories!B30</f>
        <v/>
      </c>
      <c r="B30" s="22" t="n">
        <v>0</v>
      </c>
      <c r="C30" s="22" t="n">
        <v>0</v>
      </c>
      <c r="D30" s="22" t="n">
        <v>0</v>
      </c>
      <c r="E30" s="22" t="n">
        <v>0</v>
      </c>
      <c r="F30" s="22" t="n">
        <v>0</v>
      </c>
      <c r="G30" s="22" t="n">
        <v>0</v>
      </c>
      <c r="H30" s="22" t="n">
        <v>0</v>
      </c>
      <c r="I30" s="22" t="n">
        <v>0</v>
      </c>
      <c r="J30" s="22" t="n">
        <v>0</v>
      </c>
      <c r="K30" s="22" t="n">
        <v>0</v>
      </c>
      <c r="L30" s="22" t="n">
        <v>0</v>
      </c>
      <c r="M30" s="22" t="n">
        <v>0</v>
      </c>
      <c r="N30" s="23">
        <f>SUM(B30:M30)</f>
        <v/>
      </c>
      <c r="O30" s="23">
        <f>IF($A30="","",SUMIFS(Transactions!$F$5:$F$1204,Transactions!$D$5:$D$1204,$A30,Transactions!$C$5:$C$1204,$B$3)+SUMIFS(Transactions!$G$5:$G$1204,Transactions!$D$5:$D$1204,$A30,Transactions!$C$5:$C$1204,$B$3))</f>
        <v/>
      </c>
      <c r="P30" s="24">
        <f>IF($A30="","",N30-O30)</f>
        <v/>
      </c>
    </row>
    <row r="31">
      <c r="A31" s="12">
        <f>Categories!B31</f>
        <v/>
      </c>
      <c r="B31" s="22" t="n">
        <v>0</v>
      </c>
      <c r="C31" s="22" t="n">
        <v>0</v>
      </c>
      <c r="D31" s="22" t="n">
        <v>0</v>
      </c>
      <c r="E31" s="22" t="n">
        <v>0</v>
      </c>
      <c r="F31" s="22" t="n">
        <v>0</v>
      </c>
      <c r="G31" s="22" t="n">
        <v>0</v>
      </c>
      <c r="H31" s="22" t="n">
        <v>0</v>
      </c>
      <c r="I31" s="22" t="n">
        <v>0</v>
      </c>
      <c r="J31" s="22" t="n">
        <v>0</v>
      </c>
      <c r="K31" s="22" t="n">
        <v>0</v>
      </c>
      <c r="L31" s="22" t="n">
        <v>0</v>
      </c>
      <c r="M31" s="22" t="n">
        <v>0</v>
      </c>
      <c r="N31" s="23">
        <f>SUM(B31:M31)</f>
        <v/>
      </c>
      <c r="O31" s="23">
        <f>IF($A31="","",SUMIFS(Transactions!$F$5:$F$1204,Transactions!$D$5:$D$1204,$A31,Transactions!$C$5:$C$1204,$B$3)+SUMIFS(Transactions!$G$5:$G$1204,Transactions!$D$5:$D$1204,$A31,Transactions!$C$5:$C$1204,$B$3))</f>
        <v/>
      </c>
      <c r="P31" s="24">
        <f>IF($A31="","",N31-O31)</f>
        <v/>
      </c>
    </row>
    <row r="32">
      <c r="A32" s="12">
        <f>Categories!B32</f>
        <v/>
      </c>
      <c r="B32" s="22" t="n">
        <v>0</v>
      </c>
      <c r="C32" s="22" t="n">
        <v>0</v>
      </c>
      <c r="D32" s="22" t="n">
        <v>0</v>
      </c>
      <c r="E32" s="22" t="n">
        <v>0</v>
      </c>
      <c r="F32" s="22" t="n">
        <v>0</v>
      </c>
      <c r="G32" s="22" t="n">
        <v>0</v>
      </c>
      <c r="H32" s="22" t="n">
        <v>0</v>
      </c>
      <c r="I32" s="22" t="n">
        <v>0</v>
      </c>
      <c r="J32" s="22" t="n">
        <v>0</v>
      </c>
      <c r="K32" s="22" t="n">
        <v>0</v>
      </c>
      <c r="L32" s="22" t="n">
        <v>0</v>
      </c>
      <c r="M32" s="22" t="n">
        <v>0</v>
      </c>
      <c r="N32" s="23">
        <f>SUM(B32:M32)</f>
        <v/>
      </c>
      <c r="O32" s="23">
        <f>IF($A32="","",SUMIFS(Transactions!$F$5:$F$1204,Transactions!$D$5:$D$1204,$A32,Transactions!$C$5:$C$1204,$B$3)+SUMIFS(Transactions!$G$5:$G$1204,Transactions!$D$5:$D$1204,$A32,Transactions!$C$5:$C$1204,$B$3))</f>
        <v/>
      </c>
      <c r="P32" s="24">
        <f>IF($A32="","",N32-O32)</f>
        <v/>
      </c>
    </row>
    <row r="33">
      <c r="A33" s="12">
        <f>Categories!B33</f>
        <v/>
      </c>
      <c r="B33" s="22" t="n">
        <v>0</v>
      </c>
      <c r="C33" s="22" t="n">
        <v>0</v>
      </c>
      <c r="D33" s="22" t="n">
        <v>0</v>
      </c>
      <c r="E33" s="22" t="n">
        <v>0</v>
      </c>
      <c r="F33" s="22" t="n">
        <v>0</v>
      </c>
      <c r="G33" s="22" t="n">
        <v>0</v>
      </c>
      <c r="H33" s="22" t="n">
        <v>0</v>
      </c>
      <c r="I33" s="22" t="n">
        <v>0</v>
      </c>
      <c r="J33" s="22" t="n">
        <v>0</v>
      </c>
      <c r="K33" s="22" t="n">
        <v>0</v>
      </c>
      <c r="L33" s="22" t="n">
        <v>0</v>
      </c>
      <c r="M33" s="22" t="n">
        <v>0</v>
      </c>
      <c r="N33" s="23">
        <f>SUM(B33:M33)</f>
        <v/>
      </c>
      <c r="O33" s="23">
        <f>IF($A33="","",SUMIFS(Transactions!$F$5:$F$1204,Transactions!$D$5:$D$1204,$A33,Transactions!$C$5:$C$1204,$B$3)+SUMIFS(Transactions!$G$5:$G$1204,Transactions!$D$5:$D$1204,$A33,Transactions!$C$5:$C$1204,$B$3))</f>
        <v/>
      </c>
      <c r="P33" s="24">
        <f>IF($A33="","",N33-O33)</f>
        <v/>
      </c>
    </row>
    <row r="34">
      <c r="A34" s="12">
        <f>Categories!B34</f>
        <v/>
      </c>
      <c r="B34" s="22" t="n">
        <v>0</v>
      </c>
      <c r="C34" s="22" t="n">
        <v>0</v>
      </c>
      <c r="D34" s="22" t="n">
        <v>0</v>
      </c>
      <c r="E34" s="22" t="n">
        <v>0</v>
      </c>
      <c r="F34" s="22" t="n">
        <v>0</v>
      </c>
      <c r="G34" s="22" t="n">
        <v>0</v>
      </c>
      <c r="H34" s="22" t="n">
        <v>0</v>
      </c>
      <c r="I34" s="22" t="n">
        <v>0</v>
      </c>
      <c r="J34" s="22" t="n">
        <v>0</v>
      </c>
      <c r="K34" s="22" t="n">
        <v>0</v>
      </c>
      <c r="L34" s="22" t="n">
        <v>0</v>
      </c>
      <c r="M34" s="22" t="n">
        <v>0</v>
      </c>
      <c r="N34" s="23">
        <f>SUM(B34:M34)</f>
        <v/>
      </c>
      <c r="O34" s="23">
        <f>IF($A34="","",SUMIFS(Transactions!$F$5:$F$1204,Transactions!$D$5:$D$1204,$A34,Transactions!$C$5:$C$1204,$B$3)+SUMIFS(Transactions!$G$5:$G$1204,Transactions!$D$5:$D$1204,$A34,Transactions!$C$5:$C$1204,$B$3))</f>
        <v/>
      </c>
      <c r="P34" s="24">
        <f>IF($A34="","",N34-O34)</f>
        <v/>
      </c>
    </row>
    <row r="35">
      <c r="A35" s="12">
        <f>Categories!B35</f>
        <v/>
      </c>
      <c r="B35" s="22" t="n">
        <v>0</v>
      </c>
      <c r="C35" s="22" t="n">
        <v>0</v>
      </c>
      <c r="D35" s="22" t="n">
        <v>0</v>
      </c>
      <c r="E35" s="22" t="n">
        <v>0</v>
      </c>
      <c r="F35" s="22" t="n">
        <v>0</v>
      </c>
      <c r="G35" s="22" t="n">
        <v>0</v>
      </c>
      <c r="H35" s="22" t="n">
        <v>0</v>
      </c>
      <c r="I35" s="22" t="n">
        <v>0</v>
      </c>
      <c r="J35" s="22" t="n">
        <v>0</v>
      </c>
      <c r="K35" s="22" t="n">
        <v>0</v>
      </c>
      <c r="L35" s="22" t="n">
        <v>0</v>
      </c>
      <c r="M35" s="22" t="n">
        <v>0</v>
      </c>
      <c r="N35" s="23">
        <f>SUM(B35:M35)</f>
        <v/>
      </c>
      <c r="O35" s="23">
        <f>IF($A35="","",SUMIFS(Transactions!$F$5:$F$1204,Transactions!$D$5:$D$1204,$A35,Transactions!$C$5:$C$1204,$B$3)+SUMIFS(Transactions!$G$5:$G$1204,Transactions!$D$5:$D$1204,$A35,Transactions!$C$5:$C$1204,$B$3))</f>
        <v/>
      </c>
      <c r="P35" s="24">
        <f>IF($A35="","",N35-O35)</f>
        <v/>
      </c>
    </row>
    <row r="36">
      <c r="A36" s="12">
        <f>Categories!B36</f>
        <v/>
      </c>
      <c r="B36" s="22" t="n">
        <v>0</v>
      </c>
      <c r="C36" s="22" t="n">
        <v>0</v>
      </c>
      <c r="D36" s="22" t="n">
        <v>0</v>
      </c>
      <c r="E36" s="22" t="n">
        <v>0</v>
      </c>
      <c r="F36" s="22" t="n">
        <v>0</v>
      </c>
      <c r="G36" s="22" t="n">
        <v>0</v>
      </c>
      <c r="H36" s="22" t="n">
        <v>0</v>
      </c>
      <c r="I36" s="22" t="n">
        <v>0</v>
      </c>
      <c r="J36" s="22" t="n">
        <v>0</v>
      </c>
      <c r="K36" s="22" t="n">
        <v>0</v>
      </c>
      <c r="L36" s="22" t="n">
        <v>0</v>
      </c>
      <c r="M36" s="22" t="n">
        <v>0</v>
      </c>
      <c r="N36" s="23">
        <f>SUM(B36:M36)</f>
        <v/>
      </c>
      <c r="O36" s="23">
        <f>IF($A36="","",SUMIFS(Transactions!$F$5:$F$1204,Transactions!$D$5:$D$1204,$A36,Transactions!$C$5:$C$1204,$B$3)+SUMIFS(Transactions!$G$5:$G$1204,Transactions!$D$5:$D$1204,$A36,Transactions!$C$5:$C$1204,$B$3))</f>
        <v/>
      </c>
      <c r="P36" s="24">
        <f>IF($A36="","",N36-O36)</f>
        <v/>
      </c>
    </row>
    <row r="37">
      <c r="A37" s="12">
        <f>Categories!B37</f>
        <v/>
      </c>
      <c r="B37" s="22" t="n">
        <v>0</v>
      </c>
      <c r="C37" s="22" t="n">
        <v>0</v>
      </c>
      <c r="D37" s="22" t="n">
        <v>0</v>
      </c>
      <c r="E37" s="22" t="n">
        <v>0</v>
      </c>
      <c r="F37" s="22" t="n">
        <v>0</v>
      </c>
      <c r="G37" s="22" t="n">
        <v>0</v>
      </c>
      <c r="H37" s="22" t="n">
        <v>0</v>
      </c>
      <c r="I37" s="22" t="n">
        <v>0</v>
      </c>
      <c r="J37" s="22" t="n">
        <v>0</v>
      </c>
      <c r="K37" s="22" t="n">
        <v>0</v>
      </c>
      <c r="L37" s="22" t="n">
        <v>0</v>
      </c>
      <c r="M37" s="22" t="n">
        <v>0</v>
      </c>
      <c r="N37" s="23">
        <f>SUM(B37:M37)</f>
        <v/>
      </c>
      <c r="O37" s="23">
        <f>IF($A37="","",SUMIFS(Transactions!$F$5:$F$1204,Transactions!$D$5:$D$1204,$A37,Transactions!$C$5:$C$1204,$B$3)+SUMIFS(Transactions!$G$5:$G$1204,Transactions!$D$5:$D$1204,$A37,Transactions!$C$5:$C$1204,$B$3))</f>
        <v/>
      </c>
      <c r="P37" s="24">
        <f>IF($A37="","",N37-O37)</f>
        <v/>
      </c>
    </row>
    <row r="38">
      <c r="A38" s="12">
        <f>Categories!B38</f>
        <v/>
      </c>
      <c r="B38" s="22" t="n">
        <v>0</v>
      </c>
      <c r="C38" s="22" t="n">
        <v>0</v>
      </c>
      <c r="D38" s="22" t="n">
        <v>0</v>
      </c>
      <c r="E38" s="22" t="n">
        <v>0</v>
      </c>
      <c r="F38" s="22" t="n">
        <v>0</v>
      </c>
      <c r="G38" s="22" t="n">
        <v>0</v>
      </c>
      <c r="H38" s="22" t="n">
        <v>0</v>
      </c>
      <c r="I38" s="22" t="n">
        <v>0</v>
      </c>
      <c r="J38" s="22" t="n">
        <v>0</v>
      </c>
      <c r="K38" s="22" t="n">
        <v>0</v>
      </c>
      <c r="L38" s="22" t="n">
        <v>0</v>
      </c>
      <c r="M38" s="22" t="n">
        <v>0</v>
      </c>
      <c r="N38" s="23">
        <f>SUM(B38:M38)</f>
        <v/>
      </c>
      <c r="O38" s="23">
        <f>IF($A38="","",SUMIFS(Transactions!$F$5:$F$1204,Transactions!$D$5:$D$1204,$A38,Transactions!$C$5:$C$1204,$B$3)+SUMIFS(Transactions!$G$5:$G$1204,Transactions!$D$5:$D$1204,$A38,Transactions!$C$5:$C$1204,$B$3))</f>
        <v/>
      </c>
      <c r="P38" s="24">
        <f>IF($A38="","",N38-O38)</f>
        <v/>
      </c>
    </row>
    <row r="39">
      <c r="A39" s="12">
        <f>Categories!B39</f>
        <v/>
      </c>
      <c r="B39" s="22" t="n">
        <v>0</v>
      </c>
      <c r="C39" s="22" t="n">
        <v>0</v>
      </c>
      <c r="D39" s="22" t="n">
        <v>0</v>
      </c>
      <c r="E39" s="22" t="n">
        <v>0</v>
      </c>
      <c r="F39" s="22" t="n">
        <v>0</v>
      </c>
      <c r="G39" s="22" t="n">
        <v>0</v>
      </c>
      <c r="H39" s="22" t="n">
        <v>0</v>
      </c>
      <c r="I39" s="22" t="n">
        <v>0</v>
      </c>
      <c r="J39" s="22" t="n">
        <v>0</v>
      </c>
      <c r="K39" s="22" t="n">
        <v>0</v>
      </c>
      <c r="L39" s="22" t="n">
        <v>0</v>
      </c>
      <c r="M39" s="22" t="n">
        <v>0</v>
      </c>
      <c r="N39" s="23">
        <f>SUM(B39:M39)</f>
        <v/>
      </c>
      <c r="O39" s="23">
        <f>IF($A39="","",SUMIFS(Transactions!$F$5:$F$1204,Transactions!$D$5:$D$1204,$A39,Transactions!$C$5:$C$1204,$B$3)+SUMIFS(Transactions!$G$5:$G$1204,Transactions!$D$5:$D$1204,$A39,Transactions!$C$5:$C$1204,$B$3))</f>
        <v/>
      </c>
      <c r="P39" s="24">
        <f>IF($A39="","",N39-O39)</f>
        <v/>
      </c>
    </row>
    <row r="40">
      <c r="A40" s="12">
        <f>Categories!B40</f>
        <v/>
      </c>
      <c r="B40" s="22" t="n">
        <v>0</v>
      </c>
      <c r="C40" s="22" t="n">
        <v>0</v>
      </c>
      <c r="D40" s="22" t="n">
        <v>0</v>
      </c>
      <c r="E40" s="22" t="n">
        <v>0</v>
      </c>
      <c r="F40" s="22" t="n">
        <v>0</v>
      </c>
      <c r="G40" s="22" t="n">
        <v>0</v>
      </c>
      <c r="H40" s="22" t="n">
        <v>0</v>
      </c>
      <c r="I40" s="22" t="n">
        <v>0</v>
      </c>
      <c r="J40" s="22" t="n">
        <v>0</v>
      </c>
      <c r="K40" s="22" t="n">
        <v>0</v>
      </c>
      <c r="L40" s="22" t="n">
        <v>0</v>
      </c>
      <c r="M40" s="22" t="n">
        <v>0</v>
      </c>
      <c r="N40" s="23">
        <f>SUM(B40:M40)</f>
        <v/>
      </c>
      <c r="O40" s="23">
        <f>IF($A40="","",SUMIFS(Transactions!$F$5:$F$1204,Transactions!$D$5:$D$1204,$A40,Transactions!$C$5:$C$1204,$B$3)+SUMIFS(Transactions!$G$5:$G$1204,Transactions!$D$5:$D$1204,$A40,Transactions!$C$5:$C$1204,$B$3))</f>
        <v/>
      </c>
      <c r="P40" s="24">
        <f>IF($A40="","",N40-O40)</f>
        <v/>
      </c>
    </row>
    <row r="41">
      <c r="A41" s="12">
        <f>Categories!B41</f>
        <v/>
      </c>
      <c r="B41" s="22" t="n">
        <v>0</v>
      </c>
      <c r="C41" s="22" t="n">
        <v>0</v>
      </c>
      <c r="D41" s="22" t="n">
        <v>0</v>
      </c>
      <c r="E41" s="22" t="n">
        <v>0</v>
      </c>
      <c r="F41" s="22" t="n">
        <v>0</v>
      </c>
      <c r="G41" s="22" t="n">
        <v>0</v>
      </c>
      <c r="H41" s="22" t="n">
        <v>0</v>
      </c>
      <c r="I41" s="22" t="n">
        <v>0</v>
      </c>
      <c r="J41" s="22" t="n">
        <v>0</v>
      </c>
      <c r="K41" s="22" t="n">
        <v>0</v>
      </c>
      <c r="L41" s="22" t="n">
        <v>0</v>
      </c>
      <c r="M41" s="22" t="n">
        <v>0</v>
      </c>
      <c r="N41" s="23">
        <f>SUM(B41:M41)</f>
        <v/>
      </c>
      <c r="O41" s="23">
        <f>IF($A41="","",SUMIFS(Transactions!$F$5:$F$1204,Transactions!$D$5:$D$1204,$A41,Transactions!$C$5:$C$1204,$B$3)+SUMIFS(Transactions!$G$5:$G$1204,Transactions!$D$5:$D$1204,$A41,Transactions!$C$5:$C$1204,$B$3))</f>
        <v/>
      </c>
      <c r="P41" s="24">
        <f>IF($A41="","",N41-O41)</f>
        <v/>
      </c>
    </row>
    <row r="42">
      <c r="A42" s="12">
        <f>Categories!B42</f>
        <v/>
      </c>
      <c r="B42" s="22" t="n">
        <v>0</v>
      </c>
      <c r="C42" s="22" t="n">
        <v>0</v>
      </c>
      <c r="D42" s="22" t="n">
        <v>0</v>
      </c>
      <c r="E42" s="22" t="n">
        <v>0</v>
      </c>
      <c r="F42" s="22" t="n">
        <v>0</v>
      </c>
      <c r="G42" s="22" t="n">
        <v>0</v>
      </c>
      <c r="H42" s="22" t="n">
        <v>0</v>
      </c>
      <c r="I42" s="22" t="n">
        <v>0</v>
      </c>
      <c r="J42" s="22" t="n">
        <v>0</v>
      </c>
      <c r="K42" s="22" t="n">
        <v>0</v>
      </c>
      <c r="L42" s="22" t="n">
        <v>0</v>
      </c>
      <c r="M42" s="22" t="n">
        <v>0</v>
      </c>
      <c r="N42" s="23">
        <f>SUM(B42:M42)</f>
        <v/>
      </c>
      <c r="O42" s="23">
        <f>IF($A42="","",SUMIFS(Transactions!$F$5:$F$1204,Transactions!$D$5:$D$1204,$A42,Transactions!$C$5:$C$1204,$B$3)+SUMIFS(Transactions!$G$5:$G$1204,Transactions!$D$5:$D$1204,$A42,Transactions!$C$5:$C$1204,$B$3))</f>
        <v/>
      </c>
      <c r="P42" s="24">
        <f>IF($A42="","",N42-O42)</f>
        <v/>
      </c>
    </row>
    <row r="43">
      <c r="A43" s="12">
        <f>Categories!B43</f>
        <v/>
      </c>
      <c r="B43" s="22" t="n">
        <v>0</v>
      </c>
      <c r="C43" s="22" t="n">
        <v>0</v>
      </c>
      <c r="D43" s="22" t="n">
        <v>0</v>
      </c>
      <c r="E43" s="22" t="n">
        <v>0</v>
      </c>
      <c r="F43" s="22" t="n">
        <v>0</v>
      </c>
      <c r="G43" s="22" t="n">
        <v>0</v>
      </c>
      <c r="H43" s="22" t="n">
        <v>0</v>
      </c>
      <c r="I43" s="22" t="n">
        <v>0</v>
      </c>
      <c r="J43" s="22" t="n">
        <v>0</v>
      </c>
      <c r="K43" s="22" t="n">
        <v>0</v>
      </c>
      <c r="L43" s="22" t="n">
        <v>0</v>
      </c>
      <c r="M43" s="22" t="n">
        <v>0</v>
      </c>
      <c r="N43" s="23">
        <f>SUM(B43:M43)</f>
        <v/>
      </c>
      <c r="O43" s="23">
        <f>IF($A43="","",SUMIFS(Transactions!$F$5:$F$1204,Transactions!$D$5:$D$1204,$A43,Transactions!$C$5:$C$1204,$B$3)+SUMIFS(Transactions!$G$5:$G$1204,Transactions!$D$5:$D$1204,$A43,Transactions!$C$5:$C$1204,$B$3))</f>
        <v/>
      </c>
      <c r="P43" s="24">
        <f>IF($A43="","",N43-O43)</f>
        <v/>
      </c>
    </row>
    <row r="44">
      <c r="A44" s="12">
        <f>Categories!B44</f>
        <v/>
      </c>
      <c r="B44" s="22" t="n">
        <v>0</v>
      </c>
      <c r="C44" s="22" t="n">
        <v>0</v>
      </c>
      <c r="D44" s="22" t="n">
        <v>0</v>
      </c>
      <c r="E44" s="22" t="n">
        <v>0</v>
      </c>
      <c r="F44" s="22" t="n">
        <v>0</v>
      </c>
      <c r="G44" s="22" t="n">
        <v>0</v>
      </c>
      <c r="H44" s="22" t="n">
        <v>0</v>
      </c>
      <c r="I44" s="22" t="n">
        <v>0</v>
      </c>
      <c r="J44" s="22" t="n">
        <v>0</v>
      </c>
      <c r="K44" s="22" t="n">
        <v>0</v>
      </c>
      <c r="L44" s="22" t="n">
        <v>0</v>
      </c>
      <c r="M44" s="22" t="n">
        <v>0</v>
      </c>
      <c r="N44" s="23">
        <f>SUM(B44:M44)</f>
        <v/>
      </c>
      <c r="O44" s="23">
        <f>IF($A44="","",SUMIFS(Transactions!$F$5:$F$1204,Transactions!$D$5:$D$1204,$A44,Transactions!$C$5:$C$1204,$B$3)+SUMIFS(Transactions!$G$5:$G$1204,Transactions!$D$5:$D$1204,$A44,Transactions!$C$5:$C$1204,$B$3))</f>
        <v/>
      </c>
      <c r="P44" s="24">
        <f>IF($A44="","",N44-O44)</f>
        <v/>
      </c>
    </row>
    <row r="45">
      <c r="A45" s="12">
        <f>Categories!B45</f>
        <v/>
      </c>
      <c r="B45" s="22" t="n">
        <v>0</v>
      </c>
      <c r="C45" s="22" t="n">
        <v>0</v>
      </c>
      <c r="D45" s="22" t="n">
        <v>0</v>
      </c>
      <c r="E45" s="22" t="n">
        <v>0</v>
      </c>
      <c r="F45" s="22" t="n">
        <v>0</v>
      </c>
      <c r="G45" s="22" t="n">
        <v>0</v>
      </c>
      <c r="H45" s="22" t="n">
        <v>0</v>
      </c>
      <c r="I45" s="22" t="n">
        <v>0</v>
      </c>
      <c r="J45" s="22" t="n">
        <v>0</v>
      </c>
      <c r="K45" s="22" t="n">
        <v>0</v>
      </c>
      <c r="L45" s="22" t="n">
        <v>0</v>
      </c>
      <c r="M45" s="22" t="n">
        <v>0</v>
      </c>
      <c r="N45" s="23">
        <f>SUM(B45:M45)</f>
        <v/>
      </c>
      <c r="O45" s="23">
        <f>IF($A45="","",SUMIFS(Transactions!$F$5:$F$1204,Transactions!$D$5:$D$1204,$A45,Transactions!$C$5:$C$1204,$B$3)+SUMIFS(Transactions!$G$5:$G$1204,Transactions!$D$5:$D$1204,$A45,Transactions!$C$5:$C$1204,$B$3))</f>
        <v/>
      </c>
      <c r="P45" s="24">
        <f>IF($A45="","",N45-O45)</f>
        <v/>
      </c>
    </row>
    <row r="46">
      <c r="A46" s="12">
        <f>Categories!B46</f>
        <v/>
      </c>
      <c r="B46" s="22" t="n">
        <v>0</v>
      </c>
      <c r="C46" s="22" t="n">
        <v>0</v>
      </c>
      <c r="D46" s="22" t="n">
        <v>0</v>
      </c>
      <c r="E46" s="22" t="n">
        <v>0</v>
      </c>
      <c r="F46" s="22" t="n">
        <v>0</v>
      </c>
      <c r="G46" s="22" t="n">
        <v>0</v>
      </c>
      <c r="H46" s="22" t="n">
        <v>0</v>
      </c>
      <c r="I46" s="22" t="n">
        <v>0</v>
      </c>
      <c r="J46" s="22" t="n">
        <v>0</v>
      </c>
      <c r="K46" s="22" t="n">
        <v>0</v>
      </c>
      <c r="L46" s="22" t="n">
        <v>0</v>
      </c>
      <c r="M46" s="22" t="n">
        <v>0</v>
      </c>
      <c r="N46" s="23">
        <f>SUM(B46:M46)</f>
        <v/>
      </c>
      <c r="O46" s="23">
        <f>IF($A46="","",SUMIFS(Transactions!$F$5:$F$1204,Transactions!$D$5:$D$1204,$A46,Transactions!$C$5:$C$1204,$B$3)+SUMIFS(Transactions!$G$5:$G$1204,Transactions!$D$5:$D$1204,$A46,Transactions!$C$5:$C$1204,$B$3))</f>
        <v/>
      </c>
      <c r="P46" s="24">
        <f>IF($A46="","",N46-O46)</f>
        <v/>
      </c>
    </row>
    <row r="47">
      <c r="A47" s="12">
        <f>Categories!B47</f>
        <v/>
      </c>
      <c r="B47" s="22" t="n">
        <v>0</v>
      </c>
      <c r="C47" s="22" t="n">
        <v>0</v>
      </c>
      <c r="D47" s="22" t="n">
        <v>0</v>
      </c>
      <c r="E47" s="22" t="n">
        <v>0</v>
      </c>
      <c r="F47" s="22" t="n">
        <v>0</v>
      </c>
      <c r="G47" s="22" t="n">
        <v>0</v>
      </c>
      <c r="H47" s="22" t="n">
        <v>0</v>
      </c>
      <c r="I47" s="22" t="n">
        <v>0</v>
      </c>
      <c r="J47" s="22" t="n">
        <v>0</v>
      </c>
      <c r="K47" s="22" t="n">
        <v>0</v>
      </c>
      <c r="L47" s="22" t="n">
        <v>0</v>
      </c>
      <c r="M47" s="22" t="n">
        <v>0</v>
      </c>
      <c r="N47" s="23">
        <f>SUM(B47:M47)</f>
        <v/>
      </c>
      <c r="O47" s="23">
        <f>IF($A47="","",SUMIFS(Transactions!$F$5:$F$1204,Transactions!$D$5:$D$1204,$A47,Transactions!$C$5:$C$1204,$B$3)+SUMIFS(Transactions!$G$5:$G$1204,Transactions!$D$5:$D$1204,$A47,Transactions!$C$5:$C$1204,$B$3))</f>
        <v/>
      </c>
      <c r="P47" s="24">
        <f>IF($A47="","",N47-O47)</f>
        <v/>
      </c>
    </row>
    <row r="48">
      <c r="A48" s="12">
        <f>Categories!B48</f>
        <v/>
      </c>
      <c r="B48" s="22" t="n">
        <v>0</v>
      </c>
      <c r="C48" s="22" t="n">
        <v>0</v>
      </c>
      <c r="D48" s="22" t="n">
        <v>0</v>
      </c>
      <c r="E48" s="22" t="n">
        <v>0</v>
      </c>
      <c r="F48" s="22" t="n">
        <v>0</v>
      </c>
      <c r="G48" s="22" t="n">
        <v>0</v>
      </c>
      <c r="H48" s="22" t="n">
        <v>0</v>
      </c>
      <c r="I48" s="22" t="n">
        <v>0</v>
      </c>
      <c r="J48" s="22" t="n">
        <v>0</v>
      </c>
      <c r="K48" s="22" t="n">
        <v>0</v>
      </c>
      <c r="L48" s="22" t="n">
        <v>0</v>
      </c>
      <c r="M48" s="22" t="n">
        <v>0</v>
      </c>
      <c r="N48" s="23">
        <f>SUM(B48:M48)</f>
        <v/>
      </c>
      <c r="O48" s="23">
        <f>IF($A48="","",SUMIFS(Transactions!$F$5:$F$1204,Transactions!$D$5:$D$1204,$A48,Transactions!$C$5:$C$1204,$B$3)+SUMIFS(Transactions!$G$5:$G$1204,Transactions!$D$5:$D$1204,$A48,Transactions!$C$5:$C$1204,$B$3))</f>
        <v/>
      </c>
      <c r="P48" s="24">
        <f>IF($A48="","",N48-O48)</f>
        <v/>
      </c>
    </row>
    <row r="49">
      <c r="A49" s="12">
        <f>Categories!B49</f>
        <v/>
      </c>
      <c r="B49" s="22" t="n">
        <v>0</v>
      </c>
      <c r="C49" s="22" t="n">
        <v>0</v>
      </c>
      <c r="D49" s="22" t="n">
        <v>0</v>
      </c>
      <c r="E49" s="22" t="n">
        <v>0</v>
      </c>
      <c r="F49" s="22" t="n">
        <v>0</v>
      </c>
      <c r="G49" s="22" t="n">
        <v>0</v>
      </c>
      <c r="H49" s="22" t="n">
        <v>0</v>
      </c>
      <c r="I49" s="22" t="n">
        <v>0</v>
      </c>
      <c r="J49" s="22" t="n">
        <v>0</v>
      </c>
      <c r="K49" s="22" t="n">
        <v>0</v>
      </c>
      <c r="L49" s="22" t="n">
        <v>0</v>
      </c>
      <c r="M49" s="22" t="n">
        <v>0</v>
      </c>
      <c r="N49" s="23">
        <f>SUM(B49:M49)</f>
        <v/>
      </c>
      <c r="O49" s="23">
        <f>IF($A49="","",SUMIFS(Transactions!$F$5:$F$1204,Transactions!$D$5:$D$1204,$A49,Transactions!$C$5:$C$1204,$B$3)+SUMIFS(Transactions!$G$5:$G$1204,Transactions!$D$5:$D$1204,$A49,Transactions!$C$5:$C$1204,$B$3))</f>
        <v/>
      </c>
      <c r="P49" s="24">
        <f>IF($A49="","",N49-O49)</f>
        <v/>
      </c>
    </row>
    <row r="50">
      <c r="A50" s="12">
        <f>Categories!B50</f>
        <v/>
      </c>
      <c r="B50" s="22" t="n">
        <v>0</v>
      </c>
      <c r="C50" s="22" t="n">
        <v>0</v>
      </c>
      <c r="D50" s="22" t="n">
        <v>0</v>
      </c>
      <c r="E50" s="22" t="n">
        <v>0</v>
      </c>
      <c r="F50" s="22" t="n">
        <v>0</v>
      </c>
      <c r="G50" s="22" t="n">
        <v>0</v>
      </c>
      <c r="H50" s="22" t="n">
        <v>0</v>
      </c>
      <c r="I50" s="22" t="n">
        <v>0</v>
      </c>
      <c r="J50" s="22" t="n">
        <v>0</v>
      </c>
      <c r="K50" s="22" t="n">
        <v>0</v>
      </c>
      <c r="L50" s="22" t="n">
        <v>0</v>
      </c>
      <c r="M50" s="22" t="n">
        <v>0</v>
      </c>
      <c r="N50" s="23">
        <f>SUM(B50:M50)</f>
        <v/>
      </c>
      <c r="O50" s="23">
        <f>IF($A50="","",SUMIFS(Transactions!$F$5:$F$1204,Transactions!$D$5:$D$1204,$A50,Transactions!$C$5:$C$1204,$B$3)+SUMIFS(Transactions!$G$5:$G$1204,Transactions!$D$5:$D$1204,$A50,Transactions!$C$5:$C$1204,$B$3))</f>
        <v/>
      </c>
      <c r="P50" s="24">
        <f>IF($A50="","",N50-O50)</f>
        <v/>
      </c>
    </row>
    <row r="51">
      <c r="A51" s="12">
        <f>Categories!B51</f>
        <v/>
      </c>
      <c r="B51" s="22" t="n">
        <v>0</v>
      </c>
      <c r="C51" s="22" t="n">
        <v>0</v>
      </c>
      <c r="D51" s="22" t="n">
        <v>0</v>
      </c>
      <c r="E51" s="22" t="n">
        <v>0</v>
      </c>
      <c r="F51" s="22" t="n">
        <v>0</v>
      </c>
      <c r="G51" s="22" t="n">
        <v>0</v>
      </c>
      <c r="H51" s="22" t="n">
        <v>0</v>
      </c>
      <c r="I51" s="22" t="n">
        <v>0</v>
      </c>
      <c r="J51" s="22" t="n">
        <v>0</v>
      </c>
      <c r="K51" s="22" t="n">
        <v>0</v>
      </c>
      <c r="L51" s="22" t="n">
        <v>0</v>
      </c>
      <c r="M51" s="22" t="n">
        <v>0</v>
      </c>
      <c r="N51" s="23">
        <f>SUM(B51:M51)</f>
        <v/>
      </c>
      <c r="O51" s="23">
        <f>IF($A51="","",SUMIFS(Transactions!$F$5:$F$1204,Transactions!$D$5:$D$1204,$A51,Transactions!$C$5:$C$1204,$B$3)+SUMIFS(Transactions!$G$5:$G$1204,Transactions!$D$5:$D$1204,$A51,Transactions!$C$5:$C$1204,$B$3))</f>
        <v/>
      </c>
      <c r="P51" s="24">
        <f>IF($A51="","",N51-O51)</f>
        <v/>
      </c>
    </row>
    <row r="52">
      <c r="A52" s="12">
        <f>Categories!B52</f>
        <v/>
      </c>
      <c r="B52" s="22" t="n">
        <v>0</v>
      </c>
      <c r="C52" s="22" t="n">
        <v>0</v>
      </c>
      <c r="D52" s="22" t="n">
        <v>0</v>
      </c>
      <c r="E52" s="22" t="n">
        <v>0</v>
      </c>
      <c r="F52" s="22" t="n">
        <v>0</v>
      </c>
      <c r="G52" s="22" t="n">
        <v>0</v>
      </c>
      <c r="H52" s="22" t="n">
        <v>0</v>
      </c>
      <c r="I52" s="22" t="n">
        <v>0</v>
      </c>
      <c r="J52" s="22" t="n">
        <v>0</v>
      </c>
      <c r="K52" s="22" t="n">
        <v>0</v>
      </c>
      <c r="L52" s="22" t="n">
        <v>0</v>
      </c>
      <c r="M52" s="22" t="n">
        <v>0</v>
      </c>
      <c r="N52" s="23">
        <f>SUM(B52:M52)</f>
        <v/>
      </c>
      <c r="O52" s="23">
        <f>IF($A52="","",SUMIFS(Transactions!$F$5:$F$1204,Transactions!$D$5:$D$1204,$A52,Transactions!$C$5:$C$1204,$B$3)+SUMIFS(Transactions!$G$5:$G$1204,Transactions!$D$5:$D$1204,$A52,Transactions!$C$5:$C$1204,$B$3))</f>
        <v/>
      </c>
      <c r="P52" s="24">
        <f>IF($A52="","",N52-O52)</f>
        <v/>
      </c>
    </row>
    <row r="53">
      <c r="A53" s="12">
        <f>Categories!B53</f>
        <v/>
      </c>
      <c r="B53" s="22" t="n">
        <v>0</v>
      </c>
      <c r="C53" s="22" t="n">
        <v>0</v>
      </c>
      <c r="D53" s="22" t="n">
        <v>0</v>
      </c>
      <c r="E53" s="22" t="n">
        <v>0</v>
      </c>
      <c r="F53" s="22" t="n">
        <v>0</v>
      </c>
      <c r="G53" s="22" t="n">
        <v>0</v>
      </c>
      <c r="H53" s="22" t="n">
        <v>0</v>
      </c>
      <c r="I53" s="22" t="n">
        <v>0</v>
      </c>
      <c r="J53" s="22" t="n">
        <v>0</v>
      </c>
      <c r="K53" s="22" t="n">
        <v>0</v>
      </c>
      <c r="L53" s="22" t="n">
        <v>0</v>
      </c>
      <c r="M53" s="22" t="n">
        <v>0</v>
      </c>
      <c r="N53" s="23">
        <f>SUM(B53:M53)</f>
        <v/>
      </c>
      <c r="O53" s="23">
        <f>IF($A53="","",SUMIFS(Transactions!$F$5:$F$1204,Transactions!$D$5:$D$1204,$A53,Transactions!$C$5:$C$1204,$B$3)+SUMIFS(Transactions!$G$5:$G$1204,Transactions!$D$5:$D$1204,$A53,Transactions!$C$5:$C$1204,$B$3))</f>
        <v/>
      </c>
      <c r="P53" s="24">
        <f>IF($A53="","",N53-O53)</f>
        <v/>
      </c>
    </row>
    <row r="54">
      <c r="A54" s="12">
        <f>Categories!B54</f>
        <v/>
      </c>
      <c r="B54" s="22" t="n">
        <v>0</v>
      </c>
      <c r="C54" s="22" t="n">
        <v>0</v>
      </c>
      <c r="D54" s="22" t="n">
        <v>0</v>
      </c>
      <c r="E54" s="22" t="n">
        <v>0</v>
      </c>
      <c r="F54" s="22" t="n">
        <v>0</v>
      </c>
      <c r="G54" s="22" t="n">
        <v>0</v>
      </c>
      <c r="H54" s="22" t="n">
        <v>0</v>
      </c>
      <c r="I54" s="22" t="n">
        <v>0</v>
      </c>
      <c r="J54" s="22" t="n">
        <v>0</v>
      </c>
      <c r="K54" s="22" t="n">
        <v>0</v>
      </c>
      <c r="L54" s="22" t="n">
        <v>0</v>
      </c>
      <c r="M54" s="22" t="n">
        <v>0</v>
      </c>
      <c r="N54" s="23">
        <f>SUM(B54:M54)</f>
        <v/>
      </c>
      <c r="O54" s="23">
        <f>IF($A54="","",SUMIFS(Transactions!$F$5:$F$1204,Transactions!$D$5:$D$1204,$A54,Transactions!$C$5:$C$1204,$B$3)+SUMIFS(Transactions!$G$5:$G$1204,Transactions!$D$5:$D$1204,$A54,Transactions!$C$5:$C$1204,$B$3))</f>
        <v/>
      </c>
      <c r="P54" s="24">
        <f>IF($A54="","",N54-O54)</f>
        <v/>
      </c>
    </row>
    <row r="55">
      <c r="A55" s="25" t="inlineStr">
        <is>
          <t>TOTAL</t>
        </is>
      </c>
      <c r="B55" s="23">
        <f>SUM(B5:B54)</f>
        <v/>
      </c>
      <c r="C55" s="23">
        <f>SUM(C5:C54)</f>
        <v/>
      </c>
      <c r="D55" s="23">
        <f>SUM(D5:D54)</f>
        <v/>
      </c>
      <c r="E55" s="23">
        <f>SUM(E5:E54)</f>
        <v/>
      </c>
      <c r="F55" s="23">
        <f>SUM(F5:F54)</f>
        <v/>
      </c>
      <c r="G55" s="23">
        <f>SUM(G5:G54)</f>
        <v/>
      </c>
      <c r="H55" s="23">
        <f>SUM(H5:H54)</f>
        <v/>
      </c>
      <c r="I55" s="23">
        <f>SUM(I5:I54)</f>
        <v/>
      </c>
      <c r="J55" s="23">
        <f>SUM(J5:J54)</f>
        <v/>
      </c>
      <c r="K55" s="23">
        <f>SUM(K5:K54)</f>
        <v/>
      </c>
      <c r="L55" s="23">
        <f>SUM(L5:L54)</f>
        <v/>
      </c>
      <c r="M55" s="23">
        <f>SUM(M5:M54)</f>
        <v/>
      </c>
      <c r="N55" s="23">
        <f>SUM(N5:N54)</f>
        <v/>
      </c>
      <c r="O55" s="23">
        <f>SUM(O5:O54)</f>
        <v/>
      </c>
      <c r="P55" s="23">
        <f>SUM(P5:P54)</f>
        <v/>
      </c>
    </row>
  </sheetData>
  <pageMargins left="0.75" right="0.75" top="1" bottom="1" header="0.5" footer="0.5"/>
</worksheet>
</file>

<file path=xl/worksheets/sheet5.xml><?xml version="1.0" encoding="utf-8"?>
<worksheet xmlns="http://schemas.openxmlformats.org/spreadsheetml/2006/main">
  <sheetPr>
    <tabColor rgb="0000B4A6"/>
    <outlinePr summaryBelow="1" summaryRight="1"/>
    <pageSetUpPr/>
  </sheetPr>
  <dimension ref="A1:F27"/>
  <sheetViews>
    <sheetView showGridLines="0" workbookViewId="0">
      <selection activeCell="A1" sqref="A1"/>
    </sheetView>
  </sheetViews>
  <sheetFormatPr baseColWidth="8" defaultRowHeight="15"/>
  <cols>
    <col width="26" customWidth="1" min="1" max="1"/>
    <col width="16" customWidth="1" min="2" max="2"/>
    <col width="16" customWidth="1" min="3" max="3"/>
    <col width="16" customWidth="1" min="4" max="4"/>
  </cols>
  <sheetData>
    <row r="1" ht="30" customHeight="1">
      <c r="A1" s="1" t="inlineStr">
        <is>
          <t>Dashboard</t>
        </is>
      </c>
      <c r="B1" s="2" t="n"/>
      <c r="C1" s="2" t="n"/>
      <c r="D1" s="2" t="n"/>
      <c r="E1" s="2" t="n"/>
      <c r="F1" s="2" t="n"/>
    </row>
    <row r="2" ht="18" customHeight="1">
      <c r="A2" s="3" t="inlineStr">
        <is>
          <t>Your year at a glance — updates itself as you log transactions.</t>
        </is>
      </c>
      <c r="B2" s="2" t="n"/>
      <c r="C2" s="2" t="n"/>
      <c r="D2" s="2" t="n"/>
      <c r="E2" s="2" t="n"/>
      <c r="F2" s="2" t="n"/>
    </row>
    <row r="3">
      <c r="A3" s="20" t="inlineStr">
        <is>
          <t>Showing budget year</t>
        </is>
      </c>
      <c r="B3" s="26">
        <f>'Budget vs Actual'!$B$3</f>
        <v/>
      </c>
    </row>
    <row r="4" ht="20" customHeight="1">
      <c r="A4" s="27" t="inlineStr">
        <is>
          <t>THE HEADLINE NUMBERS</t>
        </is>
      </c>
      <c r="B4" s="28" t="n"/>
      <c r="C4" s="28" t="n"/>
      <c r="D4" s="28" t="n"/>
      <c r="E4" s="28" t="n"/>
      <c r="F4" s="28" t="n"/>
    </row>
    <row r="6">
      <c r="A6" s="25" t="inlineStr">
        <is>
          <t>Total money in</t>
        </is>
      </c>
      <c r="B6" s="29">
        <f>SUMIFS(Transactions!$F$5:$F$1204,Transactions!$C$5:$C$1204,$B$3)</f>
        <v/>
      </c>
    </row>
    <row r="7">
      <c r="A7" s="25" t="inlineStr">
        <is>
          <t>Total money out</t>
        </is>
      </c>
      <c r="B7" s="29">
        <f>SUMIFS(Transactions!$G$5:$G$1204,Transactions!$C$5:$C$1204,$B$3)</f>
        <v/>
      </c>
    </row>
    <row r="8">
      <c r="A8" s="25" t="inlineStr">
        <is>
          <t>Net cash flow</t>
        </is>
      </c>
      <c r="B8" s="29">
        <f>B6-B7</f>
        <v/>
      </c>
    </row>
    <row r="9">
      <c r="A9" s="25" t="inlineStr">
        <is>
          <t>Total saved / invested</t>
        </is>
      </c>
      <c r="B9" s="29">
        <f>SUMIFS(Transactions!$G$5:$G$1204,Transactions!$D$5:$D$1204,"TFSA contribution",Transactions!$C$5:$C$1204,$B$3)+SUMIFS(Transactions!$G$5:$G$1204,Transactions!$D$5:$D$1204,"RRSP contribution",Transactions!$C$5:$C$1204,$B$3)+SUMIFS(Transactions!$G$5:$G$1204,Transactions!$D$5:$D$1204,"RESP contribution",Transactions!$C$5:$C$1204,$B$3)+SUMIFS(Transactions!$G$5:$G$1204,Transactions!$D$5:$D$1204,"Emergency fund",Transactions!$C$5:$C$1204,$B$3)</f>
        <v/>
      </c>
    </row>
    <row r="10">
      <c r="A10" s="25" t="inlineStr">
        <is>
          <t>Savings rate</t>
        </is>
      </c>
      <c r="B10" s="30">
        <f>IF(B6=0,"—",B9/B6)</f>
        <v/>
      </c>
    </row>
    <row r="11">
      <c r="A11" s="25" t="inlineStr">
        <is>
          <t>Budgeted total</t>
        </is>
      </c>
      <c r="B11" s="29">
        <f>'Budget vs Actual'!N55</f>
        <v/>
      </c>
    </row>
    <row r="12">
      <c r="A12" s="25" t="inlineStr">
        <is>
          <t>Actual total</t>
        </is>
      </c>
      <c r="B12" s="29">
        <f>'Budget vs Actual'!O55</f>
        <v/>
      </c>
    </row>
    <row r="14" ht="20" customHeight="1">
      <c r="A14" s="27" t="inlineStr">
        <is>
          <t>MONTH BY MONTH</t>
        </is>
      </c>
      <c r="B14" s="28" t="n"/>
      <c r="C14" s="28" t="n"/>
      <c r="D14" s="28" t="n"/>
      <c r="E14" s="28" t="n"/>
      <c r="F14" s="28" t="n"/>
    </row>
    <row r="15" ht="28" customHeight="1">
      <c r="A15" s="11" t="inlineStr">
        <is>
          <t>Month</t>
        </is>
      </c>
      <c r="B15" s="11" t="inlineStr">
        <is>
          <t>In</t>
        </is>
      </c>
      <c r="C15" s="11" t="inlineStr">
        <is>
          <t>Out</t>
        </is>
      </c>
      <c r="D15" s="11" t="inlineStr">
        <is>
          <t>Net</t>
        </is>
      </c>
    </row>
    <row r="16">
      <c r="A16" s="12" t="inlineStr">
        <is>
          <t>Jan</t>
        </is>
      </c>
      <c r="B16" s="19">
        <f>SUMIFS(Transactions!$F$5:$F$1204,Transactions!$B$5:$B$1204,$A16,Transactions!$C$5:$C$1204,$B$3)</f>
        <v/>
      </c>
      <c r="C16" s="19">
        <f>SUMIFS(Transactions!$G$5:$G$1204,Transactions!$B$5:$B$1204,$A16,Transactions!$C$5:$C$1204,$B$3)</f>
        <v/>
      </c>
      <c r="D16" s="31">
        <f>B16-C16</f>
        <v/>
      </c>
    </row>
    <row r="17">
      <c r="A17" s="12" t="inlineStr">
        <is>
          <t>Feb</t>
        </is>
      </c>
      <c r="B17" s="19">
        <f>SUMIFS(Transactions!$F$5:$F$1204,Transactions!$B$5:$B$1204,$A17,Transactions!$C$5:$C$1204,$B$3)</f>
        <v/>
      </c>
      <c r="C17" s="19">
        <f>SUMIFS(Transactions!$G$5:$G$1204,Transactions!$B$5:$B$1204,$A17,Transactions!$C$5:$C$1204,$B$3)</f>
        <v/>
      </c>
      <c r="D17" s="31">
        <f>B17-C17</f>
        <v/>
      </c>
    </row>
    <row r="18">
      <c r="A18" s="12" t="inlineStr">
        <is>
          <t>Mar</t>
        </is>
      </c>
      <c r="B18" s="19">
        <f>SUMIFS(Transactions!$F$5:$F$1204,Transactions!$B$5:$B$1204,$A18,Transactions!$C$5:$C$1204,$B$3)</f>
        <v/>
      </c>
      <c r="C18" s="19">
        <f>SUMIFS(Transactions!$G$5:$G$1204,Transactions!$B$5:$B$1204,$A18,Transactions!$C$5:$C$1204,$B$3)</f>
        <v/>
      </c>
      <c r="D18" s="31">
        <f>B18-C18</f>
        <v/>
      </c>
    </row>
    <row r="19">
      <c r="A19" s="12" t="inlineStr">
        <is>
          <t>Apr</t>
        </is>
      </c>
      <c r="B19" s="19">
        <f>SUMIFS(Transactions!$F$5:$F$1204,Transactions!$B$5:$B$1204,$A19,Transactions!$C$5:$C$1204,$B$3)</f>
        <v/>
      </c>
      <c r="C19" s="19">
        <f>SUMIFS(Transactions!$G$5:$G$1204,Transactions!$B$5:$B$1204,$A19,Transactions!$C$5:$C$1204,$B$3)</f>
        <v/>
      </c>
      <c r="D19" s="31">
        <f>B19-C19</f>
        <v/>
      </c>
    </row>
    <row r="20">
      <c r="A20" s="12" t="inlineStr">
        <is>
          <t>May</t>
        </is>
      </c>
      <c r="B20" s="19">
        <f>SUMIFS(Transactions!$F$5:$F$1204,Transactions!$B$5:$B$1204,$A20,Transactions!$C$5:$C$1204,$B$3)</f>
        <v/>
      </c>
      <c r="C20" s="19">
        <f>SUMIFS(Transactions!$G$5:$G$1204,Transactions!$B$5:$B$1204,$A20,Transactions!$C$5:$C$1204,$B$3)</f>
        <v/>
      </c>
      <c r="D20" s="31">
        <f>B20-C20</f>
        <v/>
      </c>
    </row>
    <row r="21">
      <c r="A21" s="12" t="inlineStr">
        <is>
          <t>Jun</t>
        </is>
      </c>
      <c r="B21" s="19">
        <f>SUMIFS(Transactions!$F$5:$F$1204,Transactions!$B$5:$B$1204,$A21,Transactions!$C$5:$C$1204,$B$3)</f>
        <v/>
      </c>
      <c r="C21" s="19">
        <f>SUMIFS(Transactions!$G$5:$G$1204,Transactions!$B$5:$B$1204,$A21,Transactions!$C$5:$C$1204,$B$3)</f>
        <v/>
      </c>
      <c r="D21" s="31">
        <f>B21-C21</f>
        <v/>
      </c>
    </row>
    <row r="22">
      <c r="A22" s="12" t="inlineStr">
        <is>
          <t>Jul</t>
        </is>
      </c>
      <c r="B22" s="19">
        <f>SUMIFS(Transactions!$F$5:$F$1204,Transactions!$B$5:$B$1204,$A22,Transactions!$C$5:$C$1204,$B$3)</f>
        <v/>
      </c>
      <c r="C22" s="19">
        <f>SUMIFS(Transactions!$G$5:$G$1204,Transactions!$B$5:$B$1204,$A22,Transactions!$C$5:$C$1204,$B$3)</f>
        <v/>
      </c>
      <c r="D22" s="31">
        <f>B22-C22</f>
        <v/>
      </c>
    </row>
    <row r="23">
      <c r="A23" s="12" t="inlineStr">
        <is>
          <t>Aug</t>
        </is>
      </c>
      <c r="B23" s="19">
        <f>SUMIFS(Transactions!$F$5:$F$1204,Transactions!$B$5:$B$1204,$A23,Transactions!$C$5:$C$1204,$B$3)</f>
        <v/>
      </c>
      <c r="C23" s="19">
        <f>SUMIFS(Transactions!$G$5:$G$1204,Transactions!$B$5:$B$1204,$A23,Transactions!$C$5:$C$1204,$B$3)</f>
        <v/>
      </c>
      <c r="D23" s="31">
        <f>B23-C23</f>
        <v/>
      </c>
    </row>
    <row r="24">
      <c r="A24" s="12" t="inlineStr">
        <is>
          <t>Sep</t>
        </is>
      </c>
      <c r="B24" s="19">
        <f>SUMIFS(Transactions!$F$5:$F$1204,Transactions!$B$5:$B$1204,$A24,Transactions!$C$5:$C$1204,$B$3)</f>
        <v/>
      </c>
      <c r="C24" s="19">
        <f>SUMIFS(Transactions!$G$5:$G$1204,Transactions!$B$5:$B$1204,$A24,Transactions!$C$5:$C$1204,$B$3)</f>
        <v/>
      </c>
      <c r="D24" s="31">
        <f>B24-C24</f>
        <v/>
      </c>
    </row>
    <row r="25">
      <c r="A25" s="12" t="inlineStr">
        <is>
          <t>Oct</t>
        </is>
      </c>
      <c r="B25" s="19">
        <f>SUMIFS(Transactions!$F$5:$F$1204,Transactions!$B$5:$B$1204,$A25,Transactions!$C$5:$C$1204,$B$3)</f>
        <v/>
      </c>
      <c r="C25" s="19">
        <f>SUMIFS(Transactions!$G$5:$G$1204,Transactions!$B$5:$B$1204,$A25,Transactions!$C$5:$C$1204,$B$3)</f>
        <v/>
      </c>
      <c r="D25" s="31">
        <f>B25-C25</f>
        <v/>
      </c>
    </row>
    <row r="26">
      <c r="A26" s="12" t="inlineStr">
        <is>
          <t>Nov</t>
        </is>
      </c>
      <c r="B26" s="19">
        <f>SUMIFS(Transactions!$F$5:$F$1204,Transactions!$B$5:$B$1204,$A26,Transactions!$C$5:$C$1204,$B$3)</f>
        <v/>
      </c>
      <c r="C26" s="19">
        <f>SUMIFS(Transactions!$G$5:$G$1204,Transactions!$B$5:$B$1204,$A26,Transactions!$C$5:$C$1204,$B$3)</f>
        <v/>
      </c>
      <c r="D26" s="31">
        <f>B26-C26</f>
        <v/>
      </c>
    </row>
    <row r="27">
      <c r="A27" s="12" t="inlineStr">
        <is>
          <t>Dec</t>
        </is>
      </c>
      <c r="B27" s="19">
        <f>SUMIFS(Transactions!$F$5:$F$1204,Transactions!$B$5:$B$1204,$A27,Transactions!$C$5:$C$1204,$B$3)</f>
        <v/>
      </c>
      <c r="C27" s="19">
        <f>SUMIFS(Transactions!$G$5:$G$1204,Transactions!$B$5:$B$1204,$A27,Transactions!$C$5:$C$1204,$B$3)</f>
        <v/>
      </c>
      <c r="D27" s="31">
        <f>B27-C27</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2026-09-05T09:01:57Z</dcterms:created>
  <dcterms:modified xsi:type="dcterms:W3CDTF">2026-09-05T09:01:58Z</dcterms:modified>
</cp:coreProperties>
</file>