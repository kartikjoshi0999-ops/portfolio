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Holdings" sheetId="2" state="visible" r:id="rId2"/>
    <sheet name="Contributions" sheetId="3" state="visible" r:id="rId3"/>
    <sheet name="Dividend Log" sheetId="4" state="visible" r:id="rId4"/>
    <sheet name="Dashboard" sheetId="5" state="visible" r:id="rId5"/>
  </sheets>
  <definedNames/>
  <calcPr calcId="124519" fullCalcOnLoad="1"/>
</workbook>
</file>

<file path=xl/styles.xml><?xml version="1.0" encoding="utf-8"?>
<styleSheet xmlns="http://schemas.openxmlformats.org/spreadsheetml/2006/main">
  <numFmts count="4">
    <numFmt numFmtId="164" formatCode="#,##0.0000"/>
    <numFmt numFmtId="165" formatCode="$#,##0.00"/>
    <numFmt numFmtId="166" formatCode="0.0%"/>
    <numFmt numFmtId="167" formatCode="yyyy-mm-dd"/>
  </numFmts>
  <fonts count="11">
    <font>
      <name val="Calibri"/>
      <family val="2"/>
      <color theme="1"/>
      <sz val="11"/>
      <scheme val="minor"/>
    </font>
    <font>
      <name val="Calibri"/>
      <b val="1"/>
      <color rgb="00FFFFFF"/>
      <sz val="18"/>
    </font>
    <font>
      <name val="Calibri"/>
      <color rgb="00C9A84C"/>
      <sz val="10"/>
    </font>
    <font>
      <b val="1"/>
      <color rgb="00FFFFFF"/>
      <sz val="10"/>
    </font>
    <font>
      <b val="1"/>
      <color rgb="001A1A1A"/>
    </font>
    <font/>
    <font>
      <b val="1"/>
    </font>
    <font>
      <b val="1"/>
      <color rgb="00FFFFFF"/>
      <sz val="11"/>
    </font>
    <font>
      <b val="1"/>
      <color rgb="000D1F3C"/>
      <sz val="12"/>
    </font>
    <font>
      <color rgb="008A97AB"/>
      <sz val="9"/>
    </font>
    <font>
      <b val="1"/>
      <color rgb="000D1F3C"/>
      <sz val="10"/>
    </font>
  </fonts>
  <fills count="7">
    <fill>
      <patternFill/>
    </fill>
    <fill>
      <patternFill patternType="gray125"/>
    </fill>
    <fill>
      <patternFill patternType="solid">
        <fgColor rgb="000A1628"/>
      </patternFill>
    </fill>
    <fill>
      <patternFill patternType="solid">
        <fgColor rgb="0000B4A6"/>
      </patternFill>
    </fill>
    <fill>
      <patternFill patternType="solid">
        <fgColor rgb="00FFF7DC"/>
      </patternFill>
    </fill>
    <fill>
      <patternFill patternType="solid">
        <fgColor rgb="00EDF1F6"/>
      </patternFill>
    </fill>
    <fill>
      <patternFill patternType="solid">
        <fgColor rgb="000D1F3C"/>
      </patternFill>
    </fill>
  </fills>
  <borders count="2">
    <border>
      <left/>
      <right/>
      <top/>
      <bottom/>
      <diagonal/>
    </border>
    <border>
      <left style="thin">
        <color rgb="00C7D0DB"/>
      </left>
      <right style="thin">
        <color rgb="00C7D0DB"/>
      </right>
      <top style="thin">
        <color rgb="00C7D0DB"/>
      </top>
      <bottom style="thin">
        <color rgb="00C7D0DB"/>
      </bottom>
    </border>
  </borders>
  <cellStyleXfs count="1">
    <xf numFmtId="0" fontId="0" fillId="0" borderId="0"/>
  </cellStyleXfs>
  <cellXfs count="26">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8" fillId="0" borderId="0" pivotButton="0" quotePrefix="0" xfId="0"/>
    <xf numFmtId="0" fontId="0" fillId="0" borderId="0" applyAlignment="1" pivotButton="0" quotePrefix="0" xfId="0">
      <alignment wrapText="1"/>
    </xf>
    <xf numFmtId="0" fontId="0" fillId="4" borderId="0" pivotButton="0" quotePrefix="0" xfId="0"/>
    <xf numFmtId="0" fontId="0" fillId="5" borderId="0" pivotButton="0" quotePrefix="0" xfId="0"/>
    <xf numFmtId="0" fontId="9" fillId="0" borderId="0" applyAlignment="1" pivotButton="0" quotePrefix="0" xfId="0">
      <alignment vertical="top" wrapText="1"/>
    </xf>
    <xf numFmtId="0" fontId="10" fillId="0" borderId="0" pivotButton="0" quotePrefix="0" xfId="0"/>
    <xf numFmtId="0" fontId="9" fillId="0" borderId="0" pivotButton="0" quotePrefix="0" xfId="0"/>
    <xf numFmtId="0" fontId="3" fillId="3" borderId="1" applyAlignment="1" pivotButton="0" quotePrefix="0" xfId="0">
      <alignment horizontal="center" vertical="center" wrapText="1"/>
    </xf>
    <xf numFmtId="0" fontId="4" fillId="4" borderId="1" pivotButton="0" quotePrefix="0" xfId="0"/>
    <xf numFmtId="164" fontId="4" fillId="4" borderId="1" pivotButton="0" quotePrefix="0" xfId="0"/>
    <xf numFmtId="165" fontId="5" fillId="5" borderId="1" pivotButton="0" quotePrefix="0" xfId="0"/>
    <xf numFmtId="166" fontId="5" fillId="5" borderId="1" pivotButton="0" quotePrefix="0" xfId="0"/>
    <xf numFmtId="0" fontId="6" fillId="0" borderId="0" pivotButton="0" quotePrefix="0" xfId="0"/>
    <xf numFmtId="165" fontId="6" fillId="5" borderId="1" pivotButton="0" quotePrefix="0" xfId="0"/>
    <xf numFmtId="166" fontId="6" fillId="5" borderId="1" pivotButton="0" quotePrefix="0" xfId="0"/>
    <xf numFmtId="167" fontId="4" fillId="4" borderId="1" pivotButton="0" quotePrefix="0" xfId="0"/>
    <xf numFmtId="165" fontId="4" fillId="4" borderId="1" pivotButton="0" quotePrefix="0" xfId="0"/>
    <xf numFmtId="0" fontId="7" fillId="6" borderId="0" pivotButton="0" quotePrefix="0" xfId="0"/>
    <xf numFmtId="0" fontId="0" fillId="6" borderId="0" pivotButton="0" quotePrefix="0" xfId="0"/>
    <xf numFmtId="1" fontId="6" fillId="5" borderId="1" pivotButton="0" quotePrefix="0" xfId="0"/>
    <xf numFmtId="0" fontId="0" fillId="0" borderId="1" pivotButton="0" quotePrefix="0" xfId="0"/>
    <xf numFmtId="166"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Asset allocation</a:t>
            </a:r>
          </a:p>
        </rich>
      </tx>
    </title>
    <plotArea>
      <pieChart>
        <varyColors val="1"/>
        <ser>
          <idx val="0"/>
          <order val="0"/>
          <tx>
            <strRef>
              <f>'Dashboard'!B16</f>
            </strRef>
          </tx>
          <spPr>
            <a:ln>
              <a:prstDash val="solid"/>
            </a:ln>
          </spPr>
          <cat>
            <numRef>
              <f>'Dashboard'!$A$17:$A$24</f>
            </numRef>
          </cat>
          <val>
            <numRef>
              <f>'Dashboard'!$B$17:$B$24</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By account</a:t>
            </a:r>
          </a:p>
        </rich>
      </tx>
    </title>
    <plotArea>
      <pieChart>
        <varyColors val="1"/>
        <ser>
          <idx val="0"/>
          <order val="0"/>
          <tx>
            <strRef>
              <f>'Dashboard'!B28</f>
            </strRef>
          </tx>
          <spPr>
            <a:ln>
              <a:prstDash val="solid"/>
            </a:ln>
          </spPr>
          <cat>
            <numRef>
              <f>'Dashboard'!$A$29:$A$35</f>
            </numRef>
          </cat>
          <val>
            <numRef>
              <f>'Dashboard'!$B$29:$B$35</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5</row>
      <rowOff>0</rowOff>
    </from>
    <ext cx="4320000" cy="324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25</row>
      <rowOff>0</rowOff>
    </from>
    <ext cx="432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C9A84C"/>
    <outlinePr summaryBelow="1" summaryRight="1"/>
    <pageSetUpPr/>
  </sheetPr>
  <dimension ref="A1:C26"/>
  <sheetViews>
    <sheetView showGridLines="0" workbookViewId="0">
      <selection activeCell="A1" sqref="A1"/>
    </sheetView>
  </sheetViews>
  <sheetFormatPr baseColWidth="8" defaultRowHeight="15"/>
  <cols>
    <col width="4" customWidth="1" min="1" max="1"/>
    <col width="100" customWidth="1" min="2" max="2"/>
  </cols>
  <sheetData>
    <row r="1" ht="30" customHeight="1">
      <c r="A1" s="1" t="inlineStr">
        <is>
          <t>Investment Portfolio Tracker (Canada)</t>
        </is>
      </c>
      <c r="B1" s="2" t="n"/>
      <c r="C1" s="2" t="n"/>
    </row>
    <row r="2" ht="18" customHeight="1">
      <c r="A2" s="3" t="inlineStr">
        <is>
          <t>TFSA, RRSP, FHSA and non-registered in one place, with drift against your targets.</t>
        </is>
      </c>
      <c r="B2" s="2" t="n"/>
      <c r="C2" s="2" t="n"/>
    </row>
    <row r="4">
      <c r="B4" s="4" t="inlineStr">
        <is>
          <t>WHAT'S INSIDE</t>
        </is>
      </c>
    </row>
    <row r="5">
      <c r="B5" s="5" t="inlineStr">
        <is>
          <t>•  Start Here — this page.</t>
        </is>
      </c>
    </row>
    <row r="6">
      <c r="B6" s="5" t="inlineStr">
        <is>
          <t>•  Holdings — 60 positions with book value, market value and gain/loss.</t>
        </is>
      </c>
    </row>
    <row r="7">
      <c r="B7" s="5" t="inlineStr">
        <is>
          <t>•  Contributions — 300-row deposit and withdrawal register.</t>
        </is>
      </c>
    </row>
    <row r="8">
      <c r="B8" s="5" t="inlineStr">
        <is>
          <t>•  Dividend Log — 200-row income tracker with withholding tax.</t>
        </is>
      </c>
    </row>
    <row r="9">
      <c r="B9" s="5" t="inlineStr">
        <is>
          <t>•  Dashboard — totals, allocation vs target with drift, split by account, two charts.</t>
        </is>
      </c>
    </row>
    <row r="11">
      <c r="B11" s="4" t="inlineStr">
        <is>
          <t>HOW TO USE IT</t>
        </is>
      </c>
    </row>
    <row r="12">
      <c r="B12" s="5" t="inlineStr">
        <is>
          <t>1.  Enter your positions on the Holdings tab — units, average cost and today's price.</t>
        </is>
      </c>
    </row>
    <row r="13">
      <c r="B13" s="5" t="inlineStr">
        <is>
          <t>2.  Pick the account and asset class from the drop-downs; the Dashboard groups on them.</t>
        </is>
      </c>
    </row>
    <row r="14">
      <c r="B14" s="5" t="inlineStr">
        <is>
          <t>3.  Log deposits and withdrawals on Contributions so you can see real money in versus growth.</t>
        </is>
      </c>
    </row>
    <row r="15">
      <c r="B15" s="5" t="inlineStr">
        <is>
          <t>4.  Record dividends on the Dividend Log — including withholding tax on US names.</t>
        </is>
      </c>
    </row>
    <row r="16">
      <c r="B16" s="5" t="inlineStr">
        <is>
          <t>5.  Set your target weights on the Dashboard. The drift column tells you what to rebalance.</t>
        </is>
      </c>
    </row>
    <row r="18">
      <c r="B18" s="4" t="inlineStr">
        <is>
          <t>COLOUR KEY</t>
        </is>
      </c>
    </row>
    <row r="19">
      <c r="B19" s="6" t="inlineStr">
        <is>
          <t>Yellow cells = you type here.</t>
        </is>
      </c>
    </row>
    <row r="20">
      <c r="B20" s="7" t="inlineStr">
        <is>
          <t>Grey cells = formulas. Do not overwrite them.</t>
        </is>
      </c>
    </row>
    <row r="22" ht="46" customHeight="1">
      <c r="B22" s="8" t="inlineStr">
        <is>
          <t>LICENSE: Single-user personal/business licence. You may use and edit this file for yourself or your own business. You may NOT resell, redistribute, share, or publish this file or any edited version of it. All rights reserved.</t>
        </is>
      </c>
    </row>
    <row r="23" ht="46" customHeight="1">
      <c r="B23" s="8" t="inlineStr">
        <is>
          <t>DISCLAIMER: This template is an educational planning tool only. It is not financial, tax, investment, or legal advice. Figures such as contribution limits and tax rates change — always confirm current numbers with the CRA or a licensed advisor before acting on any output.</t>
        </is>
      </c>
    </row>
    <row r="25">
      <c r="B25" s="9" t="inlineStr">
        <is>
          <t>Created by Kartik Joshi, MBA — Financial Analyst &amp; Banking Professional</t>
        </is>
      </c>
    </row>
    <row r="26">
      <c r="B26" s="10" t="inlineStr">
        <is>
          <t>Questions or a problem with the file? Message me through Etsy and I will help.</t>
        </is>
      </c>
    </row>
  </sheetData>
  <pageMargins left="0.75" right="0.75" top="1" bottom="1" header="0.5" footer="0.5"/>
</worksheet>
</file>

<file path=xl/worksheets/sheet2.xml><?xml version="1.0" encoding="utf-8"?>
<worksheet xmlns="http://schemas.openxmlformats.org/spreadsheetml/2006/main">
  <sheetPr>
    <tabColor rgb="0000B4A6"/>
    <outlinePr summaryBelow="1" summaryRight="1"/>
    <pageSetUpPr/>
  </sheetPr>
  <dimension ref="A1:M65"/>
  <sheetViews>
    <sheetView showGridLines="0" workbookViewId="0">
      <pane ySplit="4" topLeftCell="A5" activePane="bottomLeft" state="frozen"/>
      <selection pane="bottomLeft" activeCell="A1" sqref="A1"/>
    </sheetView>
  </sheetViews>
  <sheetFormatPr baseColWidth="8" defaultRowHeight="15"/>
  <cols>
    <col width="11" customWidth="1" min="1" max="1"/>
    <col width="36" customWidth="1" min="2" max="2"/>
    <col width="15" customWidth="1" min="3" max="3"/>
    <col width="20" customWidth="1" min="4" max="4"/>
    <col width="10" customWidth="1" min="5" max="5"/>
    <col width="11" customWidth="1" min="6" max="6"/>
    <col width="14" customWidth="1" min="7" max="7"/>
    <col width="14" customWidth="1" min="8" max="8"/>
    <col width="13" customWidth="1" min="9" max="9"/>
    <col width="14" customWidth="1" min="10" max="10"/>
    <col width="14" customWidth="1" min="11" max="11"/>
    <col width="12" customWidth="1" min="12" max="12"/>
    <col width="13" customWidth="1" min="13" max="13"/>
  </cols>
  <sheetData>
    <row r="1" ht="30" customHeight="1">
      <c r="A1" s="1" t="inlineStr">
        <is>
          <t>Holdings</t>
        </is>
      </c>
      <c r="B1" s="2" t="n"/>
      <c r="C1" s="2" t="n"/>
      <c r="D1" s="2" t="n"/>
      <c r="E1" s="2" t="n"/>
      <c r="F1" s="2" t="n"/>
      <c r="G1" s="2" t="n"/>
      <c r="H1" s="2" t="n"/>
      <c r="I1" s="2" t="n"/>
      <c r="J1" s="2" t="n"/>
      <c r="K1" s="2" t="n"/>
      <c r="L1" s="2" t="n"/>
    </row>
    <row r="2" ht="18" customHeight="1">
      <c r="A2" s="3" t="inlineStr">
        <is>
          <t>One row per position. Update the price column and everything else follows.</t>
        </is>
      </c>
      <c r="B2" s="2" t="n"/>
      <c r="C2" s="2" t="n"/>
      <c r="D2" s="2" t="n"/>
      <c r="E2" s="2" t="n"/>
      <c r="F2" s="2" t="n"/>
      <c r="G2" s="2" t="n"/>
      <c r="H2" s="2" t="n"/>
      <c r="I2" s="2" t="n"/>
      <c r="J2" s="2" t="n"/>
      <c r="K2" s="2" t="n"/>
      <c r="L2" s="2" t="n"/>
    </row>
    <row r="4" ht="28" customHeight="1">
      <c r="A4" s="11" t="inlineStr">
        <is>
          <t>Ticker</t>
        </is>
      </c>
      <c r="B4" s="11" t="inlineStr">
        <is>
          <t>Name</t>
        </is>
      </c>
      <c r="C4" s="11" t="inlineStr">
        <is>
          <t>Account</t>
        </is>
      </c>
      <c r="D4" s="11" t="inlineStr">
        <is>
          <t>Asset class</t>
        </is>
      </c>
      <c r="E4" s="11" t="inlineStr">
        <is>
          <t>Currency</t>
        </is>
      </c>
      <c r="F4" s="11" t="inlineStr">
        <is>
          <t>Units</t>
        </is>
      </c>
      <c r="G4" s="11" t="inlineStr">
        <is>
          <t>Avg cost / unit</t>
        </is>
      </c>
      <c r="H4" s="11" t="inlineStr">
        <is>
          <t>Book value</t>
        </is>
      </c>
      <c r="I4" s="11" t="inlineStr">
        <is>
          <t>Current price</t>
        </is>
      </c>
      <c r="J4" s="11" t="inlineStr">
        <is>
          <t>Market value</t>
        </is>
      </c>
      <c r="K4" s="11" t="inlineStr">
        <is>
          <t>Gain / loss $</t>
        </is>
      </c>
      <c r="L4" s="11" t="inlineStr">
        <is>
          <t>Gain / loss %</t>
        </is>
      </c>
      <c r="M4" s="11" t="inlineStr">
        <is>
          <t>% of portfolio</t>
        </is>
      </c>
    </row>
    <row r="5">
      <c r="A5" s="12" t="inlineStr">
        <is>
          <t>VFV.TO</t>
        </is>
      </c>
      <c r="B5" s="12" t="inlineStr">
        <is>
          <t>Vanguard S&amp;P 500 Index ETF</t>
        </is>
      </c>
      <c r="C5" s="12" t="inlineStr">
        <is>
          <t>TFSA</t>
        </is>
      </c>
      <c r="D5" s="12" t="inlineStr">
        <is>
          <t>Equity — US</t>
        </is>
      </c>
      <c r="E5" s="12" t="inlineStr">
        <is>
          <t>CAD</t>
        </is>
      </c>
      <c r="F5" s="13" t="n">
        <v>120</v>
      </c>
      <c r="G5" s="13" t="n">
        <v>118.4</v>
      </c>
      <c r="H5" s="14">
        <f>IF($A5="","",N(F5)*N(G5))</f>
        <v/>
      </c>
      <c r="I5" s="13" t="n">
        <v>141.2</v>
      </c>
      <c r="J5" s="14">
        <f>IF($A5="","",N(F5)*N(I5))</f>
        <v/>
      </c>
      <c r="K5" s="14">
        <f>IF($A5="","",N(J5)-N(H5))</f>
        <v/>
      </c>
      <c r="L5" s="15">
        <f>IF(OR($A5="",N(H5)=0),"",N(K5)/N(H5))</f>
        <v/>
      </c>
      <c r="M5" s="15">
        <f>IF(OR($A5="",$J$65=0),"",N(J5)/$J$65)</f>
        <v/>
      </c>
    </row>
    <row r="6">
      <c r="A6" s="12" t="inlineStr">
        <is>
          <t>XIC.TO</t>
        </is>
      </c>
      <c r="B6" s="12" t="inlineStr">
        <is>
          <t>iShares Core S&amp;P/TSX Capped ETF</t>
        </is>
      </c>
      <c r="C6" s="12" t="inlineStr">
        <is>
          <t>TFSA</t>
        </is>
      </c>
      <c r="D6" s="12" t="inlineStr">
        <is>
          <t>Equity — Canada</t>
        </is>
      </c>
      <c r="E6" s="12" t="inlineStr">
        <is>
          <t>CAD</t>
        </is>
      </c>
      <c r="F6" s="13" t="n">
        <v>200</v>
      </c>
      <c r="G6" s="13" t="n">
        <v>34.1</v>
      </c>
      <c r="H6" s="14">
        <f>IF($A6="","",N(F6)*N(G6))</f>
        <v/>
      </c>
      <c r="I6" s="13" t="n">
        <v>39.85</v>
      </c>
      <c r="J6" s="14">
        <f>IF($A6="","",N(F6)*N(I6))</f>
        <v/>
      </c>
      <c r="K6" s="14">
        <f>IF($A6="","",N(J6)-N(H6))</f>
        <v/>
      </c>
      <c r="L6" s="15">
        <f>IF(OR($A6="",N(H6)=0),"",N(K6)/N(H6))</f>
        <v/>
      </c>
      <c r="M6" s="15">
        <f>IF(OR($A6="",$J$65=0),"",N(J6)/$J$65)</f>
        <v/>
      </c>
    </row>
    <row r="7">
      <c r="A7" s="12" t="inlineStr">
        <is>
          <t>XAW.TO</t>
        </is>
      </c>
      <c r="B7" s="12" t="inlineStr">
        <is>
          <t>iShares Core MSCI All Country ex-Canada</t>
        </is>
      </c>
      <c r="C7" s="12" t="inlineStr">
        <is>
          <t>RRSP</t>
        </is>
      </c>
      <c r="D7" s="12" t="inlineStr">
        <is>
          <t>Equity — Global</t>
        </is>
      </c>
      <c r="E7" s="12" t="inlineStr">
        <is>
          <t>CAD</t>
        </is>
      </c>
      <c r="F7" s="13" t="n">
        <v>150</v>
      </c>
      <c r="G7" s="13" t="n">
        <v>32.75</v>
      </c>
      <c r="H7" s="14">
        <f>IF($A7="","",N(F7)*N(G7))</f>
        <v/>
      </c>
      <c r="I7" s="13" t="n">
        <v>38.4</v>
      </c>
      <c r="J7" s="14">
        <f>IF($A7="","",N(F7)*N(I7))</f>
        <v/>
      </c>
      <c r="K7" s="14">
        <f>IF($A7="","",N(J7)-N(H7))</f>
        <v/>
      </c>
      <c r="L7" s="15">
        <f>IF(OR($A7="",N(H7)=0),"",N(K7)/N(H7))</f>
        <v/>
      </c>
      <c r="M7" s="15">
        <f>IF(OR($A7="",$J$65=0),"",N(J7)/$J$65)</f>
        <v/>
      </c>
    </row>
    <row r="8">
      <c r="A8" s="12" t="inlineStr">
        <is>
          <t>ZAG.TO</t>
        </is>
      </c>
      <c r="B8" s="12" t="inlineStr">
        <is>
          <t>BMO Aggregate Bond Index ETF</t>
        </is>
      </c>
      <c r="C8" s="12" t="inlineStr">
        <is>
          <t>RRSP</t>
        </is>
      </c>
      <c r="D8" s="12" t="inlineStr">
        <is>
          <t>Fixed income</t>
        </is>
      </c>
      <c r="E8" s="12" t="inlineStr">
        <is>
          <t>CAD</t>
        </is>
      </c>
      <c r="F8" s="13" t="n">
        <v>180</v>
      </c>
      <c r="G8" s="13" t="n">
        <v>15.2</v>
      </c>
      <c r="H8" s="14">
        <f>IF($A8="","",N(F8)*N(G8))</f>
        <v/>
      </c>
      <c r="I8" s="13" t="n">
        <v>14.6</v>
      </c>
      <c r="J8" s="14">
        <f>IF($A8="","",N(F8)*N(I8))</f>
        <v/>
      </c>
      <c r="K8" s="14">
        <f>IF($A8="","",N(J8)-N(H8))</f>
        <v/>
      </c>
      <c r="L8" s="15">
        <f>IF(OR($A8="",N(H8)=0),"",N(K8)/N(H8))</f>
        <v/>
      </c>
      <c r="M8" s="15">
        <f>IF(OR($A8="",$J$65=0),"",N(J8)/$J$65)</f>
        <v/>
      </c>
    </row>
    <row r="9">
      <c r="A9" s="12" t="inlineStr">
        <is>
          <t>CASH.TO</t>
        </is>
      </c>
      <c r="B9" s="12" t="inlineStr">
        <is>
          <t>High Interest Savings ETF</t>
        </is>
      </c>
      <c r="C9" s="12" t="inlineStr">
        <is>
          <t>Non-registered</t>
        </is>
      </c>
      <c r="D9" s="12" t="inlineStr">
        <is>
          <t>Cash &amp; equivalents</t>
        </is>
      </c>
      <c r="E9" s="12" t="inlineStr">
        <is>
          <t>CAD</t>
        </is>
      </c>
      <c r="F9" s="13" t="n">
        <v>90</v>
      </c>
      <c r="G9" s="13" t="n">
        <v>50.05</v>
      </c>
      <c r="H9" s="14">
        <f>IF($A9="","",N(F9)*N(G9))</f>
        <v/>
      </c>
      <c r="I9" s="13" t="n">
        <v>50.12</v>
      </c>
      <c r="J9" s="14">
        <f>IF($A9="","",N(F9)*N(I9))</f>
        <v/>
      </c>
      <c r="K9" s="14">
        <f>IF($A9="","",N(J9)-N(H9))</f>
        <v/>
      </c>
      <c r="L9" s="15">
        <f>IF(OR($A9="",N(H9)=0),"",N(K9)/N(H9))</f>
        <v/>
      </c>
      <c r="M9" s="15">
        <f>IF(OR($A9="",$J$65=0),"",N(J9)/$J$65)</f>
        <v/>
      </c>
    </row>
    <row r="10">
      <c r="A10" s="12" t="inlineStr">
        <is>
          <t>RY.TO</t>
        </is>
      </c>
      <c r="B10" s="12" t="inlineStr">
        <is>
          <t>Royal Bank of Canada</t>
        </is>
      </c>
      <c r="C10" s="12" t="inlineStr">
        <is>
          <t>Non-registered</t>
        </is>
      </c>
      <c r="D10" s="12" t="inlineStr">
        <is>
          <t>Equity — Canada</t>
        </is>
      </c>
      <c r="E10" s="12" t="inlineStr">
        <is>
          <t>CAD</t>
        </is>
      </c>
      <c r="F10" s="13" t="n">
        <v>40</v>
      </c>
      <c r="G10" s="13" t="n">
        <v>121.5</v>
      </c>
      <c r="H10" s="14">
        <f>IF($A10="","",N(F10)*N(G10))</f>
        <v/>
      </c>
      <c r="I10" s="13" t="n">
        <v>168.3</v>
      </c>
      <c r="J10" s="14">
        <f>IF($A10="","",N(F10)*N(I10))</f>
        <v/>
      </c>
      <c r="K10" s="14">
        <f>IF($A10="","",N(J10)-N(H10))</f>
        <v/>
      </c>
      <c r="L10" s="15">
        <f>IF(OR($A10="",N(H10)=0),"",N(K10)/N(H10))</f>
        <v/>
      </c>
      <c r="M10" s="15">
        <f>IF(OR($A10="",$J$65=0),"",N(J10)/$J$65)</f>
        <v/>
      </c>
    </row>
    <row r="11">
      <c r="A11" s="12" t="n"/>
      <c r="B11" s="12" t="n"/>
      <c r="C11" s="12" t="n"/>
      <c r="D11" s="12" t="n"/>
      <c r="E11" s="12" t="n"/>
      <c r="F11" s="13" t="n"/>
      <c r="G11" s="13" t="n"/>
      <c r="H11" s="14">
        <f>IF($A11="","",N(F11)*N(G11))</f>
        <v/>
      </c>
      <c r="I11" s="13" t="n"/>
      <c r="J11" s="14">
        <f>IF($A11="","",N(F11)*N(I11))</f>
        <v/>
      </c>
      <c r="K11" s="14">
        <f>IF($A11="","",N(J11)-N(H11))</f>
        <v/>
      </c>
      <c r="L11" s="15">
        <f>IF(OR($A11="",N(H11)=0),"",N(K11)/N(H11))</f>
        <v/>
      </c>
      <c r="M11" s="15">
        <f>IF(OR($A11="",$J$65=0),"",N(J11)/$J$65)</f>
        <v/>
      </c>
    </row>
    <row r="12">
      <c r="A12" s="12" t="n"/>
      <c r="B12" s="12" t="n"/>
      <c r="C12" s="12" t="n"/>
      <c r="D12" s="12" t="n"/>
      <c r="E12" s="12" t="n"/>
      <c r="F12" s="13" t="n"/>
      <c r="G12" s="13" t="n"/>
      <c r="H12" s="14">
        <f>IF($A12="","",N(F12)*N(G12))</f>
        <v/>
      </c>
      <c r="I12" s="13" t="n"/>
      <c r="J12" s="14">
        <f>IF($A12="","",N(F12)*N(I12))</f>
        <v/>
      </c>
      <c r="K12" s="14">
        <f>IF($A12="","",N(J12)-N(H12))</f>
        <v/>
      </c>
      <c r="L12" s="15">
        <f>IF(OR($A12="",N(H12)=0),"",N(K12)/N(H12))</f>
        <v/>
      </c>
      <c r="M12" s="15">
        <f>IF(OR($A12="",$J$65=0),"",N(J12)/$J$65)</f>
        <v/>
      </c>
    </row>
    <row r="13">
      <c r="A13" s="12" t="n"/>
      <c r="B13" s="12" t="n"/>
      <c r="C13" s="12" t="n"/>
      <c r="D13" s="12" t="n"/>
      <c r="E13" s="12" t="n"/>
      <c r="F13" s="13" t="n"/>
      <c r="G13" s="13" t="n"/>
      <c r="H13" s="14">
        <f>IF($A13="","",N(F13)*N(G13))</f>
        <v/>
      </c>
      <c r="I13" s="13" t="n"/>
      <c r="J13" s="14">
        <f>IF($A13="","",N(F13)*N(I13))</f>
        <v/>
      </c>
      <c r="K13" s="14">
        <f>IF($A13="","",N(J13)-N(H13))</f>
        <v/>
      </c>
      <c r="L13" s="15">
        <f>IF(OR($A13="",N(H13)=0),"",N(K13)/N(H13))</f>
        <v/>
      </c>
      <c r="M13" s="15">
        <f>IF(OR($A13="",$J$65=0),"",N(J13)/$J$65)</f>
        <v/>
      </c>
    </row>
    <row r="14">
      <c r="A14" s="12" t="n"/>
      <c r="B14" s="12" t="n"/>
      <c r="C14" s="12" t="n"/>
      <c r="D14" s="12" t="n"/>
      <c r="E14" s="12" t="n"/>
      <c r="F14" s="13" t="n"/>
      <c r="G14" s="13" t="n"/>
      <c r="H14" s="14">
        <f>IF($A14="","",N(F14)*N(G14))</f>
        <v/>
      </c>
      <c r="I14" s="13" t="n"/>
      <c r="J14" s="14">
        <f>IF($A14="","",N(F14)*N(I14))</f>
        <v/>
      </c>
      <c r="K14" s="14">
        <f>IF($A14="","",N(J14)-N(H14))</f>
        <v/>
      </c>
      <c r="L14" s="15">
        <f>IF(OR($A14="",N(H14)=0),"",N(K14)/N(H14))</f>
        <v/>
      </c>
      <c r="M14" s="15">
        <f>IF(OR($A14="",$J$65=0),"",N(J14)/$J$65)</f>
        <v/>
      </c>
    </row>
    <row r="15">
      <c r="A15" s="12" t="n"/>
      <c r="B15" s="12" t="n"/>
      <c r="C15" s="12" t="n"/>
      <c r="D15" s="12" t="n"/>
      <c r="E15" s="12" t="n"/>
      <c r="F15" s="13" t="n"/>
      <c r="G15" s="13" t="n"/>
      <c r="H15" s="14">
        <f>IF($A15="","",N(F15)*N(G15))</f>
        <v/>
      </c>
      <c r="I15" s="13" t="n"/>
      <c r="J15" s="14">
        <f>IF($A15="","",N(F15)*N(I15))</f>
        <v/>
      </c>
      <c r="K15" s="14">
        <f>IF($A15="","",N(J15)-N(H15))</f>
        <v/>
      </c>
      <c r="L15" s="15">
        <f>IF(OR($A15="",N(H15)=0),"",N(K15)/N(H15))</f>
        <v/>
      </c>
      <c r="M15" s="15">
        <f>IF(OR($A15="",$J$65=0),"",N(J15)/$J$65)</f>
        <v/>
      </c>
    </row>
    <row r="16">
      <c r="A16" s="12" t="n"/>
      <c r="B16" s="12" t="n"/>
      <c r="C16" s="12" t="n"/>
      <c r="D16" s="12" t="n"/>
      <c r="E16" s="12" t="n"/>
      <c r="F16" s="13" t="n"/>
      <c r="G16" s="13" t="n"/>
      <c r="H16" s="14">
        <f>IF($A16="","",N(F16)*N(G16))</f>
        <v/>
      </c>
      <c r="I16" s="13" t="n"/>
      <c r="J16" s="14">
        <f>IF($A16="","",N(F16)*N(I16))</f>
        <v/>
      </c>
      <c r="K16" s="14">
        <f>IF($A16="","",N(J16)-N(H16))</f>
        <v/>
      </c>
      <c r="L16" s="15">
        <f>IF(OR($A16="",N(H16)=0),"",N(K16)/N(H16))</f>
        <v/>
      </c>
      <c r="M16" s="15">
        <f>IF(OR($A16="",$J$65=0),"",N(J16)/$J$65)</f>
        <v/>
      </c>
    </row>
    <row r="17">
      <c r="A17" s="12" t="n"/>
      <c r="B17" s="12" t="n"/>
      <c r="C17" s="12" t="n"/>
      <c r="D17" s="12" t="n"/>
      <c r="E17" s="12" t="n"/>
      <c r="F17" s="13" t="n"/>
      <c r="G17" s="13" t="n"/>
      <c r="H17" s="14">
        <f>IF($A17="","",N(F17)*N(G17))</f>
        <v/>
      </c>
      <c r="I17" s="13" t="n"/>
      <c r="J17" s="14">
        <f>IF($A17="","",N(F17)*N(I17))</f>
        <v/>
      </c>
      <c r="K17" s="14">
        <f>IF($A17="","",N(J17)-N(H17))</f>
        <v/>
      </c>
      <c r="L17" s="15">
        <f>IF(OR($A17="",N(H17)=0),"",N(K17)/N(H17))</f>
        <v/>
      </c>
      <c r="M17" s="15">
        <f>IF(OR($A17="",$J$65=0),"",N(J17)/$J$65)</f>
        <v/>
      </c>
    </row>
    <row r="18">
      <c r="A18" s="12" t="n"/>
      <c r="B18" s="12" t="n"/>
      <c r="C18" s="12" t="n"/>
      <c r="D18" s="12" t="n"/>
      <c r="E18" s="12" t="n"/>
      <c r="F18" s="13" t="n"/>
      <c r="G18" s="13" t="n"/>
      <c r="H18" s="14">
        <f>IF($A18="","",N(F18)*N(G18))</f>
        <v/>
      </c>
      <c r="I18" s="13" t="n"/>
      <c r="J18" s="14">
        <f>IF($A18="","",N(F18)*N(I18))</f>
        <v/>
      </c>
      <c r="K18" s="14">
        <f>IF($A18="","",N(J18)-N(H18))</f>
        <v/>
      </c>
      <c r="L18" s="15">
        <f>IF(OR($A18="",N(H18)=0),"",N(K18)/N(H18))</f>
        <v/>
      </c>
      <c r="M18" s="15">
        <f>IF(OR($A18="",$J$65=0),"",N(J18)/$J$65)</f>
        <v/>
      </c>
    </row>
    <row r="19">
      <c r="A19" s="12" t="n"/>
      <c r="B19" s="12" t="n"/>
      <c r="C19" s="12" t="n"/>
      <c r="D19" s="12" t="n"/>
      <c r="E19" s="12" t="n"/>
      <c r="F19" s="13" t="n"/>
      <c r="G19" s="13" t="n"/>
      <c r="H19" s="14">
        <f>IF($A19="","",N(F19)*N(G19))</f>
        <v/>
      </c>
      <c r="I19" s="13" t="n"/>
      <c r="J19" s="14">
        <f>IF($A19="","",N(F19)*N(I19))</f>
        <v/>
      </c>
      <c r="K19" s="14">
        <f>IF($A19="","",N(J19)-N(H19))</f>
        <v/>
      </c>
      <c r="L19" s="15">
        <f>IF(OR($A19="",N(H19)=0),"",N(K19)/N(H19))</f>
        <v/>
      </c>
      <c r="M19" s="15">
        <f>IF(OR($A19="",$J$65=0),"",N(J19)/$J$65)</f>
        <v/>
      </c>
    </row>
    <row r="20">
      <c r="A20" s="12" t="n"/>
      <c r="B20" s="12" t="n"/>
      <c r="C20" s="12" t="n"/>
      <c r="D20" s="12" t="n"/>
      <c r="E20" s="12" t="n"/>
      <c r="F20" s="13" t="n"/>
      <c r="G20" s="13" t="n"/>
      <c r="H20" s="14">
        <f>IF($A20="","",N(F20)*N(G20))</f>
        <v/>
      </c>
      <c r="I20" s="13" t="n"/>
      <c r="J20" s="14">
        <f>IF($A20="","",N(F20)*N(I20))</f>
        <v/>
      </c>
      <c r="K20" s="14">
        <f>IF($A20="","",N(J20)-N(H20))</f>
        <v/>
      </c>
      <c r="L20" s="15">
        <f>IF(OR($A20="",N(H20)=0),"",N(K20)/N(H20))</f>
        <v/>
      </c>
      <c r="M20" s="15">
        <f>IF(OR($A20="",$J$65=0),"",N(J20)/$J$65)</f>
        <v/>
      </c>
    </row>
    <row r="21">
      <c r="A21" s="12" t="n"/>
      <c r="B21" s="12" t="n"/>
      <c r="C21" s="12" t="n"/>
      <c r="D21" s="12" t="n"/>
      <c r="E21" s="12" t="n"/>
      <c r="F21" s="13" t="n"/>
      <c r="G21" s="13" t="n"/>
      <c r="H21" s="14">
        <f>IF($A21="","",N(F21)*N(G21))</f>
        <v/>
      </c>
      <c r="I21" s="13" t="n"/>
      <c r="J21" s="14">
        <f>IF($A21="","",N(F21)*N(I21))</f>
        <v/>
      </c>
      <c r="K21" s="14">
        <f>IF($A21="","",N(J21)-N(H21))</f>
        <v/>
      </c>
      <c r="L21" s="15">
        <f>IF(OR($A21="",N(H21)=0),"",N(K21)/N(H21))</f>
        <v/>
      </c>
      <c r="M21" s="15">
        <f>IF(OR($A21="",$J$65=0),"",N(J21)/$J$65)</f>
        <v/>
      </c>
    </row>
    <row r="22">
      <c r="A22" s="12" t="n"/>
      <c r="B22" s="12" t="n"/>
      <c r="C22" s="12" t="n"/>
      <c r="D22" s="12" t="n"/>
      <c r="E22" s="12" t="n"/>
      <c r="F22" s="13" t="n"/>
      <c r="G22" s="13" t="n"/>
      <c r="H22" s="14">
        <f>IF($A22="","",N(F22)*N(G22))</f>
        <v/>
      </c>
      <c r="I22" s="13" t="n"/>
      <c r="J22" s="14">
        <f>IF($A22="","",N(F22)*N(I22))</f>
        <v/>
      </c>
      <c r="K22" s="14">
        <f>IF($A22="","",N(J22)-N(H22))</f>
        <v/>
      </c>
      <c r="L22" s="15">
        <f>IF(OR($A22="",N(H22)=0),"",N(K22)/N(H22))</f>
        <v/>
      </c>
      <c r="M22" s="15">
        <f>IF(OR($A22="",$J$65=0),"",N(J22)/$J$65)</f>
        <v/>
      </c>
    </row>
    <row r="23">
      <c r="A23" s="12" t="n"/>
      <c r="B23" s="12" t="n"/>
      <c r="C23" s="12" t="n"/>
      <c r="D23" s="12" t="n"/>
      <c r="E23" s="12" t="n"/>
      <c r="F23" s="13" t="n"/>
      <c r="G23" s="13" t="n"/>
      <c r="H23" s="14">
        <f>IF($A23="","",N(F23)*N(G23))</f>
        <v/>
      </c>
      <c r="I23" s="13" t="n"/>
      <c r="J23" s="14">
        <f>IF($A23="","",N(F23)*N(I23))</f>
        <v/>
      </c>
      <c r="K23" s="14">
        <f>IF($A23="","",N(J23)-N(H23))</f>
        <v/>
      </c>
      <c r="L23" s="15">
        <f>IF(OR($A23="",N(H23)=0),"",N(K23)/N(H23))</f>
        <v/>
      </c>
      <c r="M23" s="15">
        <f>IF(OR($A23="",$J$65=0),"",N(J23)/$J$65)</f>
        <v/>
      </c>
    </row>
    <row r="24">
      <c r="A24" s="12" t="n"/>
      <c r="B24" s="12" t="n"/>
      <c r="C24" s="12" t="n"/>
      <c r="D24" s="12" t="n"/>
      <c r="E24" s="12" t="n"/>
      <c r="F24" s="13" t="n"/>
      <c r="G24" s="13" t="n"/>
      <c r="H24" s="14">
        <f>IF($A24="","",N(F24)*N(G24))</f>
        <v/>
      </c>
      <c r="I24" s="13" t="n"/>
      <c r="J24" s="14">
        <f>IF($A24="","",N(F24)*N(I24))</f>
        <v/>
      </c>
      <c r="K24" s="14">
        <f>IF($A24="","",N(J24)-N(H24))</f>
        <v/>
      </c>
      <c r="L24" s="15">
        <f>IF(OR($A24="",N(H24)=0),"",N(K24)/N(H24))</f>
        <v/>
      </c>
      <c r="M24" s="15">
        <f>IF(OR($A24="",$J$65=0),"",N(J24)/$J$65)</f>
        <v/>
      </c>
    </row>
    <row r="25">
      <c r="A25" s="12" t="n"/>
      <c r="B25" s="12" t="n"/>
      <c r="C25" s="12" t="n"/>
      <c r="D25" s="12" t="n"/>
      <c r="E25" s="12" t="n"/>
      <c r="F25" s="13" t="n"/>
      <c r="G25" s="13" t="n"/>
      <c r="H25" s="14">
        <f>IF($A25="","",N(F25)*N(G25))</f>
        <v/>
      </c>
      <c r="I25" s="13" t="n"/>
      <c r="J25" s="14">
        <f>IF($A25="","",N(F25)*N(I25))</f>
        <v/>
      </c>
      <c r="K25" s="14">
        <f>IF($A25="","",N(J25)-N(H25))</f>
        <v/>
      </c>
      <c r="L25" s="15">
        <f>IF(OR($A25="",N(H25)=0),"",N(K25)/N(H25))</f>
        <v/>
      </c>
      <c r="M25" s="15">
        <f>IF(OR($A25="",$J$65=0),"",N(J25)/$J$65)</f>
        <v/>
      </c>
    </row>
    <row r="26">
      <c r="A26" s="12" t="n"/>
      <c r="B26" s="12" t="n"/>
      <c r="C26" s="12" t="n"/>
      <c r="D26" s="12" t="n"/>
      <c r="E26" s="12" t="n"/>
      <c r="F26" s="13" t="n"/>
      <c r="G26" s="13" t="n"/>
      <c r="H26" s="14">
        <f>IF($A26="","",N(F26)*N(G26))</f>
        <v/>
      </c>
      <c r="I26" s="13" t="n"/>
      <c r="J26" s="14">
        <f>IF($A26="","",N(F26)*N(I26))</f>
        <v/>
      </c>
      <c r="K26" s="14">
        <f>IF($A26="","",N(J26)-N(H26))</f>
        <v/>
      </c>
      <c r="L26" s="15">
        <f>IF(OR($A26="",N(H26)=0),"",N(K26)/N(H26))</f>
        <v/>
      </c>
      <c r="M26" s="15">
        <f>IF(OR($A26="",$J$65=0),"",N(J26)/$J$65)</f>
        <v/>
      </c>
    </row>
    <row r="27">
      <c r="A27" s="12" t="n"/>
      <c r="B27" s="12" t="n"/>
      <c r="C27" s="12" t="n"/>
      <c r="D27" s="12" t="n"/>
      <c r="E27" s="12" t="n"/>
      <c r="F27" s="13" t="n"/>
      <c r="G27" s="13" t="n"/>
      <c r="H27" s="14">
        <f>IF($A27="","",N(F27)*N(G27))</f>
        <v/>
      </c>
      <c r="I27" s="13" t="n"/>
      <c r="J27" s="14">
        <f>IF($A27="","",N(F27)*N(I27))</f>
        <v/>
      </c>
      <c r="K27" s="14">
        <f>IF($A27="","",N(J27)-N(H27))</f>
        <v/>
      </c>
      <c r="L27" s="15">
        <f>IF(OR($A27="",N(H27)=0),"",N(K27)/N(H27))</f>
        <v/>
      </c>
      <c r="M27" s="15">
        <f>IF(OR($A27="",$J$65=0),"",N(J27)/$J$65)</f>
        <v/>
      </c>
    </row>
    <row r="28">
      <c r="A28" s="12" t="n"/>
      <c r="B28" s="12" t="n"/>
      <c r="C28" s="12" t="n"/>
      <c r="D28" s="12" t="n"/>
      <c r="E28" s="12" t="n"/>
      <c r="F28" s="13" t="n"/>
      <c r="G28" s="13" t="n"/>
      <c r="H28" s="14">
        <f>IF($A28="","",N(F28)*N(G28))</f>
        <v/>
      </c>
      <c r="I28" s="13" t="n"/>
      <c r="J28" s="14">
        <f>IF($A28="","",N(F28)*N(I28))</f>
        <v/>
      </c>
      <c r="K28" s="14">
        <f>IF($A28="","",N(J28)-N(H28))</f>
        <v/>
      </c>
      <c r="L28" s="15">
        <f>IF(OR($A28="",N(H28)=0),"",N(K28)/N(H28))</f>
        <v/>
      </c>
      <c r="M28" s="15">
        <f>IF(OR($A28="",$J$65=0),"",N(J28)/$J$65)</f>
        <v/>
      </c>
    </row>
    <row r="29">
      <c r="A29" s="12" t="n"/>
      <c r="B29" s="12" t="n"/>
      <c r="C29" s="12" t="n"/>
      <c r="D29" s="12" t="n"/>
      <c r="E29" s="12" t="n"/>
      <c r="F29" s="13" t="n"/>
      <c r="G29" s="13" t="n"/>
      <c r="H29" s="14">
        <f>IF($A29="","",N(F29)*N(G29))</f>
        <v/>
      </c>
      <c r="I29" s="13" t="n"/>
      <c r="J29" s="14">
        <f>IF($A29="","",N(F29)*N(I29))</f>
        <v/>
      </c>
      <c r="K29" s="14">
        <f>IF($A29="","",N(J29)-N(H29))</f>
        <v/>
      </c>
      <c r="L29" s="15">
        <f>IF(OR($A29="",N(H29)=0),"",N(K29)/N(H29))</f>
        <v/>
      </c>
      <c r="M29" s="15">
        <f>IF(OR($A29="",$J$65=0),"",N(J29)/$J$65)</f>
        <v/>
      </c>
    </row>
    <row r="30">
      <c r="A30" s="12" t="n"/>
      <c r="B30" s="12" t="n"/>
      <c r="C30" s="12" t="n"/>
      <c r="D30" s="12" t="n"/>
      <c r="E30" s="12" t="n"/>
      <c r="F30" s="13" t="n"/>
      <c r="G30" s="13" t="n"/>
      <c r="H30" s="14">
        <f>IF($A30="","",N(F30)*N(G30))</f>
        <v/>
      </c>
      <c r="I30" s="13" t="n"/>
      <c r="J30" s="14">
        <f>IF($A30="","",N(F30)*N(I30))</f>
        <v/>
      </c>
      <c r="K30" s="14">
        <f>IF($A30="","",N(J30)-N(H30))</f>
        <v/>
      </c>
      <c r="L30" s="15">
        <f>IF(OR($A30="",N(H30)=0),"",N(K30)/N(H30))</f>
        <v/>
      </c>
      <c r="M30" s="15">
        <f>IF(OR($A30="",$J$65=0),"",N(J30)/$J$65)</f>
        <v/>
      </c>
    </row>
    <row r="31">
      <c r="A31" s="12" t="n"/>
      <c r="B31" s="12" t="n"/>
      <c r="C31" s="12" t="n"/>
      <c r="D31" s="12" t="n"/>
      <c r="E31" s="12" t="n"/>
      <c r="F31" s="13" t="n"/>
      <c r="G31" s="13" t="n"/>
      <c r="H31" s="14">
        <f>IF($A31="","",N(F31)*N(G31))</f>
        <v/>
      </c>
      <c r="I31" s="13" t="n"/>
      <c r="J31" s="14">
        <f>IF($A31="","",N(F31)*N(I31))</f>
        <v/>
      </c>
      <c r="K31" s="14">
        <f>IF($A31="","",N(J31)-N(H31))</f>
        <v/>
      </c>
      <c r="L31" s="15">
        <f>IF(OR($A31="",N(H31)=0),"",N(K31)/N(H31))</f>
        <v/>
      </c>
      <c r="M31" s="15">
        <f>IF(OR($A31="",$J$65=0),"",N(J31)/$J$65)</f>
        <v/>
      </c>
    </row>
    <row r="32">
      <c r="A32" s="12" t="n"/>
      <c r="B32" s="12" t="n"/>
      <c r="C32" s="12" t="n"/>
      <c r="D32" s="12" t="n"/>
      <c r="E32" s="12" t="n"/>
      <c r="F32" s="13" t="n"/>
      <c r="G32" s="13" t="n"/>
      <c r="H32" s="14">
        <f>IF($A32="","",N(F32)*N(G32))</f>
        <v/>
      </c>
      <c r="I32" s="13" t="n"/>
      <c r="J32" s="14">
        <f>IF($A32="","",N(F32)*N(I32))</f>
        <v/>
      </c>
      <c r="K32" s="14">
        <f>IF($A32="","",N(J32)-N(H32))</f>
        <v/>
      </c>
      <c r="L32" s="15">
        <f>IF(OR($A32="",N(H32)=0),"",N(K32)/N(H32))</f>
        <v/>
      </c>
      <c r="M32" s="15">
        <f>IF(OR($A32="",$J$65=0),"",N(J32)/$J$65)</f>
        <v/>
      </c>
    </row>
    <row r="33">
      <c r="A33" s="12" t="n"/>
      <c r="B33" s="12" t="n"/>
      <c r="C33" s="12" t="n"/>
      <c r="D33" s="12" t="n"/>
      <c r="E33" s="12" t="n"/>
      <c r="F33" s="13" t="n"/>
      <c r="G33" s="13" t="n"/>
      <c r="H33" s="14">
        <f>IF($A33="","",N(F33)*N(G33))</f>
        <v/>
      </c>
      <c r="I33" s="13" t="n"/>
      <c r="J33" s="14">
        <f>IF($A33="","",N(F33)*N(I33))</f>
        <v/>
      </c>
      <c r="K33" s="14">
        <f>IF($A33="","",N(J33)-N(H33))</f>
        <v/>
      </c>
      <c r="L33" s="15">
        <f>IF(OR($A33="",N(H33)=0),"",N(K33)/N(H33))</f>
        <v/>
      </c>
      <c r="M33" s="15">
        <f>IF(OR($A33="",$J$65=0),"",N(J33)/$J$65)</f>
        <v/>
      </c>
    </row>
    <row r="34">
      <c r="A34" s="12" t="n"/>
      <c r="B34" s="12" t="n"/>
      <c r="C34" s="12" t="n"/>
      <c r="D34" s="12" t="n"/>
      <c r="E34" s="12" t="n"/>
      <c r="F34" s="13" t="n"/>
      <c r="G34" s="13" t="n"/>
      <c r="H34" s="14">
        <f>IF($A34="","",N(F34)*N(G34))</f>
        <v/>
      </c>
      <c r="I34" s="13" t="n"/>
      <c r="J34" s="14">
        <f>IF($A34="","",N(F34)*N(I34))</f>
        <v/>
      </c>
      <c r="K34" s="14">
        <f>IF($A34="","",N(J34)-N(H34))</f>
        <v/>
      </c>
      <c r="L34" s="15">
        <f>IF(OR($A34="",N(H34)=0),"",N(K34)/N(H34))</f>
        <v/>
      </c>
      <c r="M34" s="15">
        <f>IF(OR($A34="",$J$65=0),"",N(J34)/$J$65)</f>
        <v/>
      </c>
    </row>
    <row r="35">
      <c r="A35" s="12" t="n"/>
      <c r="B35" s="12" t="n"/>
      <c r="C35" s="12" t="n"/>
      <c r="D35" s="12" t="n"/>
      <c r="E35" s="12" t="n"/>
      <c r="F35" s="13" t="n"/>
      <c r="G35" s="13" t="n"/>
      <c r="H35" s="14">
        <f>IF($A35="","",N(F35)*N(G35))</f>
        <v/>
      </c>
      <c r="I35" s="13" t="n"/>
      <c r="J35" s="14">
        <f>IF($A35="","",N(F35)*N(I35))</f>
        <v/>
      </c>
      <c r="K35" s="14">
        <f>IF($A35="","",N(J35)-N(H35))</f>
        <v/>
      </c>
      <c r="L35" s="15">
        <f>IF(OR($A35="",N(H35)=0),"",N(K35)/N(H35))</f>
        <v/>
      </c>
      <c r="M35" s="15">
        <f>IF(OR($A35="",$J$65=0),"",N(J35)/$J$65)</f>
        <v/>
      </c>
    </row>
    <row r="36">
      <c r="A36" s="12" t="n"/>
      <c r="B36" s="12" t="n"/>
      <c r="C36" s="12" t="n"/>
      <c r="D36" s="12" t="n"/>
      <c r="E36" s="12" t="n"/>
      <c r="F36" s="13" t="n"/>
      <c r="G36" s="13" t="n"/>
      <c r="H36" s="14">
        <f>IF($A36="","",N(F36)*N(G36))</f>
        <v/>
      </c>
      <c r="I36" s="13" t="n"/>
      <c r="J36" s="14">
        <f>IF($A36="","",N(F36)*N(I36))</f>
        <v/>
      </c>
      <c r="K36" s="14">
        <f>IF($A36="","",N(J36)-N(H36))</f>
        <v/>
      </c>
      <c r="L36" s="15">
        <f>IF(OR($A36="",N(H36)=0),"",N(K36)/N(H36))</f>
        <v/>
      </c>
      <c r="M36" s="15">
        <f>IF(OR($A36="",$J$65=0),"",N(J36)/$J$65)</f>
        <v/>
      </c>
    </row>
    <row r="37">
      <c r="A37" s="12" t="n"/>
      <c r="B37" s="12" t="n"/>
      <c r="C37" s="12" t="n"/>
      <c r="D37" s="12" t="n"/>
      <c r="E37" s="12" t="n"/>
      <c r="F37" s="13" t="n"/>
      <c r="G37" s="13" t="n"/>
      <c r="H37" s="14">
        <f>IF($A37="","",N(F37)*N(G37))</f>
        <v/>
      </c>
      <c r="I37" s="13" t="n"/>
      <c r="J37" s="14">
        <f>IF($A37="","",N(F37)*N(I37))</f>
        <v/>
      </c>
      <c r="K37" s="14">
        <f>IF($A37="","",N(J37)-N(H37))</f>
        <v/>
      </c>
      <c r="L37" s="15">
        <f>IF(OR($A37="",N(H37)=0),"",N(K37)/N(H37))</f>
        <v/>
      </c>
      <c r="M37" s="15">
        <f>IF(OR($A37="",$J$65=0),"",N(J37)/$J$65)</f>
        <v/>
      </c>
    </row>
    <row r="38">
      <c r="A38" s="12" t="n"/>
      <c r="B38" s="12" t="n"/>
      <c r="C38" s="12" t="n"/>
      <c r="D38" s="12" t="n"/>
      <c r="E38" s="12" t="n"/>
      <c r="F38" s="13" t="n"/>
      <c r="G38" s="13" t="n"/>
      <c r="H38" s="14">
        <f>IF($A38="","",N(F38)*N(G38))</f>
        <v/>
      </c>
      <c r="I38" s="13" t="n"/>
      <c r="J38" s="14">
        <f>IF($A38="","",N(F38)*N(I38))</f>
        <v/>
      </c>
      <c r="K38" s="14">
        <f>IF($A38="","",N(J38)-N(H38))</f>
        <v/>
      </c>
      <c r="L38" s="15">
        <f>IF(OR($A38="",N(H38)=0),"",N(K38)/N(H38))</f>
        <v/>
      </c>
      <c r="M38" s="15">
        <f>IF(OR($A38="",$J$65=0),"",N(J38)/$J$65)</f>
        <v/>
      </c>
    </row>
    <row r="39">
      <c r="A39" s="12" t="n"/>
      <c r="B39" s="12" t="n"/>
      <c r="C39" s="12" t="n"/>
      <c r="D39" s="12" t="n"/>
      <c r="E39" s="12" t="n"/>
      <c r="F39" s="13" t="n"/>
      <c r="G39" s="13" t="n"/>
      <c r="H39" s="14">
        <f>IF($A39="","",N(F39)*N(G39))</f>
        <v/>
      </c>
      <c r="I39" s="13" t="n"/>
      <c r="J39" s="14">
        <f>IF($A39="","",N(F39)*N(I39))</f>
        <v/>
      </c>
      <c r="K39" s="14">
        <f>IF($A39="","",N(J39)-N(H39))</f>
        <v/>
      </c>
      <c r="L39" s="15">
        <f>IF(OR($A39="",N(H39)=0),"",N(K39)/N(H39))</f>
        <v/>
      </c>
      <c r="M39" s="15">
        <f>IF(OR($A39="",$J$65=0),"",N(J39)/$J$65)</f>
        <v/>
      </c>
    </row>
    <row r="40">
      <c r="A40" s="12" t="n"/>
      <c r="B40" s="12" t="n"/>
      <c r="C40" s="12" t="n"/>
      <c r="D40" s="12" t="n"/>
      <c r="E40" s="12" t="n"/>
      <c r="F40" s="13" t="n"/>
      <c r="G40" s="13" t="n"/>
      <c r="H40" s="14">
        <f>IF($A40="","",N(F40)*N(G40))</f>
        <v/>
      </c>
      <c r="I40" s="13" t="n"/>
      <c r="J40" s="14">
        <f>IF($A40="","",N(F40)*N(I40))</f>
        <v/>
      </c>
      <c r="K40" s="14">
        <f>IF($A40="","",N(J40)-N(H40))</f>
        <v/>
      </c>
      <c r="L40" s="15">
        <f>IF(OR($A40="",N(H40)=0),"",N(K40)/N(H40))</f>
        <v/>
      </c>
      <c r="M40" s="15">
        <f>IF(OR($A40="",$J$65=0),"",N(J40)/$J$65)</f>
        <v/>
      </c>
    </row>
    <row r="41">
      <c r="A41" s="12" t="n"/>
      <c r="B41" s="12" t="n"/>
      <c r="C41" s="12" t="n"/>
      <c r="D41" s="12" t="n"/>
      <c r="E41" s="12" t="n"/>
      <c r="F41" s="13" t="n"/>
      <c r="G41" s="13" t="n"/>
      <c r="H41" s="14">
        <f>IF($A41="","",N(F41)*N(G41))</f>
        <v/>
      </c>
      <c r="I41" s="13" t="n"/>
      <c r="J41" s="14">
        <f>IF($A41="","",N(F41)*N(I41))</f>
        <v/>
      </c>
      <c r="K41" s="14">
        <f>IF($A41="","",N(J41)-N(H41))</f>
        <v/>
      </c>
      <c r="L41" s="15">
        <f>IF(OR($A41="",N(H41)=0),"",N(K41)/N(H41))</f>
        <v/>
      </c>
      <c r="M41" s="15">
        <f>IF(OR($A41="",$J$65=0),"",N(J41)/$J$65)</f>
        <v/>
      </c>
    </row>
    <row r="42">
      <c r="A42" s="12" t="n"/>
      <c r="B42" s="12" t="n"/>
      <c r="C42" s="12" t="n"/>
      <c r="D42" s="12" t="n"/>
      <c r="E42" s="12" t="n"/>
      <c r="F42" s="13" t="n"/>
      <c r="G42" s="13" t="n"/>
      <c r="H42" s="14">
        <f>IF($A42="","",N(F42)*N(G42))</f>
        <v/>
      </c>
      <c r="I42" s="13" t="n"/>
      <c r="J42" s="14">
        <f>IF($A42="","",N(F42)*N(I42))</f>
        <v/>
      </c>
      <c r="K42" s="14">
        <f>IF($A42="","",N(J42)-N(H42))</f>
        <v/>
      </c>
      <c r="L42" s="15">
        <f>IF(OR($A42="",N(H42)=0),"",N(K42)/N(H42))</f>
        <v/>
      </c>
      <c r="M42" s="15">
        <f>IF(OR($A42="",$J$65=0),"",N(J42)/$J$65)</f>
        <v/>
      </c>
    </row>
    <row r="43">
      <c r="A43" s="12" t="n"/>
      <c r="B43" s="12" t="n"/>
      <c r="C43" s="12" t="n"/>
      <c r="D43" s="12" t="n"/>
      <c r="E43" s="12" t="n"/>
      <c r="F43" s="13" t="n"/>
      <c r="G43" s="13" t="n"/>
      <c r="H43" s="14">
        <f>IF($A43="","",N(F43)*N(G43))</f>
        <v/>
      </c>
      <c r="I43" s="13" t="n"/>
      <c r="J43" s="14">
        <f>IF($A43="","",N(F43)*N(I43))</f>
        <v/>
      </c>
      <c r="K43" s="14">
        <f>IF($A43="","",N(J43)-N(H43))</f>
        <v/>
      </c>
      <c r="L43" s="15">
        <f>IF(OR($A43="",N(H43)=0),"",N(K43)/N(H43))</f>
        <v/>
      </c>
      <c r="M43" s="15">
        <f>IF(OR($A43="",$J$65=0),"",N(J43)/$J$65)</f>
        <v/>
      </c>
    </row>
    <row r="44">
      <c r="A44" s="12" t="n"/>
      <c r="B44" s="12" t="n"/>
      <c r="C44" s="12" t="n"/>
      <c r="D44" s="12" t="n"/>
      <c r="E44" s="12" t="n"/>
      <c r="F44" s="13" t="n"/>
      <c r="G44" s="13" t="n"/>
      <c r="H44" s="14">
        <f>IF($A44="","",N(F44)*N(G44))</f>
        <v/>
      </c>
      <c r="I44" s="13" t="n"/>
      <c r="J44" s="14">
        <f>IF($A44="","",N(F44)*N(I44))</f>
        <v/>
      </c>
      <c r="K44" s="14">
        <f>IF($A44="","",N(J44)-N(H44))</f>
        <v/>
      </c>
      <c r="L44" s="15">
        <f>IF(OR($A44="",N(H44)=0),"",N(K44)/N(H44))</f>
        <v/>
      </c>
      <c r="M44" s="15">
        <f>IF(OR($A44="",$J$65=0),"",N(J44)/$J$65)</f>
        <v/>
      </c>
    </row>
    <row r="45">
      <c r="A45" s="12" t="n"/>
      <c r="B45" s="12" t="n"/>
      <c r="C45" s="12" t="n"/>
      <c r="D45" s="12" t="n"/>
      <c r="E45" s="12" t="n"/>
      <c r="F45" s="13" t="n"/>
      <c r="G45" s="13" t="n"/>
      <c r="H45" s="14">
        <f>IF($A45="","",N(F45)*N(G45))</f>
        <v/>
      </c>
      <c r="I45" s="13" t="n"/>
      <c r="J45" s="14">
        <f>IF($A45="","",N(F45)*N(I45))</f>
        <v/>
      </c>
      <c r="K45" s="14">
        <f>IF($A45="","",N(J45)-N(H45))</f>
        <v/>
      </c>
      <c r="L45" s="15">
        <f>IF(OR($A45="",N(H45)=0),"",N(K45)/N(H45))</f>
        <v/>
      </c>
      <c r="M45" s="15">
        <f>IF(OR($A45="",$J$65=0),"",N(J45)/$J$65)</f>
        <v/>
      </c>
    </row>
    <row r="46">
      <c r="A46" s="12" t="n"/>
      <c r="B46" s="12" t="n"/>
      <c r="C46" s="12" t="n"/>
      <c r="D46" s="12" t="n"/>
      <c r="E46" s="12" t="n"/>
      <c r="F46" s="13" t="n"/>
      <c r="G46" s="13" t="n"/>
      <c r="H46" s="14">
        <f>IF($A46="","",N(F46)*N(G46))</f>
        <v/>
      </c>
      <c r="I46" s="13" t="n"/>
      <c r="J46" s="14">
        <f>IF($A46="","",N(F46)*N(I46))</f>
        <v/>
      </c>
      <c r="K46" s="14">
        <f>IF($A46="","",N(J46)-N(H46))</f>
        <v/>
      </c>
      <c r="L46" s="15">
        <f>IF(OR($A46="",N(H46)=0),"",N(K46)/N(H46))</f>
        <v/>
      </c>
      <c r="M46" s="15">
        <f>IF(OR($A46="",$J$65=0),"",N(J46)/$J$65)</f>
        <v/>
      </c>
    </row>
    <row r="47">
      <c r="A47" s="12" t="n"/>
      <c r="B47" s="12" t="n"/>
      <c r="C47" s="12" t="n"/>
      <c r="D47" s="12" t="n"/>
      <c r="E47" s="12" t="n"/>
      <c r="F47" s="13" t="n"/>
      <c r="G47" s="13" t="n"/>
      <c r="H47" s="14">
        <f>IF($A47="","",N(F47)*N(G47))</f>
        <v/>
      </c>
      <c r="I47" s="13" t="n"/>
      <c r="J47" s="14">
        <f>IF($A47="","",N(F47)*N(I47))</f>
        <v/>
      </c>
      <c r="K47" s="14">
        <f>IF($A47="","",N(J47)-N(H47))</f>
        <v/>
      </c>
      <c r="L47" s="15">
        <f>IF(OR($A47="",N(H47)=0),"",N(K47)/N(H47))</f>
        <v/>
      </c>
      <c r="M47" s="15">
        <f>IF(OR($A47="",$J$65=0),"",N(J47)/$J$65)</f>
        <v/>
      </c>
    </row>
    <row r="48">
      <c r="A48" s="12" t="n"/>
      <c r="B48" s="12" t="n"/>
      <c r="C48" s="12" t="n"/>
      <c r="D48" s="12" t="n"/>
      <c r="E48" s="12" t="n"/>
      <c r="F48" s="13" t="n"/>
      <c r="G48" s="13" t="n"/>
      <c r="H48" s="14">
        <f>IF($A48="","",N(F48)*N(G48))</f>
        <v/>
      </c>
      <c r="I48" s="13" t="n"/>
      <c r="J48" s="14">
        <f>IF($A48="","",N(F48)*N(I48))</f>
        <v/>
      </c>
      <c r="K48" s="14">
        <f>IF($A48="","",N(J48)-N(H48))</f>
        <v/>
      </c>
      <c r="L48" s="15">
        <f>IF(OR($A48="",N(H48)=0),"",N(K48)/N(H48))</f>
        <v/>
      </c>
      <c r="M48" s="15">
        <f>IF(OR($A48="",$J$65=0),"",N(J48)/$J$65)</f>
        <v/>
      </c>
    </row>
    <row r="49">
      <c r="A49" s="12" t="n"/>
      <c r="B49" s="12" t="n"/>
      <c r="C49" s="12" t="n"/>
      <c r="D49" s="12" t="n"/>
      <c r="E49" s="12" t="n"/>
      <c r="F49" s="13" t="n"/>
      <c r="G49" s="13" t="n"/>
      <c r="H49" s="14">
        <f>IF($A49="","",N(F49)*N(G49))</f>
        <v/>
      </c>
      <c r="I49" s="13" t="n"/>
      <c r="J49" s="14">
        <f>IF($A49="","",N(F49)*N(I49))</f>
        <v/>
      </c>
      <c r="K49" s="14">
        <f>IF($A49="","",N(J49)-N(H49))</f>
        <v/>
      </c>
      <c r="L49" s="15">
        <f>IF(OR($A49="",N(H49)=0),"",N(K49)/N(H49))</f>
        <v/>
      </c>
      <c r="M49" s="15">
        <f>IF(OR($A49="",$J$65=0),"",N(J49)/$J$65)</f>
        <v/>
      </c>
    </row>
    <row r="50">
      <c r="A50" s="12" t="n"/>
      <c r="B50" s="12" t="n"/>
      <c r="C50" s="12" t="n"/>
      <c r="D50" s="12" t="n"/>
      <c r="E50" s="12" t="n"/>
      <c r="F50" s="13" t="n"/>
      <c r="G50" s="13" t="n"/>
      <c r="H50" s="14">
        <f>IF($A50="","",N(F50)*N(G50))</f>
        <v/>
      </c>
      <c r="I50" s="13" t="n"/>
      <c r="J50" s="14">
        <f>IF($A50="","",N(F50)*N(I50))</f>
        <v/>
      </c>
      <c r="K50" s="14">
        <f>IF($A50="","",N(J50)-N(H50))</f>
        <v/>
      </c>
      <c r="L50" s="15">
        <f>IF(OR($A50="",N(H50)=0),"",N(K50)/N(H50))</f>
        <v/>
      </c>
      <c r="M50" s="15">
        <f>IF(OR($A50="",$J$65=0),"",N(J50)/$J$65)</f>
        <v/>
      </c>
    </row>
    <row r="51">
      <c r="A51" s="12" t="n"/>
      <c r="B51" s="12" t="n"/>
      <c r="C51" s="12" t="n"/>
      <c r="D51" s="12" t="n"/>
      <c r="E51" s="12" t="n"/>
      <c r="F51" s="13" t="n"/>
      <c r="G51" s="13" t="n"/>
      <c r="H51" s="14">
        <f>IF($A51="","",N(F51)*N(G51))</f>
        <v/>
      </c>
      <c r="I51" s="13" t="n"/>
      <c r="J51" s="14">
        <f>IF($A51="","",N(F51)*N(I51))</f>
        <v/>
      </c>
      <c r="K51" s="14">
        <f>IF($A51="","",N(J51)-N(H51))</f>
        <v/>
      </c>
      <c r="L51" s="15">
        <f>IF(OR($A51="",N(H51)=0),"",N(K51)/N(H51))</f>
        <v/>
      </c>
      <c r="M51" s="15">
        <f>IF(OR($A51="",$J$65=0),"",N(J51)/$J$65)</f>
        <v/>
      </c>
    </row>
    <row r="52">
      <c r="A52" s="12" t="n"/>
      <c r="B52" s="12" t="n"/>
      <c r="C52" s="12" t="n"/>
      <c r="D52" s="12" t="n"/>
      <c r="E52" s="12" t="n"/>
      <c r="F52" s="13" t="n"/>
      <c r="G52" s="13" t="n"/>
      <c r="H52" s="14">
        <f>IF($A52="","",N(F52)*N(G52))</f>
        <v/>
      </c>
      <c r="I52" s="13" t="n"/>
      <c r="J52" s="14">
        <f>IF($A52="","",N(F52)*N(I52))</f>
        <v/>
      </c>
      <c r="K52" s="14">
        <f>IF($A52="","",N(J52)-N(H52))</f>
        <v/>
      </c>
      <c r="L52" s="15">
        <f>IF(OR($A52="",N(H52)=0),"",N(K52)/N(H52))</f>
        <v/>
      </c>
      <c r="M52" s="15">
        <f>IF(OR($A52="",$J$65=0),"",N(J52)/$J$65)</f>
        <v/>
      </c>
    </row>
    <row r="53">
      <c r="A53" s="12" t="n"/>
      <c r="B53" s="12" t="n"/>
      <c r="C53" s="12" t="n"/>
      <c r="D53" s="12" t="n"/>
      <c r="E53" s="12" t="n"/>
      <c r="F53" s="13" t="n"/>
      <c r="G53" s="13" t="n"/>
      <c r="H53" s="14">
        <f>IF($A53="","",N(F53)*N(G53))</f>
        <v/>
      </c>
      <c r="I53" s="13" t="n"/>
      <c r="J53" s="14">
        <f>IF($A53="","",N(F53)*N(I53))</f>
        <v/>
      </c>
      <c r="K53" s="14">
        <f>IF($A53="","",N(J53)-N(H53))</f>
        <v/>
      </c>
      <c r="L53" s="15">
        <f>IF(OR($A53="",N(H53)=0),"",N(K53)/N(H53))</f>
        <v/>
      </c>
      <c r="M53" s="15">
        <f>IF(OR($A53="",$J$65=0),"",N(J53)/$J$65)</f>
        <v/>
      </c>
    </row>
    <row r="54">
      <c r="A54" s="12" t="n"/>
      <c r="B54" s="12" t="n"/>
      <c r="C54" s="12" t="n"/>
      <c r="D54" s="12" t="n"/>
      <c r="E54" s="12" t="n"/>
      <c r="F54" s="13" t="n"/>
      <c r="G54" s="13" t="n"/>
      <c r="H54" s="14">
        <f>IF($A54="","",N(F54)*N(G54))</f>
        <v/>
      </c>
      <c r="I54" s="13" t="n"/>
      <c r="J54" s="14">
        <f>IF($A54="","",N(F54)*N(I54))</f>
        <v/>
      </c>
      <c r="K54" s="14">
        <f>IF($A54="","",N(J54)-N(H54))</f>
        <v/>
      </c>
      <c r="L54" s="15">
        <f>IF(OR($A54="",N(H54)=0),"",N(K54)/N(H54))</f>
        <v/>
      </c>
      <c r="M54" s="15">
        <f>IF(OR($A54="",$J$65=0),"",N(J54)/$J$65)</f>
        <v/>
      </c>
    </row>
    <row r="55">
      <c r="A55" s="12" t="n"/>
      <c r="B55" s="12" t="n"/>
      <c r="C55" s="12" t="n"/>
      <c r="D55" s="12" t="n"/>
      <c r="E55" s="12" t="n"/>
      <c r="F55" s="13" t="n"/>
      <c r="G55" s="13" t="n"/>
      <c r="H55" s="14">
        <f>IF($A55="","",N(F55)*N(G55))</f>
        <v/>
      </c>
      <c r="I55" s="13" t="n"/>
      <c r="J55" s="14">
        <f>IF($A55="","",N(F55)*N(I55))</f>
        <v/>
      </c>
      <c r="K55" s="14">
        <f>IF($A55="","",N(J55)-N(H55))</f>
        <v/>
      </c>
      <c r="L55" s="15">
        <f>IF(OR($A55="",N(H55)=0),"",N(K55)/N(H55))</f>
        <v/>
      </c>
      <c r="M55" s="15">
        <f>IF(OR($A55="",$J$65=0),"",N(J55)/$J$65)</f>
        <v/>
      </c>
    </row>
    <row r="56">
      <c r="A56" s="12" t="n"/>
      <c r="B56" s="12" t="n"/>
      <c r="C56" s="12" t="n"/>
      <c r="D56" s="12" t="n"/>
      <c r="E56" s="12" t="n"/>
      <c r="F56" s="13" t="n"/>
      <c r="G56" s="13" t="n"/>
      <c r="H56" s="14">
        <f>IF($A56="","",N(F56)*N(G56))</f>
        <v/>
      </c>
      <c r="I56" s="13" t="n"/>
      <c r="J56" s="14">
        <f>IF($A56="","",N(F56)*N(I56))</f>
        <v/>
      </c>
      <c r="K56" s="14">
        <f>IF($A56="","",N(J56)-N(H56))</f>
        <v/>
      </c>
      <c r="L56" s="15">
        <f>IF(OR($A56="",N(H56)=0),"",N(K56)/N(H56))</f>
        <v/>
      </c>
      <c r="M56" s="15">
        <f>IF(OR($A56="",$J$65=0),"",N(J56)/$J$65)</f>
        <v/>
      </c>
    </row>
    <row r="57">
      <c r="A57" s="12" t="n"/>
      <c r="B57" s="12" t="n"/>
      <c r="C57" s="12" t="n"/>
      <c r="D57" s="12" t="n"/>
      <c r="E57" s="12" t="n"/>
      <c r="F57" s="13" t="n"/>
      <c r="G57" s="13" t="n"/>
      <c r="H57" s="14">
        <f>IF($A57="","",N(F57)*N(G57))</f>
        <v/>
      </c>
      <c r="I57" s="13" t="n"/>
      <c r="J57" s="14">
        <f>IF($A57="","",N(F57)*N(I57))</f>
        <v/>
      </c>
      <c r="K57" s="14">
        <f>IF($A57="","",N(J57)-N(H57))</f>
        <v/>
      </c>
      <c r="L57" s="15">
        <f>IF(OR($A57="",N(H57)=0),"",N(K57)/N(H57))</f>
        <v/>
      </c>
      <c r="M57" s="15">
        <f>IF(OR($A57="",$J$65=0),"",N(J57)/$J$65)</f>
        <v/>
      </c>
    </row>
    <row r="58">
      <c r="A58" s="12" t="n"/>
      <c r="B58" s="12" t="n"/>
      <c r="C58" s="12" t="n"/>
      <c r="D58" s="12" t="n"/>
      <c r="E58" s="12" t="n"/>
      <c r="F58" s="13" t="n"/>
      <c r="G58" s="13" t="n"/>
      <c r="H58" s="14">
        <f>IF($A58="","",N(F58)*N(G58))</f>
        <v/>
      </c>
      <c r="I58" s="13" t="n"/>
      <c r="J58" s="14">
        <f>IF($A58="","",N(F58)*N(I58))</f>
        <v/>
      </c>
      <c r="K58" s="14">
        <f>IF($A58="","",N(J58)-N(H58))</f>
        <v/>
      </c>
      <c r="L58" s="15">
        <f>IF(OR($A58="",N(H58)=0),"",N(K58)/N(H58))</f>
        <v/>
      </c>
      <c r="M58" s="15">
        <f>IF(OR($A58="",$J$65=0),"",N(J58)/$J$65)</f>
        <v/>
      </c>
    </row>
    <row r="59">
      <c r="A59" s="12" t="n"/>
      <c r="B59" s="12" t="n"/>
      <c r="C59" s="12" t="n"/>
      <c r="D59" s="12" t="n"/>
      <c r="E59" s="12" t="n"/>
      <c r="F59" s="13" t="n"/>
      <c r="G59" s="13" t="n"/>
      <c r="H59" s="14">
        <f>IF($A59="","",N(F59)*N(G59))</f>
        <v/>
      </c>
      <c r="I59" s="13" t="n"/>
      <c r="J59" s="14">
        <f>IF($A59="","",N(F59)*N(I59))</f>
        <v/>
      </c>
      <c r="K59" s="14">
        <f>IF($A59="","",N(J59)-N(H59))</f>
        <v/>
      </c>
      <c r="L59" s="15">
        <f>IF(OR($A59="",N(H59)=0),"",N(K59)/N(H59))</f>
        <v/>
      </c>
      <c r="M59" s="15">
        <f>IF(OR($A59="",$J$65=0),"",N(J59)/$J$65)</f>
        <v/>
      </c>
    </row>
    <row r="60">
      <c r="A60" s="12" t="n"/>
      <c r="B60" s="12" t="n"/>
      <c r="C60" s="12" t="n"/>
      <c r="D60" s="12" t="n"/>
      <c r="E60" s="12" t="n"/>
      <c r="F60" s="13" t="n"/>
      <c r="G60" s="13" t="n"/>
      <c r="H60" s="14">
        <f>IF($A60="","",N(F60)*N(G60))</f>
        <v/>
      </c>
      <c r="I60" s="13" t="n"/>
      <c r="J60" s="14">
        <f>IF($A60="","",N(F60)*N(I60))</f>
        <v/>
      </c>
      <c r="K60" s="14">
        <f>IF($A60="","",N(J60)-N(H60))</f>
        <v/>
      </c>
      <c r="L60" s="15">
        <f>IF(OR($A60="",N(H60)=0),"",N(K60)/N(H60))</f>
        <v/>
      </c>
      <c r="M60" s="15">
        <f>IF(OR($A60="",$J$65=0),"",N(J60)/$J$65)</f>
        <v/>
      </c>
    </row>
    <row r="61">
      <c r="A61" s="12" t="n"/>
      <c r="B61" s="12" t="n"/>
      <c r="C61" s="12" t="n"/>
      <c r="D61" s="12" t="n"/>
      <c r="E61" s="12" t="n"/>
      <c r="F61" s="13" t="n"/>
      <c r="G61" s="13" t="n"/>
      <c r="H61" s="14">
        <f>IF($A61="","",N(F61)*N(G61))</f>
        <v/>
      </c>
      <c r="I61" s="13" t="n"/>
      <c r="J61" s="14">
        <f>IF($A61="","",N(F61)*N(I61))</f>
        <v/>
      </c>
      <c r="K61" s="14">
        <f>IF($A61="","",N(J61)-N(H61))</f>
        <v/>
      </c>
      <c r="L61" s="15">
        <f>IF(OR($A61="",N(H61)=0),"",N(K61)/N(H61))</f>
        <v/>
      </c>
      <c r="M61" s="15">
        <f>IF(OR($A61="",$J$65=0),"",N(J61)/$J$65)</f>
        <v/>
      </c>
    </row>
    <row r="62">
      <c r="A62" s="12" t="n"/>
      <c r="B62" s="12" t="n"/>
      <c r="C62" s="12" t="n"/>
      <c r="D62" s="12" t="n"/>
      <c r="E62" s="12" t="n"/>
      <c r="F62" s="13" t="n"/>
      <c r="G62" s="13" t="n"/>
      <c r="H62" s="14">
        <f>IF($A62="","",N(F62)*N(G62))</f>
        <v/>
      </c>
      <c r="I62" s="13" t="n"/>
      <c r="J62" s="14">
        <f>IF($A62="","",N(F62)*N(I62))</f>
        <v/>
      </c>
      <c r="K62" s="14">
        <f>IF($A62="","",N(J62)-N(H62))</f>
        <v/>
      </c>
      <c r="L62" s="15">
        <f>IF(OR($A62="",N(H62)=0),"",N(K62)/N(H62))</f>
        <v/>
      </c>
      <c r="M62" s="15">
        <f>IF(OR($A62="",$J$65=0),"",N(J62)/$J$65)</f>
        <v/>
      </c>
    </row>
    <row r="63">
      <c r="A63" s="12" t="n"/>
      <c r="B63" s="12" t="n"/>
      <c r="C63" s="12" t="n"/>
      <c r="D63" s="12" t="n"/>
      <c r="E63" s="12" t="n"/>
      <c r="F63" s="13" t="n"/>
      <c r="G63" s="13" t="n"/>
      <c r="H63" s="14">
        <f>IF($A63="","",N(F63)*N(G63))</f>
        <v/>
      </c>
      <c r="I63" s="13" t="n"/>
      <c r="J63" s="14">
        <f>IF($A63="","",N(F63)*N(I63))</f>
        <v/>
      </c>
      <c r="K63" s="14">
        <f>IF($A63="","",N(J63)-N(H63))</f>
        <v/>
      </c>
      <c r="L63" s="15">
        <f>IF(OR($A63="",N(H63)=0),"",N(K63)/N(H63))</f>
        <v/>
      </c>
      <c r="M63" s="15">
        <f>IF(OR($A63="",$J$65=0),"",N(J63)/$J$65)</f>
        <v/>
      </c>
    </row>
    <row r="64">
      <c r="A64" s="12" t="n"/>
      <c r="B64" s="12" t="n"/>
      <c r="C64" s="12" t="n"/>
      <c r="D64" s="12" t="n"/>
      <c r="E64" s="12" t="n"/>
      <c r="F64" s="13" t="n"/>
      <c r="G64" s="13" t="n"/>
      <c r="H64" s="14">
        <f>IF($A64="","",N(F64)*N(G64))</f>
        <v/>
      </c>
      <c r="I64" s="13" t="n"/>
      <c r="J64" s="14">
        <f>IF($A64="","",N(F64)*N(I64))</f>
        <v/>
      </c>
      <c r="K64" s="14">
        <f>IF($A64="","",N(J64)-N(H64))</f>
        <v/>
      </c>
      <c r="L64" s="15">
        <f>IF(OR($A64="",N(H64)=0),"",N(K64)/N(H64))</f>
        <v/>
      </c>
      <c r="M64" s="15">
        <f>IF(OR($A64="",$J$65=0),"",N(J64)/$J$65)</f>
        <v/>
      </c>
    </row>
    <row r="65">
      <c r="A65" s="16" t="inlineStr">
        <is>
          <t>TOTAL</t>
        </is>
      </c>
      <c r="H65" s="17">
        <f>SUM(H5:H64)</f>
        <v/>
      </c>
      <c r="J65" s="17">
        <f>SUM(J5:J64)</f>
        <v/>
      </c>
      <c r="K65" s="17">
        <f>SUM(K5:K64)</f>
        <v/>
      </c>
      <c r="L65" s="18">
        <f>IF(H65=0,"",K65/H65)</f>
        <v/>
      </c>
    </row>
  </sheetData>
  <dataValidations count="2">
    <dataValidation sqref="C5 C6 C7 C8 C9 C10 C11 C12 C13 C14 C15 C16 C17 C18 C19 C20 C21 C22 C23 C24 C25 C26 C27 C28 C29 C30 C31 C32 C33 C34 C35 C36 C37 C38 C39 C40 C41 C42 C43 C44 C45 C46 C47 C48 C49 C50 C51 C52 C53 C54 C55 C56 C57 C58 C59 C60 C61 C62 C63 C64" showDropDown="0" showInputMessage="0" showErrorMessage="0" allowBlank="1" type="list">
      <formula1>"TFSA,RRSP,FHSA,RESP,Non-registered,LIRA,Other"</formula1>
    </dataValidation>
    <dataValidation sqref="D5 D6 D7 D8 D9 D10 D11 D12 D13 D14 D15 D16 D17 D18 D19 D20 D21 D22 D23 D24 D25 D26 D27 D28 D29 D30 D31 D32 D33 D34 D35 D36 D37 D38 D39 D40 D41 D42 D43 D44 D45 D46 D47 D48 D49 D50 D51 D52 D53 D54 D55 D56 D57 D58 D59 D60 D61 D62 D63 D64" showDropDown="0" showInputMessage="0" showErrorMessage="0" allowBlank="1" type="list">
      <formula1>"Equity — Canada,Equity — US,Equity — Global,Fixed income,Cash &amp; equivalents,Real assets,Crypto,Other"</formula1>
    </dataValidation>
  </dataValidations>
  <pageMargins left="0.75" right="0.75" top="1" bottom="1" header="0.5" footer="0.5"/>
</worksheet>
</file>

<file path=xl/worksheets/sheet3.xml><?xml version="1.0" encoding="utf-8"?>
<worksheet xmlns="http://schemas.openxmlformats.org/spreadsheetml/2006/main">
  <sheetPr>
    <tabColor rgb="0000B4A6"/>
    <outlinePr summaryBelow="1" summaryRight="1"/>
    <pageSetUpPr/>
  </sheetPr>
  <dimension ref="A1:E304"/>
  <sheetViews>
    <sheetView showGridLines="0" workbookViewId="0">
      <pane ySplit="4" topLeftCell="A5" activePane="bottomLeft" state="frozen"/>
      <selection pane="bottomLeft" activeCell="A1" sqref="A1"/>
    </sheetView>
  </sheetViews>
  <sheetFormatPr baseColWidth="8" defaultRowHeight="15"/>
  <cols>
    <col width="13" customWidth="1" min="1" max="1"/>
    <col width="18" customWidth="1" min="2" max="2"/>
    <col width="20" customWidth="1" min="3" max="3"/>
    <col width="15" customWidth="1" min="4" max="4"/>
    <col width="44" customWidth="1" min="5" max="5"/>
  </cols>
  <sheetData>
    <row r="1" ht="30" customHeight="1">
      <c r="A1" s="1" t="inlineStr">
        <is>
          <t>Contributions</t>
        </is>
      </c>
      <c r="B1" s="2" t="n"/>
      <c r="C1" s="2" t="n"/>
      <c r="D1" s="2" t="n"/>
      <c r="E1" s="2" t="n"/>
    </row>
    <row r="2" ht="18" customHeight="1">
      <c r="A2" s="3" t="inlineStr">
        <is>
          <t>Every deposit and withdrawal, by account. Needed for real return.</t>
        </is>
      </c>
      <c r="B2" s="2" t="n"/>
      <c r="C2" s="2" t="n"/>
      <c r="D2" s="2" t="n"/>
      <c r="E2" s="2" t="n"/>
    </row>
    <row r="4" ht="28" customHeight="1">
      <c r="A4" s="11" t="inlineStr">
        <is>
          <t>Date</t>
        </is>
      </c>
      <c r="B4" s="11" t="inlineStr">
        <is>
          <t>Account</t>
        </is>
      </c>
      <c r="C4" s="11" t="inlineStr">
        <is>
          <t>Type</t>
        </is>
      </c>
      <c r="D4" s="11" t="inlineStr">
        <is>
          <t>Amount</t>
        </is>
      </c>
      <c r="E4" s="11" t="inlineStr">
        <is>
          <t>Note</t>
        </is>
      </c>
    </row>
    <row r="5">
      <c r="A5" s="19" t="n"/>
      <c r="B5" s="12" t="n"/>
      <c r="C5" s="12" t="n"/>
      <c r="D5" s="20" t="n"/>
      <c r="E5" s="12" t="n"/>
    </row>
    <row r="6">
      <c r="A6" s="19" t="n"/>
      <c r="B6" s="12" t="n"/>
      <c r="C6" s="12" t="n"/>
      <c r="D6" s="20" t="n"/>
      <c r="E6" s="12" t="n"/>
    </row>
    <row r="7">
      <c r="A7" s="19" t="n"/>
      <c r="B7" s="12" t="n"/>
      <c r="C7" s="12" t="n"/>
      <c r="D7" s="20" t="n"/>
      <c r="E7" s="12" t="n"/>
    </row>
    <row r="8">
      <c r="A8" s="19" t="n"/>
      <c r="B8" s="12" t="n"/>
      <c r="C8" s="12" t="n"/>
      <c r="D8" s="20" t="n"/>
      <c r="E8" s="12" t="n"/>
    </row>
    <row r="9">
      <c r="A9" s="19" t="n"/>
      <c r="B9" s="12" t="n"/>
      <c r="C9" s="12" t="n"/>
      <c r="D9" s="20" t="n"/>
      <c r="E9" s="12" t="n"/>
    </row>
    <row r="10">
      <c r="A10" s="19" t="n"/>
      <c r="B10" s="12" t="n"/>
      <c r="C10" s="12" t="n"/>
      <c r="D10" s="20" t="n"/>
      <c r="E10" s="12" t="n"/>
    </row>
    <row r="11">
      <c r="A11" s="19" t="n"/>
      <c r="B11" s="12" t="n"/>
      <c r="C11" s="12" t="n"/>
      <c r="D11" s="20" t="n"/>
      <c r="E11" s="12" t="n"/>
    </row>
    <row r="12">
      <c r="A12" s="19" t="n"/>
      <c r="B12" s="12" t="n"/>
      <c r="C12" s="12" t="n"/>
      <c r="D12" s="20" t="n"/>
      <c r="E12" s="12" t="n"/>
    </row>
    <row r="13">
      <c r="A13" s="19" t="n"/>
      <c r="B13" s="12" t="n"/>
      <c r="C13" s="12" t="n"/>
      <c r="D13" s="20" t="n"/>
      <c r="E13" s="12" t="n"/>
    </row>
    <row r="14">
      <c r="A14" s="19" t="n"/>
      <c r="B14" s="12" t="n"/>
      <c r="C14" s="12" t="n"/>
      <c r="D14" s="20" t="n"/>
      <c r="E14" s="12" t="n"/>
    </row>
    <row r="15">
      <c r="A15" s="19" t="n"/>
      <c r="B15" s="12" t="n"/>
      <c r="C15" s="12" t="n"/>
      <c r="D15" s="20" t="n"/>
      <c r="E15" s="12" t="n"/>
    </row>
    <row r="16">
      <c r="A16" s="19" t="n"/>
      <c r="B16" s="12" t="n"/>
      <c r="C16" s="12" t="n"/>
      <c r="D16" s="20" t="n"/>
      <c r="E16" s="12" t="n"/>
    </row>
    <row r="17">
      <c r="A17" s="19" t="n"/>
      <c r="B17" s="12" t="n"/>
      <c r="C17" s="12" t="n"/>
      <c r="D17" s="20" t="n"/>
      <c r="E17" s="12" t="n"/>
    </row>
    <row r="18">
      <c r="A18" s="19" t="n"/>
      <c r="B18" s="12" t="n"/>
      <c r="C18" s="12" t="n"/>
      <c r="D18" s="20" t="n"/>
      <c r="E18" s="12" t="n"/>
    </row>
    <row r="19">
      <c r="A19" s="19" t="n"/>
      <c r="B19" s="12" t="n"/>
      <c r="C19" s="12" t="n"/>
      <c r="D19" s="20" t="n"/>
      <c r="E19" s="12" t="n"/>
    </row>
    <row r="20">
      <c r="A20" s="19" t="n"/>
      <c r="B20" s="12" t="n"/>
      <c r="C20" s="12" t="n"/>
      <c r="D20" s="20" t="n"/>
      <c r="E20" s="12" t="n"/>
    </row>
    <row r="21">
      <c r="A21" s="19" t="n"/>
      <c r="B21" s="12" t="n"/>
      <c r="C21" s="12" t="n"/>
      <c r="D21" s="20" t="n"/>
      <c r="E21" s="12" t="n"/>
    </row>
    <row r="22">
      <c r="A22" s="19" t="n"/>
      <c r="B22" s="12" t="n"/>
      <c r="C22" s="12" t="n"/>
      <c r="D22" s="20" t="n"/>
      <c r="E22" s="12" t="n"/>
    </row>
    <row r="23">
      <c r="A23" s="19" t="n"/>
      <c r="B23" s="12" t="n"/>
      <c r="C23" s="12" t="n"/>
      <c r="D23" s="20" t="n"/>
      <c r="E23" s="12" t="n"/>
    </row>
    <row r="24">
      <c r="A24" s="19" t="n"/>
      <c r="B24" s="12" t="n"/>
      <c r="C24" s="12" t="n"/>
      <c r="D24" s="20" t="n"/>
      <c r="E24" s="12" t="n"/>
    </row>
    <row r="25">
      <c r="A25" s="19" t="n"/>
      <c r="B25" s="12" t="n"/>
      <c r="C25" s="12" t="n"/>
      <c r="D25" s="20" t="n"/>
      <c r="E25" s="12" t="n"/>
    </row>
    <row r="26">
      <c r="A26" s="19" t="n"/>
      <c r="B26" s="12" t="n"/>
      <c r="C26" s="12" t="n"/>
      <c r="D26" s="20" t="n"/>
      <c r="E26" s="12" t="n"/>
    </row>
    <row r="27">
      <c r="A27" s="19" t="n"/>
      <c r="B27" s="12" t="n"/>
      <c r="C27" s="12" t="n"/>
      <c r="D27" s="20" t="n"/>
      <c r="E27" s="12" t="n"/>
    </row>
    <row r="28">
      <c r="A28" s="19" t="n"/>
      <c r="B28" s="12" t="n"/>
      <c r="C28" s="12" t="n"/>
      <c r="D28" s="20" t="n"/>
      <c r="E28" s="12" t="n"/>
    </row>
    <row r="29">
      <c r="A29" s="19" t="n"/>
      <c r="B29" s="12" t="n"/>
      <c r="C29" s="12" t="n"/>
      <c r="D29" s="20" t="n"/>
      <c r="E29" s="12" t="n"/>
    </row>
    <row r="30">
      <c r="A30" s="19" t="n"/>
      <c r="B30" s="12" t="n"/>
      <c r="C30" s="12" t="n"/>
      <c r="D30" s="20" t="n"/>
      <c r="E30" s="12" t="n"/>
    </row>
    <row r="31">
      <c r="A31" s="19" t="n"/>
      <c r="B31" s="12" t="n"/>
      <c r="C31" s="12" t="n"/>
      <c r="D31" s="20" t="n"/>
      <c r="E31" s="12" t="n"/>
    </row>
    <row r="32">
      <c r="A32" s="19" t="n"/>
      <c r="B32" s="12" t="n"/>
      <c r="C32" s="12" t="n"/>
      <c r="D32" s="20" t="n"/>
      <c r="E32" s="12" t="n"/>
    </row>
    <row r="33">
      <c r="A33" s="19" t="n"/>
      <c r="B33" s="12" t="n"/>
      <c r="C33" s="12" t="n"/>
      <c r="D33" s="20" t="n"/>
      <c r="E33" s="12" t="n"/>
    </row>
    <row r="34">
      <c r="A34" s="19" t="n"/>
      <c r="B34" s="12" t="n"/>
      <c r="C34" s="12" t="n"/>
      <c r="D34" s="20" t="n"/>
      <c r="E34" s="12" t="n"/>
    </row>
    <row r="35">
      <c r="A35" s="19" t="n"/>
      <c r="B35" s="12" t="n"/>
      <c r="C35" s="12" t="n"/>
      <c r="D35" s="20" t="n"/>
      <c r="E35" s="12" t="n"/>
    </row>
    <row r="36">
      <c r="A36" s="19" t="n"/>
      <c r="B36" s="12" t="n"/>
      <c r="C36" s="12" t="n"/>
      <c r="D36" s="20" t="n"/>
      <c r="E36" s="12" t="n"/>
    </row>
    <row r="37">
      <c r="A37" s="19" t="n"/>
      <c r="B37" s="12" t="n"/>
      <c r="C37" s="12" t="n"/>
      <c r="D37" s="20" t="n"/>
      <c r="E37" s="12" t="n"/>
    </row>
    <row r="38">
      <c r="A38" s="19" t="n"/>
      <c r="B38" s="12" t="n"/>
      <c r="C38" s="12" t="n"/>
      <c r="D38" s="20" t="n"/>
      <c r="E38" s="12" t="n"/>
    </row>
    <row r="39">
      <c r="A39" s="19" t="n"/>
      <c r="B39" s="12" t="n"/>
      <c r="C39" s="12" t="n"/>
      <c r="D39" s="20" t="n"/>
      <c r="E39" s="12" t="n"/>
    </row>
    <row r="40">
      <c r="A40" s="19" t="n"/>
      <c r="B40" s="12" t="n"/>
      <c r="C40" s="12" t="n"/>
      <c r="D40" s="20" t="n"/>
      <c r="E40" s="12" t="n"/>
    </row>
    <row r="41">
      <c r="A41" s="19" t="n"/>
      <c r="B41" s="12" t="n"/>
      <c r="C41" s="12" t="n"/>
      <c r="D41" s="20" t="n"/>
      <c r="E41" s="12" t="n"/>
    </row>
    <row r="42">
      <c r="A42" s="19" t="n"/>
      <c r="B42" s="12" t="n"/>
      <c r="C42" s="12" t="n"/>
      <c r="D42" s="20" t="n"/>
      <c r="E42" s="12" t="n"/>
    </row>
    <row r="43">
      <c r="A43" s="19" t="n"/>
      <c r="B43" s="12" t="n"/>
      <c r="C43" s="12" t="n"/>
      <c r="D43" s="20" t="n"/>
      <c r="E43" s="12" t="n"/>
    </row>
    <row r="44">
      <c r="A44" s="19" t="n"/>
      <c r="B44" s="12" t="n"/>
      <c r="C44" s="12" t="n"/>
      <c r="D44" s="20" t="n"/>
      <c r="E44" s="12" t="n"/>
    </row>
    <row r="45">
      <c r="A45" s="19" t="n"/>
      <c r="B45" s="12" t="n"/>
      <c r="C45" s="12" t="n"/>
      <c r="D45" s="20" t="n"/>
      <c r="E45" s="12" t="n"/>
    </row>
    <row r="46">
      <c r="A46" s="19" t="n"/>
      <c r="B46" s="12" t="n"/>
      <c r="C46" s="12" t="n"/>
      <c r="D46" s="20" t="n"/>
      <c r="E46" s="12" t="n"/>
    </row>
    <row r="47">
      <c r="A47" s="19" t="n"/>
      <c r="B47" s="12" t="n"/>
      <c r="C47" s="12" t="n"/>
      <c r="D47" s="20" t="n"/>
      <c r="E47" s="12" t="n"/>
    </row>
    <row r="48">
      <c r="A48" s="19" t="n"/>
      <c r="B48" s="12" t="n"/>
      <c r="C48" s="12" t="n"/>
      <c r="D48" s="20" t="n"/>
      <c r="E48" s="12" t="n"/>
    </row>
    <row r="49">
      <c r="A49" s="19" t="n"/>
      <c r="B49" s="12" t="n"/>
      <c r="C49" s="12" t="n"/>
      <c r="D49" s="20" t="n"/>
      <c r="E49" s="12" t="n"/>
    </row>
    <row r="50">
      <c r="A50" s="19" t="n"/>
      <c r="B50" s="12" t="n"/>
      <c r="C50" s="12" t="n"/>
      <c r="D50" s="20" t="n"/>
      <c r="E50" s="12" t="n"/>
    </row>
    <row r="51">
      <c r="A51" s="19" t="n"/>
      <c r="B51" s="12" t="n"/>
      <c r="C51" s="12" t="n"/>
      <c r="D51" s="20" t="n"/>
      <c r="E51" s="12" t="n"/>
    </row>
    <row r="52">
      <c r="A52" s="19" t="n"/>
      <c r="B52" s="12" t="n"/>
      <c r="C52" s="12" t="n"/>
      <c r="D52" s="20" t="n"/>
      <c r="E52" s="12" t="n"/>
    </row>
    <row r="53">
      <c r="A53" s="19" t="n"/>
      <c r="B53" s="12" t="n"/>
      <c r="C53" s="12" t="n"/>
      <c r="D53" s="20" t="n"/>
      <c r="E53" s="12" t="n"/>
    </row>
    <row r="54">
      <c r="A54" s="19" t="n"/>
      <c r="B54" s="12" t="n"/>
      <c r="C54" s="12" t="n"/>
      <c r="D54" s="20" t="n"/>
      <c r="E54" s="12" t="n"/>
    </row>
    <row r="55">
      <c r="A55" s="19" t="n"/>
      <c r="B55" s="12" t="n"/>
      <c r="C55" s="12" t="n"/>
      <c r="D55" s="20" t="n"/>
      <c r="E55" s="12" t="n"/>
    </row>
    <row r="56">
      <c r="A56" s="19" t="n"/>
      <c r="B56" s="12" t="n"/>
      <c r="C56" s="12" t="n"/>
      <c r="D56" s="20" t="n"/>
      <c r="E56" s="12" t="n"/>
    </row>
    <row r="57">
      <c r="A57" s="19" t="n"/>
      <c r="B57" s="12" t="n"/>
      <c r="C57" s="12" t="n"/>
      <c r="D57" s="20" t="n"/>
      <c r="E57" s="12" t="n"/>
    </row>
    <row r="58">
      <c r="A58" s="19" t="n"/>
      <c r="B58" s="12" t="n"/>
      <c r="C58" s="12" t="n"/>
      <c r="D58" s="20" t="n"/>
      <c r="E58" s="12" t="n"/>
    </row>
    <row r="59">
      <c r="A59" s="19" t="n"/>
      <c r="B59" s="12" t="n"/>
      <c r="C59" s="12" t="n"/>
      <c r="D59" s="20" t="n"/>
      <c r="E59" s="12" t="n"/>
    </row>
    <row r="60">
      <c r="A60" s="19" t="n"/>
      <c r="B60" s="12" t="n"/>
      <c r="C60" s="12" t="n"/>
      <c r="D60" s="20" t="n"/>
      <c r="E60" s="12" t="n"/>
    </row>
    <row r="61">
      <c r="A61" s="19" t="n"/>
      <c r="B61" s="12" t="n"/>
      <c r="C61" s="12" t="n"/>
      <c r="D61" s="20" t="n"/>
      <c r="E61" s="12" t="n"/>
    </row>
    <row r="62">
      <c r="A62" s="19" t="n"/>
      <c r="B62" s="12" t="n"/>
      <c r="C62" s="12" t="n"/>
      <c r="D62" s="20" t="n"/>
      <c r="E62" s="12" t="n"/>
    </row>
    <row r="63">
      <c r="A63" s="19" t="n"/>
      <c r="B63" s="12" t="n"/>
      <c r="C63" s="12" t="n"/>
      <c r="D63" s="20" t="n"/>
      <c r="E63" s="12" t="n"/>
    </row>
    <row r="64">
      <c r="A64" s="19" t="n"/>
      <c r="B64" s="12" t="n"/>
      <c r="C64" s="12" t="n"/>
      <c r="D64" s="20" t="n"/>
      <c r="E64" s="12" t="n"/>
    </row>
    <row r="65">
      <c r="A65" s="19" t="n"/>
      <c r="B65" s="12" t="n"/>
      <c r="C65" s="12" t="n"/>
      <c r="D65" s="20" t="n"/>
      <c r="E65" s="12" t="n"/>
    </row>
    <row r="66">
      <c r="A66" s="19" t="n"/>
      <c r="B66" s="12" t="n"/>
      <c r="C66" s="12" t="n"/>
      <c r="D66" s="20" t="n"/>
      <c r="E66" s="12" t="n"/>
    </row>
    <row r="67">
      <c r="A67" s="19" t="n"/>
      <c r="B67" s="12" t="n"/>
      <c r="C67" s="12" t="n"/>
      <c r="D67" s="20" t="n"/>
      <c r="E67" s="12" t="n"/>
    </row>
    <row r="68">
      <c r="A68" s="19" t="n"/>
      <c r="B68" s="12" t="n"/>
      <c r="C68" s="12" t="n"/>
      <c r="D68" s="20" t="n"/>
      <c r="E68" s="12" t="n"/>
    </row>
    <row r="69">
      <c r="A69" s="19" t="n"/>
      <c r="B69" s="12" t="n"/>
      <c r="C69" s="12" t="n"/>
      <c r="D69" s="20" t="n"/>
      <c r="E69" s="12" t="n"/>
    </row>
    <row r="70">
      <c r="A70" s="19" t="n"/>
      <c r="B70" s="12" t="n"/>
      <c r="C70" s="12" t="n"/>
      <c r="D70" s="20" t="n"/>
      <c r="E70" s="12" t="n"/>
    </row>
    <row r="71">
      <c r="A71" s="19" t="n"/>
      <c r="B71" s="12" t="n"/>
      <c r="C71" s="12" t="n"/>
      <c r="D71" s="20" t="n"/>
      <c r="E71" s="12" t="n"/>
    </row>
    <row r="72">
      <c r="A72" s="19" t="n"/>
      <c r="B72" s="12" t="n"/>
      <c r="C72" s="12" t="n"/>
      <c r="D72" s="20" t="n"/>
      <c r="E72" s="12" t="n"/>
    </row>
    <row r="73">
      <c r="A73" s="19" t="n"/>
      <c r="B73" s="12" t="n"/>
      <c r="C73" s="12" t="n"/>
      <c r="D73" s="20" t="n"/>
      <c r="E73" s="12" t="n"/>
    </row>
    <row r="74">
      <c r="A74" s="19" t="n"/>
      <c r="B74" s="12" t="n"/>
      <c r="C74" s="12" t="n"/>
      <c r="D74" s="20" t="n"/>
      <c r="E74" s="12" t="n"/>
    </row>
    <row r="75">
      <c r="A75" s="19" t="n"/>
      <c r="B75" s="12" t="n"/>
      <c r="C75" s="12" t="n"/>
      <c r="D75" s="20" t="n"/>
      <c r="E75" s="12" t="n"/>
    </row>
    <row r="76">
      <c r="A76" s="19" t="n"/>
      <c r="B76" s="12" t="n"/>
      <c r="C76" s="12" t="n"/>
      <c r="D76" s="20" t="n"/>
      <c r="E76" s="12" t="n"/>
    </row>
    <row r="77">
      <c r="A77" s="19" t="n"/>
      <c r="B77" s="12" t="n"/>
      <c r="C77" s="12" t="n"/>
      <c r="D77" s="20" t="n"/>
      <c r="E77" s="12" t="n"/>
    </row>
    <row r="78">
      <c r="A78" s="19" t="n"/>
      <c r="B78" s="12" t="n"/>
      <c r="C78" s="12" t="n"/>
      <c r="D78" s="20" t="n"/>
      <c r="E78" s="12" t="n"/>
    </row>
    <row r="79">
      <c r="A79" s="19" t="n"/>
      <c r="B79" s="12" t="n"/>
      <c r="C79" s="12" t="n"/>
      <c r="D79" s="20" t="n"/>
      <c r="E79" s="12" t="n"/>
    </row>
    <row r="80">
      <c r="A80" s="19" t="n"/>
      <c r="B80" s="12" t="n"/>
      <c r="C80" s="12" t="n"/>
      <c r="D80" s="20" t="n"/>
      <c r="E80" s="12" t="n"/>
    </row>
    <row r="81">
      <c r="A81" s="19" t="n"/>
      <c r="B81" s="12" t="n"/>
      <c r="C81" s="12" t="n"/>
      <c r="D81" s="20" t="n"/>
      <c r="E81" s="12" t="n"/>
    </row>
    <row r="82">
      <c r="A82" s="19" t="n"/>
      <c r="B82" s="12" t="n"/>
      <c r="C82" s="12" t="n"/>
      <c r="D82" s="20" t="n"/>
      <c r="E82" s="12" t="n"/>
    </row>
    <row r="83">
      <c r="A83" s="19" t="n"/>
      <c r="B83" s="12" t="n"/>
      <c r="C83" s="12" t="n"/>
      <c r="D83" s="20" t="n"/>
      <c r="E83" s="12" t="n"/>
    </row>
    <row r="84">
      <c r="A84" s="19" t="n"/>
      <c r="B84" s="12" t="n"/>
      <c r="C84" s="12" t="n"/>
      <c r="D84" s="20" t="n"/>
      <c r="E84" s="12" t="n"/>
    </row>
    <row r="85">
      <c r="A85" s="19" t="n"/>
      <c r="B85" s="12" t="n"/>
      <c r="C85" s="12" t="n"/>
      <c r="D85" s="20" t="n"/>
      <c r="E85" s="12" t="n"/>
    </row>
    <row r="86">
      <c r="A86" s="19" t="n"/>
      <c r="B86" s="12" t="n"/>
      <c r="C86" s="12" t="n"/>
      <c r="D86" s="20" t="n"/>
      <c r="E86" s="12" t="n"/>
    </row>
    <row r="87">
      <c r="A87" s="19" t="n"/>
      <c r="B87" s="12" t="n"/>
      <c r="C87" s="12" t="n"/>
      <c r="D87" s="20" t="n"/>
      <c r="E87" s="12" t="n"/>
    </row>
    <row r="88">
      <c r="A88" s="19" t="n"/>
      <c r="B88" s="12" t="n"/>
      <c r="C88" s="12" t="n"/>
      <c r="D88" s="20" t="n"/>
      <c r="E88" s="12" t="n"/>
    </row>
    <row r="89">
      <c r="A89" s="19" t="n"/>
      <c r="B89" s="12" t="n"/>
      <c r="C89" s="12" t="n"/>
      <c r="D89" s="20" t="n"/>
      <c r="E89" s="12" t="n"/>
    </row>
    <row r="90">
      <c r="A90" s="19" t="n"/>
      <c r="B90" s="12" t="n"/>
      <c r="C90" s="12" t="n"/>
      <c r="D90" s="20" t="n"/>
      <c r="E90" s="12" t="n"/>
    </row>
    <row r="91">
      <c r="A91" s="19" t="n"/>
      <c r="B91" s="12" t="n"/>
      <c r="C91" s="12" t="n"/>
      <c r="D91" s="20" t="n"/>
      <c r="E91" s="12" t="n"/>
    </row>
    <row r="92">
      <c r="A92" s="19" t="n"/>
      <c r="B92" s="12" t="n"/>
      <c r="C92" s="12" t="n"/>
      <c r="D92" s="20" t="n"/>
      <c r="E92" s="12" t="n"/>
    </row>
    <row r="93">
      <c r="A93" s="19" t="n"/>
      <c r="B93" s="12" t="n"/>
      <c r="C93" s="12" t="n"/>
      <c r="D93" s="20" t="n"/>
      <c r="E93" s="12" t="n"/>
    </row>
    <row r="94">
      <c r="A94" s="19" t="n"/>
      <c r="B94" s="12" t="n"/>
      <c r="C94" s="12" t="n"/>
      <c r="D94" s="20" t="n"/>
      <c r="E94" s="12" t="n"/>
    </row>
    <row r="95">
      <c r="A95" s="19" t="n"/>
      <c r="B95" s="12" t="n"/>
      <c r="C95" s="12" t="n"/>
      <c r="D95" s="20" t="n"/>
      <c r="E95" s="12" t="n"/>
    </row>
    <row r="96">
      <c r="A96" s="19" t="n"/>
      <c r="B96" s="12" t="n"/>
      <c r="C96" s="12" t="n"/>
      <c r="D96" s="20" t="n"/>
      <c r="E96" s="12" t="n"/>
    </row>
    <row r="97">
      <c r="A97" s="19" t="n"/>
      <c r="B97" s="12" t="n"/>
      <c r="C97" s="12" t="n"/>
      <c r="D97" s="20" t="n"/>
      <c r="E97" s="12" t="n"/>
    </row>
    <row r="98">
      <c r="A98" s="19" t="n"/>
      <c r="B98" s="12" t="n"/>
      <c r="C98" s="12" t="n"/>
      <c r="D98" s="20" t="n"/>
      <c r="E98" s="12" t="n"/>
    </row>
    <row r="99">
      <c r="A99" s="19" t="n"/>
      <c r="B99" s="12" t="n"/>
      <c r="C99" s="12" t="n"/>
      <c r="D99" s="20" t="n"/>
      <c r="E99" s="12" t="n"/>
    </row>
    <row r="100">
      <c r="A100" s="19" t="n"/>
      <c r="B100" s="12" t="n"/>
      <c r="C100" s="12" t="n"/>
      <c r="D100" s="20" t="n"/>
      <c r="E100" s="12" t="n"/>
    </row>
    <row r="101">
      <c r="A101" s="19" t="n"/>
      <c r="B101" s="12" t="n"/>
      <c r="C101" s="12" t="n"/>
      <c r="D101" s="20" t="n"/>
      <c r="E101" s="12" t="n"/>
    </row>
    <row r="102">
      <c r="A102" s="19" t="n"/>
      <c r="B102" s="12" t="n"/>
      <c r="C102" s="12" t="n"/>
      <c r="D102" s="20" t="n"/>
      <c r="E102" s="12" t="n"/>
    </row>
    <row r="103">
      <c r="A103" s="19" t="n"/>
      <c r="B103" s="12" t="n"/>
      <c r="C103" s="12" t="n"/>
      <c r="D103" s="20" t="n"/>
      <c r="E103" s="12" t="n"/>
    </row>
    <row r="104">
      <c r="A104" s="19" t="n"/>
      <c r="B104" s="12" t="n"/>
      <c r="C104" s="12" t="n"/>
      <c r="D104" s="20" t="n"/>
      <c r="E104" s="12" t="n"/>
    </row>
    <row r="105">
      <c r="A105" s="19" t="n"/>
      <c r="B105" s="12" t="n"/>
      <c r="C105" s="12" t="n"/>
      <c r="D105" s="20" t="n"/>
      <c r="E105" s="12" t="n"/>
    </row>
    <row r="106">
      <c r="A106" s="19" t="n"/>
      <c r="B106" s="12" t="n"/>
      <c r="C106" s="12" t="n"/>
      <c r="D106" s="20" t="n"/>
      <c r="E106" s="12" t="n"/>
    </row>
    <row r="107">
      <c r="A107" s="19" t="n"/>
      <c r="B107" s="12" t="n"/>
      <c r="C107" s="12" t="n"/>
      <c r="D107" s="20" t="n"/>
      <c r="E107" s="12" t="n"/>
    </row>
    <row r="108">
      <c r="A108" s="19" t="n"/>
      <c r="B108" s="12" t="n"/>
      <c r="C108" s="12" t="n"/>
      <c r="D108" s="20" t="n"/>
      <c r="E108" s="12" t="n"/>
    </row>
    <row r="109">
      <c r="A109" s="19" t="n"/>
      <c r="B109" s="12" t="n"/>
      <c r="C109" s="12" t="n"/>
      <c r="D109" s="20" t="n"/>
      <c r="E109" s="12" t="n"/>
    </row>
    <row r="110">
      <c r="A110" s="19" t="n"/>
      <c r="B110" s="12" t="n"/>
      <c r="C110" s="12" t="n"/>
      <c r="D110" s="20" t="n"/>
      <c r="E110" s="12" t="n"/>
    </row>
    <row r="111">
      <c r="A111" s="19" t="n"/>
      <c r="B111" s="12" t="n"/>
      <c r="C111" s="12" t="n"/>
      <c r="D111" s="20" t="n"/>
      <c r="E111" s="12" t="n"/>
    </row>
    <row r="112">
      <c r="A112" s="19" t="n"/>
      <c r="B112" s="12" t="n"/>
      <c r="C112" s="12" t="n"/>
      <c r="D112" s="20" t="n"/>
      <c r="E112" s="12" t="n"/>
    </row>
    <row r="113">
      <c r="A113" s="19" t="n"/>
      <c r="B113" s="12" t="n"/>
      <c r="C113" s="12" t="n"/>
      <c r="D113" s="20" t="n"/>
      <c r="E113" s="12" t="n"/>
    </row>
    <row r="114">
      <c r="A114" s="19" t="n"/>
      <c r="B114" s="12" t="n"/>
      <c r="C114" s="12" t="n"/>
      <c r="D114" s="20" t="n"/>
      <c r="E114" s="12" t="n"/>
    </row>
    <row r="115">
      <c r="A115" s="19" t="n"/>
      <c r="B115" s="12" t="n"/>
      <c r="C115" s="12" t="n"/>
      <c r="D115" s="20" t="n"/>
      <c r="E115" s="12" t="n"/>
    </row>
    <row r="116">
      <c r="A116" s="19" t="n"/>
      <c r="B116" s="12" t="n"/>
      <c r="C116" s="12" t="n"/>
      <c r="D116" s="20" t="n"/>
      <c r="E116" s="12" t="n"/>
    </row>
    <row r="117">
      <c r="A117" s="19" t="n"/>
      <c r="B117" s="12" t="n"/>
      <c r="C117" s="12" t="n"/>
      <c r="D117" s="20" t="n"/>
      <c r="E117" s="12" t="n"/>
    </row>
    <row r="118">
      <c r="A118" s="19" t="n"/>
      <c r="B118" s="12" t="n"/>
      <c r="C118" s="12" t="n"/>
      <c r="D118" s="20" t="n"/>
      <c r="E118" s="12" t="n"/>
    </row>
    <row r="119">
      <c r="A119" s="19" t="n"/>
      <c r="B119" s="12" t="n"/>
      <c r="C119" s="12" t="n"/>
      <c r="D119" s="20" t="n"/>
      <c r="E119" s="12" t="n"/>
    </row>
    <row r="120">
      <c r="A120" s="19" t="n"/>
      <c r="B120" s="12" t="n"/>
      <c r="C120" s="12" t="n"/>
      <c r="D120" s="20" t="n"/>
      <c r="E120" s="12" t="n"/>
    </row>
    <row r="121">
      <c r="A121" s="19" t="n"/>
      <c r="B121" s="12" t="n"/>
      <c r="C121" s="12" t="n"/>
      <c r="D121" s="20" t="n"/>
      <c r="E121" s="12" t="n"/>
    </row>
    <row r="122">
      <c r="A122" s="19" t="n"/>
      <c r="B122" s="12" t="n"/>
      <c r="C122" s="12" t="n"/>
      <c r="D122" s="20" t="n"/>
      <c r="E122" s="12" t="n"/>
    </row>
    <row r="123">
      <c r="A123" s="19" t="n"/>
      <c r="B123" s="12" t="n"/>
      <c r="C123" s="12" t="n"/>
      <c r="D123" s="20" t="n"/>
      <c r="E123" s="12" t="n"/>
    </row>
    <row r="124">
      <c r="A124" s="19" t="n"/>
      <c r="B124" s="12" t="n"/>
      <c r="C124" s="12" t="n"/>
      <c r="D124" s="20" t="n"/>
      <c r="E124" s="12" t="n"/>
    </row>
    <row r="125">
      <c r="A125" s="19" t="n"/>
      <c r="B125" s="12" t="n"/>
      <c r="C125" s="12" t="n"/>
      <c r="D125" s="20" t="n"/>
      <c r="E125" s="12" t="n"/>
    </row>
    <row r="126">
      <c r="A126" s="19" t="n"/>
      <c r="B126" s="12" t="n"/>
      <c r="C126" s="12" t="n"/>
      <c r="D126" s="20" t="n"/>
      <c r="E126" s="12" t="n"/>
    </row>
    <row r="127">
      <c r="A127" s="19" t="n"/>
      <c r="B127" s="12" t="n"/>
      <c r="C127" s="12" t="n"/>
      <c r="D127" s="20" t="n"/>
      <c r="E127" s="12" t="n"/>
    </row>
    <row r="128">
      <c r="A128" s="19" t="n"/>
      <c r="B128" s="12" t="n"/>
      <c r="C128" s="12" t="n"/>
      <c r="D128" s="20" t="n"/>
      <c r="E128" s="12" t="n"/>
    </row>
    <row r="129">
      <c r="A129" s="19" t="n"/>
      <c r="B129" s="12" t="n"/>
      <c r="C129" s="12" t="n"/>
      <c r="D129" s="20" t="n"/>
      <c r="E129" s="12" t="n"/>
    </row>
    <row r="130">
      <c r="A130" s="19" t="n"/>
      <c r="B130" s="12" t="n"/>
      <c r="C130" s="12" t="n"/>
      <c r="D130" s="20" t="n"/>
      <c r="E130" s="12" t="n"/>
    </row>
    <row r="131">
      <c r="A131" s="19" t="n"/>
      <c r="B131" s="12" t="n"/>
      <c r="C131" s="12" t="n"/>
      <c r="D131" s="20" t="n"/>
      <c r="E131" s="12" t="n"/>
    </row>
    <row r="132">
      <c r="A132" s="19" t="n"/>
      <c r="B132" s="12" t="n"/>
      <c r="C132" s="12" t="n"/>
      <c r="D132" s="20" t="n"/>
      <c r="E132" s="12" t="n"/>
    </row>
    <row r="133">
      <c r="A133" s="19" t="n"/>
      <c r="B133" s="12" t="n"/>
      <c r="C133" s="12" t="n"/>
      <c r="D133" s="20" t="n"/>
      <c r="E133" s="12" t="n"/>
    </row>
    <row r="134">
      <c r="A134" s="19" t="n"/>
      <c r="B134" s="12" t="n"/>
      <c r="C134" s="12" t="n"/>
      <c r="D134" s="20" t="n"/>
      <c r="E134" s="12" t="n"/>
    </row>
    <row r="135">
      <c r="A135" s="19" t="n"/>
      <c r="B135" s="12" t="n"/>
      <c r="C135" s="12" t="n"/>
      <c r="D135" s="20" t="n"/>
      <c r="E135" s="12" t="n"/>
    </row>
    <row r="136">
      <c r="A136" s="19" t="n"/>
      <c r="B136" s="12" t="n"/>
      <c r="C136" s="12" t="n"/>
      <c r="D136" s="20" t="n"/>
      <c r="E136" s="12" t="n"/>
    </row>
    <row r="137">
      <c r="A137" s="19" t="n"/>
      <c r="B137" s="12" t="n"/>
      <c r="C137" s="12" t="n"/>
      <c r="D137" s="20" t="n"/>
      <c r="E137" s="12" t="n"/>
    </row>
    <row r="138">
      <c r="A138" s="19" t="n"/>
      <c r="B138" s="12" t="n"/>
      <c r="C138" s="12" t="n"/>
      <c r="D138" s="20" t="n"/>
      <c r="E138" s="12" t="n"/>
    </row>
    <row r="139">
      <c r="A139" s="19" t="n"/>
      <c r="B139" s="12" t="n"/>
      <c r="C139" s="12" t="n"/>
      <c r="D139" s="20" t="n"/>
      <c r="E139" s="12" t="n"/>
    </row>
    <row r="140">
      <c r="A140" s="19" t="n"/>
      <c r="B140" s="12" t="n"/>
      <c r="C140" s="12" t="n"/>
      <c r="D140" s="20" t="n"/>
      <c r="E140" s="12" t="n"/>
    </row>
    <row r="141">
      <c r="A141" s="19" t="n"/>
      <c r="B141" s="12" t="n"/>
      <c r="C141" s="12" t="n"/>
      <c r="D141" s="20" t="n"/>
      <c r="E141" s="12" t="n"/>
    </row>
    <row r="142">
      <c r="A142" s="19" t="n"/>
      <c r="B142" s="12" t="n"/>
      <c r="C142" s="12" t="n"/>
      <c r="D142" s="20" t="n"/>
      <c r="E142" s="12" t="n"/>
    </row>
    <row r="143">
      <c r="A143" s="19" t="n"/>
      <c r="B143" s="12" t="n"/>
      <c r="C143" s="12" t="n"/>
      <c r="D143" s="20" t="n"/>
      <c r="E143" s="12" t="n"/>
    </row>
    <row r="144">
      <c r="A144" s="19" t="n"/>
      <c r="B144" s="12" t="n"/>
      <c r="C144" s="12" t="n"/>
      <c r="D144" s="20" t="n"/>
      <c r="E144" s="12" t="n"/>
    </row>
    <row r="145">
      <c r="A145" s="19" t="n"/>
      <c r="B145" s="12" t="n"/>
      <c r="C145" s="12" t="n"/>
      <c r="D145" s="20" t="n"/>
      <c r="E145" s="12" t="n"/>
    </row>
    <row r="146">
      <c r="A146" s="19" t="n"/>
      <c r="B146" s="12" t="n"/>
      <c r="C146" s="12" t="n"/>
      <c r="D146" s="20" t="n"/>
      <c r="E146" s="12" t="n"/>
    </row>
    <row r="147">
      <c r="A147" s="19" t="n"/>
      <c r="B147" s="12" t="n"/>
      <c r="C147" s="12" t="n"/>
      <c r="D147" s="20" t="n"/>
      <c r="E147" s="12" t="n"/>
    </row>
    <row r="148">
      <c r="A148" s="19" t="n"/>
      <c r="B148" s="12" t="n"/>
      <c r="C148" s="12" t="n"/>
      <c r="D148" s="20" t="n"/>
      <c r="E148" s="12" t="n"/>
    </row>
    <row r="149">
      <c r="A149" s="19" t="n"/>
      <c r="B149" s="12" t="n"/>
      <c r="C149" s="12" t="n"/>
      <c r="D149" s="20" t="n"/>
      <c r="E149" s="12" t="n"/>
    </row>
    <row r="150">
      <c r="A150" s="19" t="n"/>
      <c r="B150" s="12" t="n"/>
      <c r="C150" s="12" t="n"/>
      <c r="D150" s="20" t="n"/>
      <c r="E150" s="12" t="n"/>
    </row>
    <row r="151">
      <c r="A151" s="19" t="n"/>
      <c r="B151" s="12" t="n"/>
      <c r="C151" s="12" t="n"/>
      <c r="D151" s="20" t="n"/>
      <c r="E151" s="12" t="n"/>
    </row>
    <row r="152">
      <c r="A152" s="19" t="n"/>
      <c r="B152" s="12" t="n"/>
      <c r="C152" s="12" t="n"/>
      <c r="D152" s="20" t="n"/>
      <c r="E152" s="12" t="n"/>
    </row>
    <row r="153">
      <c r="A153" s="19" t="n"/>
      <c r="B153" s="12" t="n"/>
      <c r="C153" s="12" t="n"/>
      <c r="D153" s="20" t="n"/>
      <c r="E153" s="12" t="n"/>
    </row>
    <row r="154">
      <c r="A154" s="19" t="n"/>
      <c r="B154" s="12" t="n"/>
      <c r="C154" s="12" t="n"/>
      <c r="D154" s="20" t="n"/>
      <c r="E154" s="12" t="n"/>
    </row>
    <row r="155">
      <c r="A155" s="19" t="n"/>
      <c r="B155" s="12" t="n"/>
      <c r="C155" s="12" t="n"/>
      <c r="D155" s="20" t="n"/>
      <c r="E155" s="12" t="n"/>
    </row>
    <row r="156">
      <c r="A156" s="19" t="n"/>
      <c r="B156" s="12" t="n"/>
      <c r="C156" s="12" t="n"/>
      <c r="D156" s="20" t="n"/>
      <c r="E156" s="12" t="n"/>
    </row>
    <row r="157">
      <c r="A157" s="19" t="n"/>
      <c r="B157" s="12" t="n"/>
      <c r="C157" s="12" t="n"/>
      <c r="D157" s="20" t="n"/>
      <c r="E157" s="12" t="n"/>
    </row>
    <row r="158">
      <c r="A158" s="19" t="n"/>
      <c r="B158" s="12" t="n"/>
      <c r="C158" s="12" t="n"/>
      <c r="D158" s="20" t="n"/>
      <c r="E158" s="12" t="n"/>
    </row>
    <row r="159">
      <c r="A159" s="19" t="n"/>
      <c r="B159" s="12" t="n"/>
      <c r="C159" s="12" t="n"/>
      <c r="D159" s="20" t="n"/>
      <c r="E159" s="12" t="n"/>
    </row>
    <row r="160">
      <c r="A160" s="19" t="n"/>
      <c r="B160" s="12" t="n"/>
      <c r="C160" s="12" t="n"/>
      <c r="D160" s="20" t="n"/>
      <c r="E160" s="12" t="n"/>
    </row>
    <row r="161">
      <c r="A161" s="19" t="n"/>
      <c r="B161" s="12" t="n"/>
      <c r="C161" s="12" t="n"/>
      <c r="D161" s="20" t="n"/>
      <c r="E161" s="12" t="n"/>
    </row>
    <row r="162">
      <c r="A162" s="19" t="n"/>
      <c r="B162" s="12" t="n"/>
      <c r="C162" s="12" t="n"/>
      <c r="D162" s="20" t="n"/>
      <c r="E162" s="12" t="n"/>
    </row>
    <row r="163">
      <c r="A163" s="19" t="n"/>
      <c r="B163" s="12" t="n"/>
      <c r="C163" s="12" t="n"/>
      <c r="D163" s="20" t="n"/>
      <c r="E163" s="12" t="n"/>
    </row>
    <row r="164">
      <c r="A164" s="19" t="n"/>
      <c r="B164" s="12" t="n"/>
      <c r="C164" s="12" t="n"/>
      <c r="D164" s="20" t="n"/>
      <c r="E164" s="12" t="n"/>
    </row>
    <row r="165">
      <c r="A165" s="19" t="n"/>
      <c r="B165" s="12" t="n"/>
      <c r="C165" s="12" t="n"/>
      <c r="D165" s="20" t="n"/>
      <c r="E165" s="12" t="n"/>
    </row>
    <row r="166">
      <c r="A166" s="19" t="n"/>
      <c r="B166" s="12" t="n"/>
      <c r="C166" s="12" t="n"/>
      <c r="D166" s="20" t="n"/>
      <c r="E166" s="12" t="n"/>
    </row>
    <row r="167">
      <c r="A167" s="19" t="n"/>
      <c r="B167" s="12" t="n"/>
      <c r="C167" s="12" t="n"/>
      <c r="D167" s="20" t="n"/>
      <c r="E167" s="12" t="n"/>
    </row>
    <row r="168">
      <c r="A168" s="19" t="n"/>
      <c r="B168" s="12" t="n"/>
      <c r="C168" s="12" t="n"/>
      <c r="D168" s="20" t="n"/>
      <c r="E168" s="12" t="n"/>
    </row>
    <row r="169">
      <c r="A169" s="19" t="n"/>
      <c r="B169" s="12" t="n"/>
      <c r="C169" s="12" t="n"/>
      <c r="D169" s="20" t="n"/>
      <c r="E169" s="12" t="n"/>
    </row>
    <row r="170">
      <c r="A170" s="19" t="n"/>
      <c r="B170" s="12" t="n"/>
      <c r="C170" s="12" t="n"/>
      <c r="D170" s="20" t="n"/>
      <c r="E170" s="12" t="n"/>
    </row>
    <row r="171">
      <c r="A171" s="19" t="n"/>
      <c r="B171" s="12" t="n"/>
      <c r="C171" s="12" t="n"/>
      <c r="D171" s="20" t="n"/>
      <c r="E171" s="12" t="n"/>
    </row>
    <row r="172">
      <c r="A172" s="19" t="n"/>
      <c r="B172" s="12" t="n"/>
      <c r="C172" s="12" t="n"/>
      <c r="D172" s="20" t="n"/>
      <c r="E172" s="12" t="n"/>
    </row>
    <row r="173">
      <c r="A173" s="19" t="n"/>
      <c r="B173" s="12" t="n"/>
      <c r="C173" s="12" t="n"/>
      <c r="D173" s="20" t="n"/>
      <c r="E173" s="12" t="n"/>
    </row>
    <row r="174">
      <c r="A174" s="19" t="n"/>
      <c r="B174" s="12" t="n"/>
      <c r="C174" s="12" t="n"/>
      <c r="D174" s="20" t="n"/>
      <c r="E174" s="12" t="n"/>
    </row>
    <row r="175">
      <c r="A175" s="19" t="n"/>
      <c r="B175" s="12" t="n"/>
      <c r="C175" s="12" t="n"/>
      <c r="D175" s="20" t="n"/>
      <c r="E175" s="12" t="n"/>
    </row>
    <row r="176">
      <c r="A176" s="19" t="n"/>
      <c r="B176" s="12" t="n"/>
      <c r="C176" s="12" t="n"/>
      <c r="D176" s="20" t="n"/>
      <c r="E176" s="12" t="n"/>
    </row>
    <row r="177">
      <c r="A177" s="19" t="n"/>
      <c r="B177" s="12" t="n"/>
      <c r="C177" s="12" t="n"/>
      <c r="D177" s="20" t="n"/>
      <c r="E177" s="12" t="n"/>
    </row>
    <row r="178">
      <c r="A178" s="19" t="n"/>
      <c r="B178" s="12" t="n"/>
      <c r="C178" s="12" t="n"/>
      <c r="D178" s="20" t="n"/>
      <c r="E178" s="12" t="n"/>
    </row>
    <row r="179">
      <c r="A179" s="19" t="n"/>
      <c r="B179" s="12" t="n"/>
      <c r="C179" s="12" t="n"/>
      <c r="D179" s="20" t="n"/>
      <c r="E179" s="12" t="n"/>
    </row>
    <row r="180">
      <c r="A180" s="19" t="n"/>
      <c r="B180" s="12" t="n"/>
      <c r="C180" s="12" t="n"/>
      <c r="D180" s="20" t="n"/>
      <c r="E180" s="12" t="n"/>
    </row>
    <row r="181">
      <c r="A181" s="19" t="n"/>
      <c r="B181" s="12" t="n"/>
      <c r="C181" s="12" t="n"/>
      <c r="D181" s="20" t="n"/>
      <c r="E181" s="12" t="n"/>
    </row>
    <row r="182">
      <c r="A182" s="19" t="n"/>
      <c r="B182" s="12" t="n"/>
      <c r="C182" s="12" t="n"/>
      <c r="D182" s="20" t="n"/>
      <c r="E182" s="12" t="n"/>
    </row>
    <row r="183">
      <c r="A183" s="19" t="n"/>
      <c r="B183" s="12" t="n"/>
      <c r="C183" s="12" t="n"/>
      <c r="D183" s="20" t="n"/>
      <c r="E183" s="12" t="n"/>
    </row>
    <row r="184">
      <c r="A184" s="19" t="n"/>
      <c r="B184" s="12" t="n"/>
      <c r="C184" s="12" t="n"/>
      <c r="D184" s="20" t="n"/>
      <c r="E184" s="12" t="n"/>
    </row>
    <row r="185">
      <c r="A185" s="19" t="n"/>
      <c r="B185" s="12" t="n"/>
      <c r="C185" s="12" t="n"/>
      <c r="D185" s="20" t="n"/>
      <c r="E185" s="12" t="n"/>
    </row>
    <row r="186">
      <c r="A186" s="19" t="n"/>
      <c r="B186" s="12" t="n"/>
      <c r="C186" s="12" t="n"/>
      <c r="D186" s="20" t="n"/>
      <c r="E186" s="12" t="n"/>
    </row>
    <row r="187">
      <c r="A187" s="19" t="n"/>
      <c r="B187" s="12" t="n"/>
      <c r="C187" s="12" t="n"/>
      <c r="D187" s="20" t="n"/>
      <c r="E187" s="12" t="n"/>
    </row>
    <row r="188">
      <c r="A188" s="19" t="n"/>
      <c r="B188" s="12" t="n"/>
      <c r="C188" s="12" t="n"/>
      <c r="D188" s="20" t="n"/>
      <c r="E188" s="12" t="n"/>
    </row>
    <row r="189">
      <c r="A189" s="19" t="n"/>
      <c r="B189" s="12" t="n"/>
      <c r="C189" s="12" t="n"/>
      <c r="D189" s="20" t="n"/>
      <c r="E189" s="12" t="n"/>
    </row>
    <row r="190">
      <c r="A190" s="19" t="n"/>
      <c r="B190" s="12" t="n"/>
      <c r="C190" s="12" t="n"/>
      <c r="D190" s="20" t="n"/>
      <c r="E190" s="12" t="n"/>
    </row>
    <row r="191">
      <c r="A191" s="19" t="n"/>
      <c r="B191" s="12" t="n"/>
      <c r="C191" s="12" t="n"/>
      <c r="D191" s="20" t="n"/>
      <c r="E191" s="12" t="n"/>
    </row>
    <row r="192">
      <c r="A192" s="19" t="n"/>
      <c r="B192" s="12" t="n"/>
      <c r="C192" s="12" t="n"/>
      <c r="D192" s="20" t="n"/>
      <c r="E192" s="12" t="n"/>
    </row>
    <row r="193">
      <c r="A193" s="19" t="n"/>
      <c r="B193" s="12" t="n"/>
      <c r="C193" s="12" t="n"/>
      <c r="D193" s="20" t="n"/>
      <c r="E193" s="12" t="n"/>
    </row>
    <row r="194">
      <c r="A194" s="19" t="n"/>
      <c r="B194" s="12" t="n"/>
      <c r="C194" s="12" t="n"/>
      <c r="D194" s="20" t="n"/>
      <c r="E194" s="12" t="n"/>
    </row>
    <row r="195">
      <c r="A195" s="19" t="n"/>
      <c r="B195" s="12" t="n"/>
      <c r="C195" s="12" t="n"/>
      <c r="D195" s="20" t="n"/>
      <c r="E195" s="12" t="n"/>
    </row>
    <row r="196">
      <c r="A196" s="19" t="n"/>
      <c r="B196" s="12" t="n"/>
      <c r="C196" s="12" t="n"/>
      <c r="D196" s="20" t="n"/>
      <c r="E196" s="12" t="n"/>
    </row>
    <row r="197">
      <c r="A197" s="19" t="n"/>
      <c r="B197" s="12" t="n"/>
      <c r="C197" s="12" t="n"/>
      <c r="D197" s="20" t="n"/>
      <c r="E197" s="12" t="n"/>
    </row>
    <row r="198">
      <c r="A198" s="19" t="n"/>
      <c r="B198" s="12" t="n"/>
      <c r="C198" s="12" t="n"/>
      <c r="D198" s="20" t="n"/>
      <c r="E198" s="12" t="n"/>
    </row>
    <row r="199">
      <c r="A199" s="19" t="n"/>
      <c r="B199" s="12" t="n"/>
      <c r="C199" s="12" t="n"/>
      <c r="D199" s="20" t="n"/>
      <c r="E199" s="12" t="n"/>
    </row>
    <row r="200">
      <c r="A200" s="19" t="n"/>
      <c r="B200" s="12" t="n"/>
      <c r="C200" s="12" t="n"/>
      <c r="D200" s="20" t="n"/>
      <c r="E200" s="12" t="n"/>
    </row>
    <row r="201">
      <c r="A201" s="19" t="n"/>
      <c r="B201" s="12" t="n"/>
      <c r="C201" s="12" t="n"/>
      <c r="D201" s="20" t="n"/>
      <c r="E201" s="12" t="n"/>
    </row>
    <row r="202">
      <c r="A202" s="19" t="n"/>
      <c r="B202" s="12" t="n"/>
      <c r="C202" s="12" t="n"/>
      <c r="D202" s="20" t="n"/>
      <c r="E202" s="12" t="n"/>
    </row>
    <row r="203">
      <c r="A203" s="19" t="n"/>
      <c r="B203" s="12" t="n"/>
      <c r="C203" s="12" t="n"/>
      <c r="D203" s="20" t="n"/>
      <c r="E203" s="12" t="n"/>
    </row>
    <row r="204">
      <c r="A204" s="19" t="n"/>
      <c r="B204" s="12" t="n"/>
      <c r="C204" s="12" t="n"/>
      <c r="D204" s="20" t="n"/>
      <c r="E204" s="12" t="n"/>
    </row>
    <row r="205">
      <c r="A205" s="19" t="n"/>
      <c r="B205" s="12" t="n"/>
      <c r="C205" s="12" t="n"/>
      <c r="D205" s="20" t="n"/>
      <c r="E205" s="12" t="n"/>
    </row>
    <row r="206">
      <c r="A206" s="19" t="n"/>
      <c r="B206" s="12" t="n"/>
      <c r="C206" s="12" t="n"/>
      <c r="D206" s="20" t="n"/>
      <c r="E206" s="12" t="n"/>
    </row>
    <row r="207">
      <c r="A207" s="19" t="n"/>
      <c r="B207" s="12" t="n"/>
      <c r="C207" s="12" t="n"/>
      <c r="D207" s="20" t="n"/>
      <c r="E207" s="12" t="n"/>
    </row>
    <row r="208">
      <c r="A208" s="19" t="n"/>
      <c r="B208" s="12" t="n"/>
      <c r="C208" s="12" t="n"/>
      <c r="D208" s="20" t="n"/>
      <c r="E208" s="12" t="n"/>
    </row>
    <row r="209">
      <c r="A209" s="19" t="n"/>
      <c r="B209" s="12" t="n"/>
      <c r="C209" s="12" t="n"/>
      <c r="D209" s="20" t="n"/>
      <c r="E209" s="12" t="n"/>
    </row>
    <row r="210">
      <c r="A210" s="19" t="n"/>
      <c r="B210" s="12" t="n"/>
      <c r="C210" s="12" t="n"/>
      <c r="D210" s="20" t="n"/>
      <c r="E210" s="12" t="n"/>
    </row>
    <row r="211">
      <c r="A211" s="19" t="n"/>
      <c r="B211" s="12" t="n"/>
      <c r="C211" s="12" t="n"/>
      <c r="D211" s="20" t="n"/>
      <c r="E211" s="12" t="n"/>
    </row>
    <row r="212">
      <c r="A212" s="19" t="n"/>
      <c r="B212" s="12" t="n"/>
      <c r="C212" s="12" t="n"/>
      <c r="D212" s="20" t="n"/>
      <c r="E212" s="12" t="n"/>
    </row>
    <row r="213">
      <c r="A213" s="19" t="n"/>
      <c r="B213" s="12" t="n"/>
      <c r="C213" s="12" t="n"/>
      <c r="D213" s="20" t="n"/>
      <c r="E213" s="12" t="n"/>
    </row>
    <row r="214">
      <c r="A214" s="19" t="n"/>
      <c r="B214" s="12" t="n"/>
      <c r="C214" s="12" t="n"/>
      <c r="D214" s="20" t="n"/>
      <c r="E214" s="12" t="n"/>
    </row>
    <row r="215">
      <c r="A215" s="19" t="n"/>
      <c r="B215" s="12" t="n"/>
      <c r="C215" s="12" t="n"/>
      <c r="D215" s="20" t="n"/>
      <c r="E215" s="12" t="n"/>
    </row>
    <row r="216">
      <c r="A216" s="19" t="n"/>
      <c r="B216" s="12" t="n"/>
      <c r="C216" s="12" t="n"/>
      <c r="D216" s="20" t="n"/>
      <c r="E216" s="12" t="n"/>
    </row>
    <row r="217">
      <c r="A217" s="19" t="n"/>
      <c r="B217" s="12" t="n"/>
      <c r="C217" s="12" t="n"/>
      <c r="D217" s="20" t="n"/>
      <c r="E217" s="12" t="n"/>
    </row>
    <row r="218">
      <c r="A218" s="19" t="n"/>
      <c r="B218" s="12" t="n"/>
      <c r="C218" s="12" t="n"/>
      <c r="D218" s="20" t="n"/>
      <c r="E218" s="12" t="n"/>
    </row>
    <row r="219">
      <c r="A219" s="19" t="n"/>
      <c r="B219" s="12" t="n"/>
      <c r="C219" s="12" t="n"/>
      <c r="D219" s="20" t="n"/>
      <c r="E219" s="12" t="n"/>
    </row>
    <row r="220">
      <c r="A220" s="19" t="n"/>
      <c r="B220" s="12" t="n"/>
      <c r="C220" s="12" t="n"/>
      <c r="D220" s="20" t="n"/>
      <c r="E220" s="12" t="n"/>
    </row>
    <row r="221">
      <c r="A221" s="19" t="n"/>
      <c r="B221" s="12" t="n"/>
      <c r="C221" s="12" t="n"/>
      <c r="D221" s="20" t="n"/>
      <c r="E221" s="12" t="n"/>
    </row>
    <row r="222">
      <c r="A222" s="19" t="n"/>
      <c r="B222" s="12" t="n"/>
      <c r="C222" s="12" t="n"/>
      <c r="D222" s="20" t="n"/>
      <c r="E222" s="12" t="n"/>
    </row>
    <row r="223">
      <c r="A223" s="19" t="n"/>
      <c r="B223" s="12" t="n"/>
      <c r="C223" s="12" t="n"/>
      <c r="D223" s="20" t="n"/>
      <c r="E223" s="12" t="n"/>
    </row>
    <row r="224">
      <c r="A224" s="19" t="n"/>
      <c r="B224" s="12" t="n"/>
      <c r="C224" s="12" t="n"/>
      <c r="D224" s="20" t="n"/>
      <c r="E224" s="12" t="n"/>
    </row>
    <row r="225">
      <c r="A225" s="19" t="n"/>
      <c r="B225" s="12" t="n"/>
      <c r="C225" s="12" t="n"/>
      <c r="D225" s="20" t="n"/>
      <c r="E225" s="12" t="n"/>
    </row>
    <row r="226">
      <c r="A226" s="19" t="n"/>
      <c r="B226" s="12" t="n"/>
      <c r="C226" s="12" t="n"/>
      <c r="D226" s="20" t="n"/>
      <c r="E226" s="12" t="n"/>
    </row>
    <row r="227">
      <c r="A227" s="19" t="n"/>
      <c r="B227" s="12" t="n"/>
      <c r="C227" s="12" t="n"/>
      <c r="D227" s="20" t="n"/>
      <c r="E227" s="12" t="n"/>
    </row>
    <row r="228">
      <c r="A228" s="19" t="n"/>
      <c r="B228" s="12" t="n"/>
      <c r="C228" s="12" t="n"/>
      <c r="D228" s="20" t="n"/>
      <c r="E228" s="12" t="n"/>
    </row>
    <row r="229">
      <c r="A229" s="19" t="n"/>
      <c r="B229" s="12" t="n"/>
      <c r="C229" s="12" t="n"/>
      <c r="D229" s="20" t="n"/>
      <c r="E229" s="12" t="n"/>
    </row>
    <row r="230">
      <c r="A230" s="19" t="n"/>
      <c r="B230" s="12" t="n"/>
      <c r="C230" s="12" t="n"/>
      <c r="D230" s="20" t="n"/>
      <c r="E230" s="12" t="n"/>
    </row>
    <row r="231">
      <c r="A231" s="19" t="n"/>
      <c r="B231" s="12" t="n"/>
      <c r="C231" s="12" t="n"/>
      <c r="D231" s="20" t="n"/>
      <c r="E231" s="12" t="n"/>
    </row>
    <row r="232">
      <c r="A232" s="19" t="n"/>
      <c r="B232" s="12" t="n"/>
      <c r="C232" s="12" t="n"/>
      <c r="D232" s="20" t="n"/>
      <c r="E232" s="12" t="n"/>
    </row>
    <row r="233">
      <c r="A233" s="19" t="n"/>
      <c r="B233" s="12" t="n"/>
      <c r="C233" s="12" t="n"/>
      <c r="D233" s="20" t="n"/>
      <c r="E233" s="12" t="n"/>
    </row>
    <row r="234">
      <c r="A234" s="19" t="n"/>
      <c r="B234" s="12" t="n"/>
      <c r="C234" s="12" t="n"/>
      <c r="D234" s="20" t="n"/>
      <c r="E234" s="12" t="n"/>
    </row>
    <row r="235">
      <c r="A235" s="19" t="n"/>
      <c r="B235" s="12" t="n"/>
      <c r="C235" s="12" t="n"/>
      <c r="D235" s="20" t="n"/>
      <c r="E235" s="12" t="n"/>
    </row>
    <row r="236">
      <c r="A236" s="19" t="n"/>
      <c r="B236" s="12" t="n"/>
      <c r="C236" s="12" t="n"/>
      <c r="D236" s="20" t="n"/>
      <c r="E236" s="12" t="n"/>
    </row>
    <row r="237">
      <c r="A237" s="19" t="n"/>
      <c r="B237" s="12" t="n"/>
      <c r="C237" s="12" t="n"/>
      <c r="D237" s="20" t="n"/>
      <c r="E237" s="12" t="n"/>
    </row>
    <row r="238">
      <c r="A238" s="19" t="n"/>
      <c r="B238" s="12" t="n"/>
      <c r="C238" s="12" t="n"/>
      <c r="D238" s="20" t="n"/>
      <c r="E238" s="12" t="n"/>
    </row>
    <row r="239">
      <c r="A239" s="19" t="n"/>
      <c r="B239" s="12" t="n"/>
      <c r="C239" s="12" t="n"/>
      <c r="D239" s="20" t="n"/>
      <c r="E239" s="12" t="n"/>
    </row>
    <row r="240">
      <c r="A240" s="19" t="n"/>
      <c r="B240" s="12" t="n"/>
      <c r="C240" s="12" t="n"/>
      <c r="D240" s="20" t="n"/>
      <c r="E240" s="12" t="n"/>
    </row>
    <row r="241">
      <c r="A241" s="19" t="n"/>
      <c r="B241" s="12" t="n"/>
      <c r="C241" s="12" t="n"/>
      <c r="D241" s="20" t="n"/>
      <c r="E241" s="12" t="n"/>
    </row>
    <row r="242">
      <c r="A242" s="19" t="n"/>
      <c r="B242" s="12" t="n"/>
      <c r="C242" s="12" t="n"/>
      <c r="D242" s="20" t="n"/>
      <c r="E242" s="12" t="n"/>
    </row>
    <row r="243">
      <c r="A243" s="19" t="n"/>
      <c r="B243" s="12" t="n"/>
      <c r="C243" s="12" t="n"/>
      <c r="D243" s="20" t="n"/>
      <c r="E243" s="12" t="n"/>
    </row>
    <row r="244">
      <c r="A244" s="19" t="n"/>
      <c r="B244" s="12" t="n"/>
      <c r="C244" s="12" t="n"/>
      <c r="D244" s="20" t="n"/>
      <c r="E244" s="12" t="n"/>
    </row>
    <row r="245">
      <c r="A245" s="19" t="n"/>
      <c r="B245" s="12" t="n"/>
      <c r="C245" s="12" t="n"/>
      <c r="D245" s="20" t="n"/>
      <c r="E245" s="12" t="n"/>
    </row>
    <row r="246">
      <c r="A246" s="19" t="n"/>
      <c r="B246" s="12" t="n"/>
      <c r="C246" s="12" t="n"/>
      <c r="D246" s="20" t="n"/>
      <c r="E246" s="12" t="n"/>
    </row>
    <row r="247">
      <c r="A247" s="19" t="n"/>
      <c r="B247" s="12" t="n"/>
      <c r="C247" s="12" t="n"/>
      <c r="D247" s="20" t="n"/>
      <c r="E247" s="12" t="n"/>
    </row>
    <row r="248">
      <c r="A248" s="19" t="n"/>
      <c r="B248" s="12" t="n"/>
      <c r="C248" s="12" t="n"/>
      <c r="D248" s="20" t="n"/>
      <c r="E248" s="12" t="n"/>
    </row>
    <row r="249">
      <c r="A249" s="19" t="n"/>
      <c r="B249" s="12" t="n"/>
      <c r="C249" s="12" t="n"/>
      <c r="D249" s="20" t="n"/>
      <c r="E249" s="12" t="n"/>
    </row>
    <row r="250">
      <c r="A250" s="19" t="n"/>
      <c r="B250" s="12" t="n"/>
      <c r="C250" s="12" t="n"/>
      <c r="D250" s="20" t="n"/>
      <c r="E250" s="12" t="n"/>
    </row>
    <row r="251">
      <c r="A251" s="19" t="n"/>
      <c r="B251" s="12" t="n"/>
      <c r="C251" s="12" t="n"/>
      <c r="D251" s="20" t="n"/>
      <c r="E251" s="12" t="n"/>
    </row>
    <row r="252">
      <c r="A252" s="19" t="n"/>
      <c r="B252" s="12" t="n"/>
      <c r="C252" s="12" t="n"/>
      <c r="D252" s="20" t="n"/>
      <c r="E252" s="12" t="n"/>
    </row>
    <row r="253">
      <c r="A253" s="19" t="n"/>
      <c r="B253" s="12" t="n"/>
      <c r="C253" s="12" t="n"/>
      <c r="D253" s="20" t="n"/>
      <c r="E253" s="12" t="n"/>
    </row>
    <row r="254">
      <c r="A254" s="19" t="n"/>
      <c r="B254" s="12" t="n"/>
      <c r="C254" s="12" t="n"/>
      <c r="D254" s="20" t="n"/>
      <c r="E254" s="12" t="n"/>
    </row>
    <row r="255">
      <c r="A255" s="19" t="n"/>
      <c r="B255" s="12" t="n"/>
      <c r="C255" s="12" t="n"/>
      <c r="D255" s="20" t="n"/>
      <c r="E255" s="12" t="n"/>
    </row>
    <row r="256">
      <c r="A256" s="19" t="n"/>
      <c r="B256" s="12" t="n"/>
      <c r="C256" s="12" t="n"/>
      <c r="D256" s="20" t="n"/>
      <c r="E256" s="12" t="n"/>
    </row>
    <row r="257">
      <c r="A257" s="19" t="n"/>
      <c r="B257" s="12" t="n"/>
      <c r="C257" s="12" t="n"/>
      <c r="D257" s="20" t="n"/>
      <c r="E257" s="12" t="n"/>
    </row>
    <row r="258">
      <c r="A258" s="19" t="n"/>
      <c r="B258" s="12" t="n"/>
      <c r="C258" s="12" t="n"/>
      <c r="D258" s="20" t="n"/>
      <c r="E258" s="12" t="n"/>
    </row>
    <row r="259">
      <c r="A259" s="19" t="n"/>
      <c r="B259" s="12" t="n"/>
      <c r="C259" s="12" t="n"/>
      <c r="D259" s="20" t="n"/>
      <c r="E259" s="12" t="n"/>
    </row>
    <row r="260">
      <c r="A260" s="19" t="n"/>
      <c r="B260" s="12" t="n"/>
      <c r="C260" s="12" t="n"/>
      <c r="D260" s="20" t="n"/>
      <c r="E260" s="12" t="n"/>
    </row>
    <row r="261">
      <c r="A261" s="19" t="n"/>
      <c r="B261" s="12" t="n"/>
      <c r="C261" s="12" t="n"/>
      <c r="D261" s="20" t="n"/>
      <c r="E261" s="12" t="n"/>
    </row>
    <row r="262">
      <c r="A262" s="19" t="n"/>
      <c r="B262" s="12" t="n"/>
      <c r="C262" s="12" t="n"/>
      <c r="D262" s="20" t="n"/>
      <c r="E262" s="12" t="n"/>
    </row>
    <row r="263">
      <c r="A263" s="19" t="n"/>
      <c r="B263" s="12" t="n"/>
      <c r="C263" s="12" t="n"/>
      <c r="D263" s="20" t="n"/>
      <c r="E263" s="12" t="n"/>
    </row>
    <row r="264">
      <c r="A264" s="19" t="n"/>
      <c r="B264" s="12" t="n"/>
      <c r="C264" s="12" t="n"/>
      <c r="D264" s="20" t="n"/>
      <c r="E264" s="12" t="n"/>
    </row>
    <row r="265">
      <c r="A265" s="19" t="n"/>
      <c r="B265" s="12" t="n"/>
      <c r="C265" s="12" t="n"/>
      <c r="D265" s="20" t="n"/>
      <c r="E265" s="12" t="n"/>
    </row>
    <row r="266">
      <c r="A266" s="19" t="n"/>
      <c r="B266" s="12" t="n"/>
      <c r="C266" s="12" t="n"/>
      <c r="D266" s="20" t="n"/>
      <c r="E266" s="12" t="n"/>
    </row>
    <row r="267">
      <c r="A267" s="19" t="n"/>
      <c r="B267" s="12" t="n"/>
      <c r="C267" s="12" t="n"/>
      <c r="D267" s="20" t="n"/>
      <c r="E267" s="12" t="n"/>
    </row>
    <row r="268">
      <c r="A268" s="19" t="n"/>
      <c r="B268" s="12" t="n"/>
      <c r="C268" s="12" t="n"/>
      <c r="D268" s="20" t="n"/>
      <c r="E268" s="12" t="n"/>
    </row>
    <row r="269">
      <c r="A269" s="19" t="n"/>
      <c r="B269" s="12" t="n"/>
      <c r="C269" s="12" t="n"/>
      <c r="D269" s="20" t="n"/>
      <c r="E269" s="12" t="n"/>
    </row>
    <row r="270">
      <c r="A270" s="19" t="n"/>
      <c r="B270" s="12" t="n"/>
      <c r="C270" s="12" t="n"/>
      <c r="D270" s="20" t="n"/>
      <c r="E270" s="12" t="n"/>
    </row>
    <row r="271">
      <c r="A271" s="19" t="n"/>
      <c r="B271" s="12" t="n"/>
      <c r="C271" s="12" t="n"/>
      <c r="D271" s="20" t="n"/>
      <c r="E271" s="12" t="n"/>
    </row>
    <row r="272">
      <c r="A272" s="19" t="n"/>
      <c r="B272" s="12" t="n"/>
      <c r="C272" s="12" t="n"/>
      <c r="D272" s="20" t="n"/>
      <c r="E272" s="12" t="n"/>
    </row>
    <row r="273">
      <c r="A273" s="19" t="n"/>
      <c r="B273" s="12" t="n"/>
      <c r="C273" s="12" t="n"/>
      <c r="D273" s="20" t="n"/>
      <c r="E273" s="12" t="n"/>
    </row>
    <row r="274">
      <c r="A274" s="19" t="n"/>
      <c r="B274" s="12" t="n"/>
      <c r="C274" s="12" t="n"/>
      <c r="D274" s="20" t="n"/>
      <c r="E274" s="12" t="n"/>
    </row>
    <row r="275">
      <c r="A275" s="19" t="n"/>
      <c r="B275" s="12" t="n"/>
      <c r="C275" s="12" t="n"/>
      <c r="D275" s="20" t="n"/>
      <c r="E275" s="12" t="n"/>
    </row>
    <row r="276">
      <c r="A276" s="19" t="n"/>
      <c r="B276" s="12" t="n"/>
      <c r="C276" s="12" t="n"/>
      <c r="D276" s="20" t="n"/>
      <c r="E276" s="12" t="n"/>
    </row>
    <row r="277">
      <c r="A277" s="19" t="n"/>
      <c r="B277" s="12" t="n"/>
      <c r="C277" s="12" t="n"/>
      <c r="D277" s="20" t="n"/>
      <c r="E277" s="12" t="n"/>
    </row>
    <row r="278">
      <c r="A278" s="19" t="n"/>
      <c r="B278" s="12" t="n"/>
      <c r="C278" s="12" t="n"/>
      <c r="D278" s="20" t="n"/>
      <c r="E278" s="12" t="n"/>
    </row>
    <row r="279">
      <c r="A279" s="19" t="n"/>
      <c r="B279" s="12" t="n"/>
      <c r="C279" s="12" t="n"/>
      <c r="D279" s="20" t="n"/>
      <c r="E279" s="12" t="n"/>
    </row>
    <row r="280">
      <c r="A280" s="19" t="n"/>
      <c r="B280" s="12" t="n"/>
      <c r="C280" s="12" t="n"/>
      <c r="D280" s="20" t="n"/>
      <c r="E280" s="12" t="n"/>
    </row>
    <row r="281">
      <c r="A281" s="19" t="n"/>
      <c r="B281" s="12" t="n"/>
      <c r="C281" s="12" t="n"/>
      <c r="D281" s="20" t="n"/>
      <c r="E281" s="12" t="n"/>
    </row>
    <row r="282">
      <c r="A282" s="19" t="n"/>
      <c r="B282" s="12" t="n"/>
      <c r="C282" s="12" t="n"/>
      <c r="D282" s="20" t="n"/>
      <c r="E282" s="12" t="n"/>
    </row>
    <row r="283">
      <c r="A283" s="19" t="n"/>
      <c r="B283" s="12" t="n"/>
      <c r="C283" s="12" t="n"/>
      <c r="D283" s="20" t="n"/>
      <c r="E283" s="12" t="n"/>
    </row>
    <row r="284">
      <c r="A284" s="19" t="n"/>
      <c r="B284" s="12" t="n"/>
      <c r="C284" s="12" t="n"/>
      <c r="D284" s="20" t="n"/>
      <c r="E284" s="12" t="n"/>
    </row>
    <row r="285">
      <c r="A285" s="19" t="n"/>
      <c r="B285" s="12" t="n"/>
      <c r="C285" s="12" t="n"/>
      <c r="D285" s="20" t="n"/>
      <c r="E285" s="12" t="n"/>
    </row>
    <row r="286">
      <c r="A286" s="19" t="n"/>
      <c r="B286" s="12" t="n"/>
      <c r="C286" s="12" t="n"/>
      <c r="D286" s="20" t="n"/>
      <c r="E286" s="12" t="n"/>
    </row>
    <row r="287">
      <c r="A287" s="19" t="n"/>
      <c r="B287" s="12" t="n"/>
      <c r="C287" s="12" t="n"/>
      <c r="D287" s="20" t="n"/>
      <c r="E287" s="12" t="n"/>
    </row>
    <row r="288">
      <c r="A288" s="19" t="n"/>
      <c r="B288" s="12" t="n"/>
      <c r="C288" s="12" t="n"/>
      <c r="D288" s="20" t="n"/>
      <c r="E288" s="12" t="n"/>
    </row>
    <row r="289">
      <c r="A289" s="19" t="n"/>
      <c r="B289" s="12" t="n"/>
      <c r="C289" s="12" t="n"/>
      <c r="D289" s="20" t="n"/>
      <c r="E289" s="12" t="n"/>
    </row>
    <row r="290">
      <c r="A290" s="19" t="n"/>
      <c r="B290" s="12" t="n"/>
      <c r="C290" s="12" t="n"/>
      <c r="D290" s="20" t="n"/>
      <c r="E290" s="12" t="n"/>
    </row>
    <row r="291">
      <c r="A291" s="19" t="n"/>
      <c r="B291" s="12" t="n"/>
      <c r="C291" s="12" t="n"/>
      <c r="D291" s="20" t="n"/>
      <c r="E291" s="12" t="n"/>
    </row>
    <row r="292">
      <c r="A292" s="19" t="n"/>
      <c r="B292" s="12" t="n"/>
      <c r="C292" s="12" t="n"/>
      <c r="D292" s="20" t="n"/>
      <c r="E292" s="12" t="n"/>
    </row>
    <row r="293">
      <c r="A293" s="19" t="n"/>
      <c r="B293" s="12" t="n"/>
      <c r="C293" s="12" t="n"/>
      <c r="D293" s="20" t="n"/>
      <c r="E293" s="12" t="n"/>
    </row>
    <row r="294">
      <c r="A294" s="19" t="n"/>
      <c r="B294" s="12" t="n"/>
      <c r="C294" s="12" t="n"/>
      <c r="D294" s="20" t="n"/>
      <c r="E294" s="12" t="n"/>
    </row>
    <row r="295">
      <c r="A295" s="19" t="n"/>
      <c r="B295" s="12" t="n"/>
      <c r="C295" s="12" t="n"/>
      <c r="D295" s="20" t="n"/>
      <c r="E295" s="12" t="n"/>
    </row>
    <row r="296">
      <c r="A296" s="19" t="n"/>
      <c r="B296" s="12" t="n"/>
      <c r="C296" s="12" t="n"/>
      <c r="D296" s="20" t="n"/>
      <c r="E296" s="12" t="n"/>
    </row>
    <row r="297">
      <c r="A297" s="19" t="n"/>
      <c r="B297" s="12" t="n"/>
      <c r="C297" s="12" t="n"/>
      <c r="D297" s="20" t="n"/>
      <c r="E297" s="12" t="n"/>
    </row>
    <row r="298">
      <c r="A298" s="19" t="n"/>
      <c r="B298" s="12" t="n"/>
      <c r="C298" s="12" t="n"/>
      <c r="D298" s="20" t="n"/>
      <c r="E298" s="12" t="n"/>
    </row>
    <row r="299">
      <c r="A299" s="19" t="n"/>
      <c r="B299" s="12" t="n"/>
      <c r="C299" s="12" t="n"/>
      <c r="D299" s="20" t="n"/>
      <c r="E299" s="12" t="n"/>
    </row>
    <row r="300">
      <c r="A300" s="19" t="n"/>
      <c r="B300" s="12" t="n"/>
      <c r="C300" s="12" t="n"/>
      <c r="D300" s="20" t="n"/>
      <c r="E300" s="12" t="n"/>
    </row>
    <row r="301">
      <c r="A301" s="19" t="n"/>
      <c r="B301" s="12" t="n"/>
      <c r="C301" s="12" t="n"/>
      <c r="D301" s="20" t="n"/>
      <c r="E301" s="12" t="n"/>
    </row>
    <row r="302">
      <c r="A302" s="19" t="n"/>
      <c r="B302" s="12" t="n"/>
      <c r="C302" s="12" t="n"/>
      <c r="D302" s="20" t="n"/>
      <c r="E302" s="12" t="n"/>
    </row>
    <row r="303">
      <c r="A303" s="19" t="n"/>
      <c r="B303" s="12" t="n"/>
      <c r="C303" s="12" t="n"/>
      <c r="D303" s="20" t="n"/>
      <c r="E303" s="12" t="n"/>
    </row>
    <row r="304">
      <c r="A304" s="19" t="n"/>
      <c r="B304" s="12" t="n"/>
      <c r="C304" s="12" t="n"/>
      <c r="D304" s="20" t="n"/>
      <c r="E304" s="12"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showDropDown="0" showInputMessage="0" showErrorMessage="0" allowBlank="1" type="list">
      <formula1>"Contribution,Withdrawal,Dividend received,Fee"</formula1>
    </dataValidation>
  </dataValidations>
  <pageMargins left="0.75" right="0.75" top="1" bottom="1" header="0.5" footer="0.5"/>
</worksheet>
</file>

<file path=xl/worksheets/sheet4.xml><?xml version="1.0" encoding="utf-8"?>
<worksheet xmlns="http://schemas.openxmlformats.org/spreadsheetml/2006/main">
  <sheetPr>
    <tabColor rgb="0000B4A6"/>
    <outlinePr summaryBelow="1" summaryRight="1"/>
    <pageSetUpPr/>
  </sheetPr>
  <dimension ref="A1:F206"/>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18" customWidth="1" min="3" max="3"/>
    <col width="15" customWidth="1" min="4" max="4"/>
    <col width="16" customWidth="1" min="5" max="5"/>
    <col width="15" customWidth="1" min="6" max="6"/>
  </cols>
  <sheetData>
    <row r="1" ht="30" customHeight="1">
      <c r="A1" s="1" t="inlineStr">
        <is>
          <t>Dividend Log</t>
        </is>
      </c>
      <c r="B1" s="2" t="n"/>
      <c r="C1" s="2" t="n"/>
      <c r="D1" s="2" t="n"/>
      <c r="E1" s="2" t="n"/>
      <c r="F1" s="2" t="n"/>
    </row>
    <row r="2" ht="18" customHeight="1">
      <c r="A2" s="3" t="inlineStr">
        <is>
          <t>Track income received so you can see your real yield.</t>
        </is>
      </c>
      <c r="B2" s="2" t="n"/>
      <c r="C2" s="2" t="n"/>
      <c r="D2" s="2" t="n"/>
      <c r="E2" s="2" t="n"/>
      <c r="F2" s="2" t="n"/>
    </row>
    <row r="4" ht="28" customHeight="1">
      <c r="A4" s="11" t="inlineStr">
        <is>
          <t>Date</t>
        </is>
      </c>
      <c r="B4" s="11" t="inlineStr">
        <is>
          <t>Ticker</t>
        </is>
      </c>
      <c r="C4" s="11" t="inlineStr">
        <is>
          <t>Account</t>
        </is>
      </c>
      <c r="D4" s="11" t="inlineStr">
        <is>
          <t>Amount</t>
        </is>
      </c>
      <c r="E4" s="11" t="inlineStr">
        <is>
          <t>Withholding tax</t>
        </is>
      </c>
      <c r="F4" s="11" t="inlineStr">
        <is>
          <t>Net received</t>
        </is>
      </c>
    </row>
    <row r="5">
      <c r="A5" s="19" t="n"/>
      <c r="B5" s="12" t="n"/>
      <c r="C5" s="12" t="n"/>
      <c r="D5" s="20" t="n"/>
      <c r="E5" s="20" t="n"/>
      <c r="F5" s="14">
        <f>IF($A5="","",N(D5)-N(E5))</f>
        <v/>
      </c>
    </row>
    <row r="6">
      <c r="A6" s="19" t="n"/>
      <c r="B6" s="12" t="n"/>
      <c r="C6" s="12" t="n"/>
      <c r="D6" s="20" t="n"/>
      <c r="E6" s="20" t="n"/>
      <c r="F6" s="14">
        <f>IF($A6="","",N(D6)-N(E6))</f>
        <v/>
      </c>
    </row>
    <row r="7">
      <c r="A7" s="19" t="n"/>
      <c r="B7" s="12" t="n"/>
      <c r="C7" s="12" t="n"/>
      <c r="D7" s="20" t="n"/>
      <c r="E7" s="20" t="n"/>
      <c r="F7" s="14">
        <f>IF($A7="","",N(D7)-N(E7))</f>
        <v/>
      </c>
    </row>
    <row r="8">
      <c r="A8" s="19" t="n"/>
      <c r="B8" s="12" t="n"/>
      <c r="C8" s="12" t="n"/>
      <c r="D8" s="20" t="n"/>
      <c r="E8" s="20" t="n"/>
      <c r="F8" s="14">
        <f>IF($A8="","",N(D8)-N(E8))</f>
        <v/>
      </c>
    </row>
    <row r="9">
      <c r="A9" s="19" t="n"/>
      <c r="B9" s="12" t="n"/>
      <c r="C9" s="12" t="n"/>
      <c r="D9" s="20" t="n"/>
      <c r="E9" s="20" t="n"/>
      <c r="F9" s="14">
        <f>IF($A9="","",N(D9)-N(E9))</f>
        <v/>
      </c>
    </row>
    <row r="10">
      <c r="A10" s="19" t="n"/>
      <c r="B10" s="12" t="n"/>
      <c r="C10" s="12" t="n"/>
      <c r="D10" s="20" t="n"/>
      <c r="E10" s="20" t="n"/>
      <c r="F10" s="14">
        <f>IF($A10="","",N(D10)-N(E10))</f>
        <v/>
      </c>
    </row>
    <row r="11">
      <c r="A11" s="19" t="n"/>
      <c r="B11" s="12" t="n"/>
      <c r="C11" s="12" t="n"/>
      <c r="D11" s="20" t="n"/>
      <c r="E11" s="20" t="n"/>
      <c r="F11" s="14">
        <f>IF($A11="","",N(D11)-N(E11))</f>
        <v/>
      </c>
    </row>
    <row r="12">
      <c r="A12" s="19" t="n"/>
      <c r="B12" s="12" t="n"/>
      <c r="C12" s="12" t="n"/>
      <c r="D12" s="20" t="n"/>
      <c r="E12" s="20" t="n"/>
      <c r="F12" s="14">
        <f>IF($A12="","",N(D12)-N(E12))</f>
        <v/>
      </c>
    </row>
    <row r="13">
      <c r="A13" s="19" t="n"/>
      <c r="B13" s="12" t="n"/>
      <c r="C13" s="12" t="n"/>
      <c r="D13" s="20" t="n"/>
      <c r="E13" s="20" t="n"/>
      <c r="F13" s="14">
        <f>IF($A13="","",N(D13)-N(E13))</f>
        <v/>
      </c>
    </row>
    <row r="14">
      <c r="A14" s="19" t="n"/>
      <c r="B14" s="12" t="n"/>
      <c r="C14" s="12" t="n"/>
      <c r="D14" s="20" t="n"/>
      <c r="E14" s="20" t="n"/>
      <c r="F14" s="14">
        <f>IF($A14="","",N(D14)-N(E14))</f>
        <v/>
      </c>
    </row>
    <row r="15">
      <c r="A15" s="19" t="n"/>
      <c r="B15" s="12" t="n"/>
      <c r="C15" s="12" t="n"/>
      <c r="D15" s="20" t="n"/>
      <c r="E15" s="20" t="n"/>
      <c r="F15" s="14">
        <f>IF($A15="","",N(D15)-N(E15))</f>
        <v/>
      </c>
    </row>
    <row r="16">
      <c r="A16" s="19" t="n"/>
      <c r="B16" s="12" t="n"/>
      <c r="C16" s="12" t="n"/>
      <c r="D16" s="20" t="n"/>
      <c r="E16" s="20" t="n"/>
      <c r="F16" s="14">
        <f>IF($A16="","",N(D16)-N(E16))</f>
        <v/>
      </c>
    </row>
    <row r="17">
      <c r="A17" s="19" t="n"/>
      <c r="B17" s="12" t="n"/>
      <c r="C17" s="12" t="n"/>
      <c r="D17" s="20" t="n"/>
      <c r="E17" s="20" t="n"/>
      <c r="F17" s="14">
        <f>IF($A17="","",N(D17)-N(E17))</f>
        <v/>
      </c>
    </row>
    <row r="18">
      <c r="A18" s="19" t="n"/>
      <c r="B18" s="12" t="n"/>
      <c r="C18" s="12" t="n"/>
      <c r="D18" s="20" t="n"/>
      <c r="E18" s="20" t="n"/>
      <c r="F18" s="14">
        <f>IF($A18="","",N(D18)-N(E18))</f>
        <v/>
      </c>
    </row>
    <row r="19">
      <c r="A19" s="19" t="n"/>
      <c r="B19" s="12" t="n"/>
      <c r="C19" s="12" t="n"/>
      <c r="D19" s="20" t="n"/>
      <c r="E19" s="20" t="n"/>
      <c r="F19" s="14">
        <f>IF($A19="","",N(D19)-N(E19))</f>
        <v/>
      </c>
    </row>
    <row r="20">
      <c r="A20" s="19" t="n"/>
      <c r="B20" s="12" t="n"/>
      <c r="C20" s="12" t="n"/>
      <c r="D20" s="20" t="n"/>
      <c r="E20" s="20" t="n"/>
      <c r="F20" s="14">
        <f>IF($A20="","",N(D20)-N(E20))</f>
        <v/>
      </c>
    </row>
    <row r="21">
      <c r="A21" s="19" t="n"/>
      <c r="B21" s="12" t="n"/>
      <c r="C21" s="12" t="n"/>
      <c r="D21" s="20" t="n"/>
      <c r="E21" s="20" t="n"/>
      <c r="F21" s="14">
        <f>IF($A21="","",N(D21)-N(E21))</f>
        <v/>
      </c>
    </row>
    <row r="22">
      <c r="A22" s="19" t="n"/>
      <c r="B22" s="12" t="n"/>
      <c r="C22" s="12" t="n"/>
      <c r="D22" s="20" t="n"/>
      <c r="E22" s="20" t="n"/>
      <c r="F22" s="14">
        <f>IF($A22="","",N(D22)-N(E22))</f>
        <v/>
      </c>
    </row>
    <row r="23">
      <c r="A23" s="19" t="n"/>
      <c r="B23" s="12" t="n"/>
      <c r="C23" s="12" t="n"/>
      <c r="D23" s="20" t="n"/>
      <c r="E23" s="20" t="n"/>
      <c r="F23" s="14">
        <f>IF($A23="","",N(D23)-N(E23))</f>
        <v/>
      </c>
    </row>
    <row r="24">
      <c r="A24" s="19" t="n"/>
      <c r="B24" s="12" t="n"/>
      <c r="C24" s="12" t="n"/>
      <c r="D24" s="20" t="n"/>
      <c r="E24" s="20" t="n"/>
      <c r="F24" s="14">
        <f>IF($A24="","",N(D24)-N(E24))</f>
        <v/>
      </c>
    </row>
    <row r="25">
      <c r="A25" s="19" t="n"/>
      <c r="B25" s="12" t="n"/>
      <c r="C25" s="12" t="n"/>
      <c r="D25" s="20" t="n"/>
      <c r="E25" s="20" t="n"/>
      <c r="F25" s="14">
        <f>IF($A25="","",N(D25)-N(E25))</f>
        <v/>
      </c>
    </row>
    <row r="26">
      <c r="A26" s="19" t="n"/>
      <c r="B26" s="12" t="n"/>
      <c r="C26" s="12" t="n"/>
      <c r="D26" s="20" t="n"/>
      <c r="E26" s="20" t="n"/>
      <c r="F26" s="14">
        <f>IF($A26="","",N(D26)-N(E26))</f>
        <v/>
      </c>
    </row>
    <row r="27">
      <c r="A27" s="19" t="n"/>
      <c r="B27" s="12" t="n"/>
      <c r="C27" s="12" t="n"/>
      <c r="D27" s="20" t="n"/>
      <c r="E27" s="20" t="n"/>
      <c r="F27" s="14">
        <f>IF($A27="","",N(D27)-N(E27))</f>
        <v/>
      </c>
    </row>
    <row r="28">
      <c r="A28" s="19" t="n"/>
      <c r="B28" s="12" t="n"/>
      <c r="C28" s="12" t="n"/>
      <c r="D28" s="20" t="n"/>
      <c r="E28" s="20" t="n"/>
      <c r="F28" s="14">
        <f>IF($A28="","",N(D28)-N(E28))</f>
        <v/>
      </c>
    </row>
    <row r="29">
      <c r="A29" s="19" t="n"/>
      <c r="B29" s="12" t="n"/>
      <c r="C29" s="12" t="n"/>
      <c r="D29" s="20" t="n"/>
      <c r="E29" s="20" t="n"/>
      <c r="F29" s="14">
        <f>IF($A29="","",N(D29)-N(E29))</f>
        <v/>
      </c>
    </row>
    <row r="30">
      <c r="A30" s="19" t="n"/>
      <c r="B30" s="12" t="n"/>
      <c r="C30" s="12" t="n"/>
      <c r="D30" s="20" t="n"/>
      <c r="E30" s="20" t="n"/>
      <c r="F30" s="14">
        <f>IF($A30="","",N(D30)-N(E30))</f>
        <v/>
      </c>
    </row>
    <row r="31">
      <c r="A31" s="19" t="n"/>
      <c r="B31" s="12" t="n"/>
      <c r="C31" s="12" t="n"/>
      <c r="D31" s="20" t="n"/>
      <c r="E31" s="20" t="n"/>
      <c r="F31" s="14">
        <f>IF($A31="","",N(D31)-N(E31))</f>
        <v/>
      </c>
    </row>
    <row r="32">
      <c r="A32" s="19" t="n"/>
      <c r="B32" s="12" t="n"/>
      <c r="C32" s="12" t="n"/>
      <c r="D32" s="20" t="n"/>
      <c r="E32" s="20" t="n"/>
      <c r="F32" s="14">
        <f>IF($A32="","",N(D32)-N(E32))</f>
        <v/>
      </c>
    </row>
    <row r="33">
      <c r="A33" s="19" t="n"/>
      <c r="B33" s="12" t="n"/>
      <c r="C33" s="12" t="n"/>
      <c r="D33" s="20" t="n"/>
      <c r="E33" s="20" t="n"/>
      <c r="F33" s="14">
        <f>IF($A33="","",N(D33)-N(E33))</f>
        <v/>
      </c>
    </row>
    <row r="34">
      <c r="A34" s="19" t="n"/>
      <c r="B34" s="12" t="n"/>
      <c r="C34" s="12" t="n"/>
      <c r="D34" s="20" t="n"/>
      <c r="E34" s="20" t="n"/>
      <c r="F34" s="14">
        <f>IF($A34="","",N(D34)-N(E34))</f>
        <v/>
      </c>
    </row>
    <row r="35">
      <c r="A35" s="19" t="n"/>
      <c r="B35" s="12" t="n"/>
      <c r="C35" s="12" t="n"/>
      <c r="D35" s="20" t="n"/>
      <c r="E35" s="20" t="n"/>
      <c r="F35" s="14">
        <f>IF($A35="","",N(D35)-N(E35))</f>
        <v/>
      </c>
    </row>
    <row r="36">
      <c r="A36" s="19" t="n"/>
      <c r="B36" s="12" t="n"/>
      <c r="C36" s="12" t="n"/>
      <c r="D36" s="20" t="n"/>
      <c r="E36" s="20" t="n"/>
      <c r="F36" s="14">
        <f>IF($A36="","",N(D36)-N(E36))</f>
        <v/>
      </c>
    </row>
    <row r="37">
      <c r="A37" s="19" t="n"/>
      <c r="B37" s="12" t="n"/>
      <c r="C37" s="12" t="n"/>
      <c r="D37" s="20" t="n"/>
      <c r="E37" s="20" t="n"/>
      <c r="F37" s="14">
        <f>IF($A37="","",N(D37)-N(E37))</f>
        <v/>
      </c>
    </row>
    <row r="38">
      <c r="A38" s="19" t="n"/>
      <c r="B38" s="12" t="n"/>
      <c r="C38" s="12" t="n"/>
      <c r="D38" s="20" t="n"/>
      <c r="E38" s="20" t="n"/>
      <c r="F38" s="14">
        <f>IF($A38="","",N(D38)-N(E38))</f>
        <v/>
      </c>
    </row>
    <row r="39">
      <c r="A39" s="19" t="n"/>
      <c r="B39" s="12" t="n"/>
      <c r="C39" s="12" t="n"/>
      <c r="D39" s="20" t="n"/>
      <c r="E39" s="20" t="n"/>
      <c r="F39" s="14">
        <f>IF($A39="","",N(D39)-N(E39))</f>
        <v/>
      </c>
    </row>
    <row r="40">
      <c r="A40" s="19" t="n"/>
      <c r="B40" s="12" t="n"/>
      <c r="C40" s="12" t="n"/>
      <c r="D40" s="20" t="n"/>
      <c r="E40" s="20" t="n"/>
      <c r="F40" s="14">
        <f>IF($A40="","",N(D40)-N(E40))</f>
        <v/>
      </c>
    </row>
    <row r="41">
      <c r="A41" s="19" t="n"/>
      <c r="B41" s="12" t="n"/>
      <c r="C41" s="12" t="n"/>
      <c r="D41" s="20" t="n"/>
      <c r="E41" s="20" t="n"/>
      <c r="F41" s="14">
        <f>IF($A41="","",N(D41)-N(E41))</f>
        <v/>
      </c>
    </row>
    <row r="42">
      <c r="A42" s="19" t="n"/>
      <c r="B42" s="12" t="n"/>
      <c r="C42" s="12" t="n"/>
      <c r="D42" s="20" t="n"/>
      <c r="E42" s="20" t="n"/>
      <c r="F42" s="14">
        <f>IF($A42="","",N(D42)-N(E42))</f>
        <v/>
      </c>
    </row>
    <row r="43">
      <c r="A43" s="19" t="n"/>
      <c r="B43" s="12" t="n"/>
      <c r="C43" s="12" t="n"/>
      <c r="D43" s="20" t="n"/>
      <c r="E43" s="20" t="n"/>
      <c r="F43" s="14">
        <f>IF($A43="","",N(D43)-N(E43))</f>
        <v/>
      </c>
    </row>
    <row r="44">
      <c r="A44" s="19" t="n"/>
      <c r="B44" s="12" t="n"/>
      <c r="C44" s="12" t="n"/>
      <c r="D44" s="20" t="n"/>
      <c r="E44" s="20" t="n"/>
      <c r="F44" s="14">
        <f>IF($A44="","",N(D44)-N(E44))</f>
        <v/>
      </c>
    </row>
    <row r="45">
      <c r="A45" s="19" t="n"/>
      <c r="B45" s="12" t="n"/>
      <c r="C45" s="12" t="n"/>
      <c r="D45" s="20" t="n"/>
      <c r="E45" s="20" t="n"/>
      <c r="F45" s="14">
        <f>IF($A45="","",N(D45)-N(E45))</f>
        <v/>
      </c>
    </row>
    <row r="46">
      <c r="A46" s="19" t="n"/>
      <c r="B46" s="12" t="n"/>
      <c r="C46" s="12" t="n"/>
      <c r="D46" s="20" t="n"/>
      <c r="E46" s="20" t="n"/>
      <c r="F46" s="14">
        <f>IF($A46="","",N(D46)-N(E46))</f>
        <v/>
      </c>
    </row>
    <row r="47">
      <c r="A47" s="19" t="n"/>
      <c r="B47" s="12" t="n"/>
      <c r="C47" s="12" t="n"/>
      <c r="D47" s="20" t="n"/>
      <c r="E47" s="20" t="n"/>
      <c r="F47" s="14">
        <f>IF($A47="","",N(D47)-N(E47))</f>
        <v/>
      </c>
    </row>
    <row r="48">
      <c r="A48" s="19" t="n"/>
      <c r="B48" s="12" t="n"/>
      <c r="C48" s="12" t="n"/>
      <c r="D48" s="20" t="n"/>
      <c r="E48" s="20" t="n"/>
      <c r="F48" s="14">
        <f>IF($A48="","",N(D48)-N(E48))</f>
        <v/>
      </c>
    </row>
    <row r="49">
      <c r="A49" s="19" t="n"/>
      <c r="B49" s="12" t="n"/>
      <c r="C49" s="12" t="n"/>
      <c r="D49" s="20" t="n"/>
      <c r="E49" s="20" t="n"/>
      <c r="F49" s="14">
        <f>IF($A49="","",N(D49)-N(E49))</f>
        <v/>
      </c>
    </row>
    <row r="50">
      <c r="A50" s="19" t="n"/>
      <c r="B50" s="12" t="n"/>
      <c r="C50" s="12" t="n"/>
      <c r="D50" s="20" t="n"/>
      <c r="E50" s="20" t="n"/>
      <c r="F50" s="14">
        <f>IF($A50="","",N(D50)-N(E50))</f>
        <v/>
      </c>
    </row>
    <row r="51">
      <c r="A51" s="19" t="n"/>
      <c r="B51" s="12" t="n"/>
      <c r="C51" s="12" t="n"/>
      <c r="D51" s="20" t="n"/>
      <c r="E51" s="20" t="n"/>
      <c r="F51" s="14">
        <f>IF($A51="","",N(D51)-N(E51))</f>
        <v/>
      </c>
    </row>
    <row r="52">
      <c r="A52" s="19" t="n"/>
      <c r="B52" s="12" t="n"/>
      <c r="C52" s="12" t="n"/>
      <c r="D52" s="20" t="n"/>
      <c r="E52" s="20" t="n"/>
      <c r="F52" s="14">
        <f>IF($A52="","",N(D52)-N(E52))</f>
        <v/>
      </c>
    </row>
    <row r="53">
      <c r="A53" s="19" t="n"/>
      <c r="B53" s="12" t="n"/>
      <c r="C53" s="12" t="n"/>
      <c r="D53" s="20" t="n"/>
      <c r="E53" s="20" t="n"/>
      <c r="F53" s="14">
        <f>IF($A53="","",N(D53)-N(E53))</f>
        <v/>
      </c>
    </row>
    <row r="54">
      <c r="A54" s="19" t="n"/>
      <c r="B54" s="12" t="n"/>
      <c r="C54" s="12" t="n"/>
      <c r="D54" s="20" t="n"/>
      <c r="E54" s="20" t="n"/>
      <c r="F54" s="14">
        <f>IF($A54="","",N(D54)-N(E54))</f>
        <v/>
      </c>
    </row>
    <row r="55">
      <c r="A55" s="19" t="n"/>
      <c r="B55" s="12" t="n"/>
      <c r="C55" s="12" t="n"/>
      <c r="D55" s="20" t="n"/>
      <c r="E55" s="20" t="n"/>
      <c r="F55" s="14">
        <f>IF($A55="","",N(D55)-N(E55))</f>
        <v/>
      </c>
    </row>
    <row r="56">
      <c r="A56" s="19" t="n"/>
      <c r="B56" s="12" t="n"/>
      <c r="C56" s="12" t="n"/>
      <c r="D56" s="20" t="n"/>
      <c r="E56" s="20" t="n"/>
      <c r="F56" s="14">
        <f>IF($A56="","",N(D56)-N(E56))</f>
        <v/>
      </c>
    </row>
    <row r="57">
      <c r="A57" s="19" t="n"/>
      <c r="B57" s="12" t="n"/>
      <c r="C57" s="12" t="n"/>
      <c r="D57" s="20" t="n"/>
      <c r="E57" s="20" t="n"/>
      <c r="F57" s="14">
        <f>IF($A57="","",N(D57)-N(E57))</f>
        <v/>
      </c>
    </row>
    <row r="58">
      <c r="A58" s="19" t="n"/>
      <c r="B58" s="12" t="n"/>
      <c r="C58" s="12" t="n"/>
      <c r="D58" s="20" t="n"/>
      <c r="E58" s="20" t="n"/>
      <c r="F58" s="14">
        <f>IF($A58="","",N(D58)-N(E58))</f>
        <v/>
      </c>
    </row>
    <row r="59">
      <c r="A59" s="19" t="n"/>
      <c r="B59" s="12" t="n"/>
      <c r="C59" s="12" t="n"/>
      <c r="D59" s="20" t="n"/>
      <c r="E59" s="20" t="n"/>
      <c r="F59" s="14">
        <f>IF($A59="","",N(D59)-N(E59))</f>
        <v/>
      </c>
    </row>
    <row r="60">
      <c r="A60" s="19" t="n"/>
      <c r="B60" s="12" t="n"/>
      <c r="C60" s="12" t="n"/>
      <c r="D60" s="20" t="n"/>
      <c r="E60" s="20" t="n"/>
      <c r="F60" s="14">
        <f>IF($A60="","",N(D60)-N(E60))</f>
        <v/>
      </c>
    </row>
    <row r="61">
      <c r="A61" s="19" t="n"/>
      <c r="B61" s="12" t="n"/>
      <c r="C61" s="12" t="n"/>
      <c r="D61" s="20" t="n"/>
      <c r="E61" s="20" t="n"/>
      <c r="F61" s="14">
        <f>IF($A61="","",N(D61)-N(E61))</f>
        <v/>
      </c>
    </row>
    <row r="62">
      <c r="A62" s="19" t="n"/>
      <c r="B62" s="12" t="n"/>
      <c r="C62" s="12" t="n"/>
      <c r="D62" s="20" t="n"/>
      <c r="E62" s="20" t="n"/>
      <c r="F62" s="14">
        <f>IF($A62="","",N(D62)-N(E62))</f>
        <v/>
      </c>
    </row>
    <row r="63">
      <c r="A63" s="19" t="n"/>
      <c r="B63" s="12" t="n"/>
      <c r="C63" s="12" t="n"/>
      <c r="D63" s="20" t="n"/>
      <c r="E63" s="20" t="n"/>
      <c r="F63" s="14">
        <f>IF($A63="","",N(D63)-N(E63))</f>
        <v/>
      </c>
    </row>
    <row r="64">
      <c r="A64" s="19" t="n"/>
      <c r="B64" s="12" t="n"/>
      <c r="C64" s="12" t="n"/>
      <c r="D64" s="20" t="n"/>
      <c r="E64" s="20" t="n"/>
      <c r="F64" s="14">
        <f>IF($A64="","",N(D64)-N(E64))</f>
        <v/>
      </c>
    </row>
    <row r="65">
      <c r="A65" s="19" t="n"/>
      <c r="B65" s="12" t="n"/>
      <c r="C65" s="12" t="n"/>
      <c r="D65" s="20" t="n"/>
      <c r="E65" s="20" t="n"/>
      <c r="F65" s="14">
        <f>IF($A65="","",N(D65)-N(E65))</f>
        <v/>
      </c>
    </row>
    <row r="66">
      <c r="A66" s="19" t="n"/>
      <c r="B66" s="12" t="n"/>
      <c r="C66" s="12" t="n"/>
      <c r="D66" s="20" t="n"/>
      <c r="E66" s="20" t="n"/>
      <c r="F66" s="14">
        <f>IF($A66="","",N(D66)-N(E66))</f>
        <v/>
      </c>
    </row>
    <row r="67">
      <c r="A67" s="19" t="n"/>
      <c r="B67" s="12" t="n"/>
      <c r="C67" s="12" t="n"/>
      <c r="D67" s="20" t="n"/>
      <c r="E67" s="20" t="n"/>
      <c r="F67" s="14">
        <f>IF($A67="","",N(D67)-N(E67))</f>
        <v/>
      </c>
    </row>
    <row r="68">
      <c r="A68" s="19" t="n"/>
      <c r="B68" s="12" t="n"/>
      <c r="C68" s="12" t="n"/>
      <c r="D68" s="20" t="n"/>
      <c r="E68" s="20" t="n"/>
      <c r="F68" s="14">
        <f>IF($A68="","",N(D68)-N(E68))</f>
        <v/>
      </c>
    </row>
    <row r="69">
      <c r="A69" s="19" t="n"/>
      <c r="B69" s="12" t="n"/>
      <c r="C69" s="12" t="n"/>
      <c r="D69" s="20" t="n"/>
      <c r="E69" s="20" t="n"/>
      <c r="F69" s="14">
        <f>IF($A69="","",N(D69)-N(E69))</f>
        <v/>
      </c>
    </row>
    <row r="70">
      <c r="A70" s="19" t="n"/>
      <c r="B70" s="12" t="n"/>
      <c r="C70" s="12" t="n"/>
      <c r="D70" s="20" t="n"/>
      <c r="E70" s="20" t="n"/>
      <c r="F70" s="14">
        <f>IF($A70="","",N(D70)-N(E70))</f>
        <v/>
      </c>
    </row>
    <row r="71">
      <c r="A71" s="19" t="n"/>
      <c r="B71" s="12" t="n"/>
      <c r="C71" s="12" t="n"/>
      <c r="D71" s="20" t="n"/>
      <c r="E71" s="20" t="n"/>
      <c r="F71" s="14">
        <f>IF($A71="","",N(D71)-N(E71))</f>
        <v/>
      </c>
    </row>
    <row r="72">
      <c r="A72" s="19" t="n"/>
      <c r="B72" s="12" t="n"/>
      <c r="C72" s="12" t="n"/>
      <c r="D72" s="20" t="n"/>
      <c r="E72" s="20" t="n"/>
      <c r="F72" s="14">
        <f>IF($A72="","",N(D72)-N(E72))</f>
        <v/>
      </c>
    </row>
    <row r="73">
      <c r="A73" s="19" t="n"/>
      <c r="B73" s="12" t="n"/>
      <c r="C73" s="12" t="n"/>
      <c r="D73" s="20" t="n"/>
      <c r="E73" s="20" t="n"/>
      <c r="F73" s="14">
        <f>IF($A73="","",N(D73)-N(E73))</f>
        <v/>
      </c>
    </row>
    <row r="74">
      <c r="A74" s="19" t="n"/>
      <c r="B74" s="12" t="n"/>
      <c r="C74" s="12" t="n"/>
      <c r="D74" s="20" t="n"/>
      <c r="E74" s="20" t="n"/>
      <c r="F74" s="14">
        <f>IF($A74="","",N(D74)-N(E74))</f>
        <v/>
      </c>
    </row>
    <row r="75">
      <c r="A75" s="19" t="n"/>
      <c r="B75" s="12" t="n"/>
      <c r="C75" s="12" t="n"/>
      <c r="D75" s="20" t="n"/>
      <c r="E75" s="20" t="n"/>
      <c r="F75" s="14">
        <f>IF($A75="","",N(D75)-N(E75))</f>
        <v/>
      </c>
    </row>
    <row r="76">
      <c r="A76" s="19" t="n"/>
      <c r="B76" s="12" t="n"/>
      <c r="C76" s="12" t="n"/>
      <c r="D76" s="20" t="n"/>
      <c r="E76" s="20" t="n"/>
      <c r="F76" s="14">
        <f>IF($A76="","",N(D76)-N(E76))</f>
        <v/>
      </c>
    </row>
    <row r="77">
      <c r="A77" s="19" t="n"/>
      <c r="B77" s="12" t="n"/>
      <c r="C77" s="12" t="n"/>
      <c r="D77" s="20" t="n"/>
      <c r="E77" s="20" t="n"/>
      <c r="F77" s="14">
        <f>IF($A77="","",N(D77)-N(E77))</f>
        <v/>
      </c>
    </row>
    <row r="78">
      <c r="A78" s="19" t="n"/>
      <c r="B78" s="12" t="n"/>
      <c r="C78" s="12" t="n"/>
      <c r="D78" s="20" t="n"/>
      <c r="E78" s="20" t="n"/>
      <c r="F78" s="14">
        <f>IF($A78="","",N(D78)-N(E78))</f>
        <v/>
      </c>
    </row>
    <row r="79">
      <c r="A79" s="19" t="n"/>
      <c r="B79" s="12" t="n"/>
      <c r="C79" s="12" t="n"/>
      <c r="D79" s="20" t="n"/>
      <c r="E79" s="20" t="n"/>
      <c r="F79" s="14">
        <f>IF($A79="","",N(D79)-N(E79))</f>
        <v/>
      </c>
    </row>
    <row r="80">
      <c r="A80" s="19" t="n"/>
      <c r="B80" s="12" t="n"/>
      <c r="C80" s="12" t="n"/>
      <c r="D80" s="20" t="n"/>
      <c r="E80" s="20" t="n"/>
      <c r="F80" s="14">
        <f>IF($A80="","",N(D80)-N(E80))</f>
        <v/>
      </c>
    </row>
    <row r="81">
      <c r="A81" s="19" t="n"/>
      <c r="B81" s="12" t="n"/>
      <c r="C81" s="12" t="n"/>
      <c r="D81" s="20" t="n"/>
      <c r="E81" s="20" t="n"/>
      <c r="F81" s="14">
        <f>IF($A81="","",N(D81)-N(E81))</f>
        <v/>
      </c>
    </row>
    <row r="82">
      <c r="A82" s="19" t="n"/>
      <c r="B82" s="12" t="n"/>
      <c r="C82" s="12" t="n"/>
      <c r="D82" s="20" t="n"/>
      <c r="E82" s="20" t="n"/>
      <c r="F82" s="14">
        <f>IF($A82="","",N(D82)-N(E82))</f>
        <v/>
      </c>
    </row>
    <row r="83">
      <c r="A83" s="19" t="n"/>
      <c r="B83" s="12" t="n"/>
      <c r="C83" s="12" t="n"/>
      <c r="D83" s="20" t="n"/>
      <c r="E83" s="20" t="n"/>
      <c r="F83" s="14">
        <f>IF($A83="","",N(D83)-N(E83))</f>
        <v/>
      </c>
    </row>
    <row r="84">
      <c r="A84" s="19" t="n"/>
      <c r="B84" s="12" t="n"/>
      <c r="C84" s="12" t="n"/>
      <c r="D84" s="20" t="n"/>
      <c r="E84" s="20" t="n"/>
      <c r="F84" s="14">
        <f>IF($A84="","",N(D84)-N(E84))</f>
        <v/>
      </c>
    </row>
    <row r="85">
      <c r="A85" s="19" t="n"/>
      <c r="B85" s="12" t="n"/>
      <c r="C85" s="12" t="n"/>
      <c r="D85" s="20" t="n"/>
      <c r="E85" s="20" t="n"/>
      <c r="F85" s="14">
        <f>IF($A85="","",N(D85)-N(E85))</f>
        <v/>
      </c>
    </row>
    <row r="86">
      <c r="A86" s="19" t="n"/>
      <c r="B86" s="12" t="n"/>
      <c r="C86" s="12" t="n"/>
      <c r="D86" s="20" t="n"/>
      <c r="E86" s="20" t="n"/>
      <c r="F86" s="14">
        <f>IF($A86="","",N(D86)-N(E86))</f>
        <v/>
      </c>
    </row>
    <row r="87">
      <c r="A87" s="19" t="n"/>
      <c r="B87" s="12" t="n"/>
      <c r="C87" s="12" t="n"/>
      <c r="D87" s="20" t="n"/>
      <c r="E87" s="20" t="n"/>
      <c r="F87" s="14">
        <f>IF($A87="","",N(D87)-N(E87))</f>
        <v/>
      </c>
    </row>
    <row r="88">
      <c r="A88" s="19" t="n"/>
      <c r="B88" s="12" t="n"/>
      <c r="C88" s="12" t="n"/>
      <c r="D88" s="20" t="n"/>
      <c r="E88" s="20" t="n"/>
      <c r="F88" s="14">
        <f>IF($A88="","",N(D88)-N(E88))</f>
        <v/>
      </c>
    </row>
    <row r="89">
      <c r="A89" s="19" t="n"/>
      <c r="B89" s="12" t="n"/>
      <c r="C89" s="12" t="n"/>
      <c r="D89" s="20" t="n"/>
      <c r="E89" s="20" t="n"/>
      <c r="F89" s="14">
        <f>IF($A89="","",N(D89)-N(E89))</f>
        <v/>
      </c>
    </row>
    <row r="90">
      <c r="A90" s="19" t="n"/>
      <c r="B90" s="12" t="n"/>
      <c r="C90" s="12" t="n"/>
      <c r="D90" s="20" t="n"/>
      <c r="E90" s="20" t="n"/>
      <c r="F90" s="14">
        <f>IF($A90="","",N(D90)-N(E90))</f>
        <v/>
      </c>
    </row>
    <row r="91">
      <c r="A91" s="19" t="n"/>
      <c r="B91" s="12" t="n"/>
      <c r="C91" s="12" t="n"/>
      <c r="D91" s="20" t="n"/>
      <c r="E91" s="20" t="n"/>
      <c r="F91" s="14">
        <f>IF($A91="","",N(D91)-N(E91))</f>
        <v/>
      </c>
    </row>
    <row r="92">
      <c r="A92" s="19" t="n"/>
      <c r="B92" s="12" t="n"/>
      <c r="C92" s="12" t="n"/>
      <c r="D92" s="20" t="n"/>
      <c r="E92" s="20" t="n"/>
      <c r="F92" s="14">
        <f>IF($A92="","",N(D92)-N(E92))</f>
        <v/>
      </c>
    </row>
    <row r="93">
      <c r="A93" s="19" t="n"/>
      <c r="B93" s="12" t="n"/>
      <c r="C93" s="12" t="n"/>
      <c r="D93" s="20" t="n"/>
      <c r="E93" s="20" t="n"/>
      <c r="F93" s="14">
        <f>IF($A93="","",N(D93)-N(E93))</f>
        <v/>
      </c>
    </row>
    <row r="94">
      <c r="A94" s="19" t="n"/>
      <c r="B94" s="12" t="n"/>
      <c r="C94" s="12" t="n"/>
      <c r="D94" s="20" t="n"/>
      <c r="E94" s="20" t="n"/>
      <c r="F94" s="14">
        <f>IF($A94="","",N(D94)-N(E94))</f>
        <v/>
      </c>
    </row>
    <row r="95">
      <c r="A95" s="19" t="n"/>
      <c r="B95" s="12" t="n"/>
      <c r="C95" s="12" t="n"/>
      <c r="D95" s="20" t="n"/>
      <c r="E95" s="20" t="n"/>
      <c r="F95" s="14">
        <f>IF($A95="","",N(D95)-N(E95))</f>
        <v/>
      </c>
    </row>
    <row r="96">
      <c r="A96" s="19" t="n"/>
      <c r="B96" s="12" t="n"/>
      <c r="C96" s="12" t="n"/>
      <c r="D96" s="20" t="n"/>
      <c r="E96" s="20" t="n"/>
      <c r="F96" s="14">
        <f>IF($A96="","",N(D96)-N(E96))</f>
        <v/>
      </c>
    </row>
    <row r="97">
      <c r="A97" s="19" t="n"/>
      <c r="B97" s="12" t="n"/>
      <c r="C97" s="12" t="n"/>
      <c r="D97" s="20" t="n"/>
      <c r="E97" s="20" t="n"/>
      <c r="F97" s="14">
        <f>IF($A97="","",N(D97)-N(E97))</f>
        <v/>
      </c>
    </row>
    <row r="98">
      <c r="A98" s="19" t="n"/>
      <c r="B98" s="12" t="n"/>
      <c r="C98" s="12" t="n"/>
      <c r="D98" s="20" t="n"/>
      <c r="E98" s="20" t="n"/>
      <c r="F98" s="14">
        <f>IF($A98="","",N(D98)-N(E98))</f>
        <v/>
      </c>
    </row>
    <row r="99">
      <c r="A99" s="19" t="n"/>
      <c r="B99" s="12" t="n"/>
      <c r="C99" s="12" t="n"/>
      <c r="D99" s="20" t="n"/>
      <c r="E99" s="20" t="n"/>
      <c r="F99" s="14">
        <f>IF($A99="","",N(D99)-N(E99))</f>
        <v/>
      </c>
    </row>
    <row r="100">
      <c r="A100" s="19" t="n"/>
      <c r="B100" s="12" t="n"/>
      <c r="C100" s="12" t="n"/>
      <c r="D100" s="20" t="n"/>
      <c r="E100" s="20" t="n"/>
      <c r="F100" s="14">
        <f>IF($A100="","",N(D100)-N(E100))</f>
        <v/>
      </c>
    </row>
    <row r="101">
      <c r="A101" s="19" t="n"/>
      <c r="B101" s="12" t="n"/>
      <c r="C101" s="12" t="n"/>
      <c r="D101" s="20" t="n"/>
      <c r="E101" s="20" t="n"/>
      <c r="F101" s="14">
        <f>IF($A101="","",N(D101)-N(E101))</f>
        <v/>
      </c>
    </row>
    <row r="102">
      <c r="A102" s="19" t="n"/>
      <c r="B102" s="12" t="n"/>
      <c r="C102" s="12" t="n"/>
      <c r="D102" s="20" t="n"/>
      <c r="E102" s="20" t="n"/>
      <c r="F102" s="14">
        <f>IF($A102="","",N(D102)-N(E102))</f>
        <v/>
      </c>
    </row>
    <row r="103">
      <c r="A103" s="19" t="n"/>
      <c r="B103" s="12" t="n"/>
      <c r="C103" s="12" t="n"/>
      <c r="D103" s="20" t="n"/>
      <c r="E103" s="20" t="n"/>
      <c r="F103" s="14">
        <f>IF($A103="","",N(D103)-N(E103))</f>
        <v/>
      </c>
    </row>
    <row r="104">
      <c r="A104" s="19" t="n"/>
      <c r="B104" s="12" t="n"/>
      <c r="C104" s="12" t="n"/>
      <c r="D104" s="20" t="n"/>
      <c r="E104" s="20" t="n"/>
      <c r="F104" s="14">
        <f>IF($A104="","",N(D104)-N(E104))</f>
        <v/>
      </c>
    </row>
    <row r="105">
      <c r="A105" s="19" t="n"/>
      <c r="B105" s="12" t="n"/>
      <c r="C105" s="12" t="n"/>
      <c r="D105" s="20" t="n"/>
      <c r="E105" s="20" t="n"/>
      <c r="F105" s="14">
        <f>IF($A105="","",N(D105)-N(E105))</f>
        <v/>
      </c>
    </row>
    <row r="106">
      <c r="A106" s="19" t="n"/>
      <c r="B106" s="12" t="n"/>
      <c r="C106" s="12" t="n"/>
      <c r="D106" s="20" t="n"/>
      <c r="E106" s="20" t="n"/>
      <c r="F106" s="14">
        <f>IF($A106="","",N(D106)-N(E106))</f>
        <v/>
      </c>
    </row>
    <row r="107">
      <c r="A107" s="19" t="n"/>
      <c r="B107" s="12" t="n"/>
      <c r="C107" s="12" t="n"/>
      <c r="D107" s="20" t="n"/>
      <c r="E107" s="20" t="n"/>
      <c r="F107" s="14">
        <f>IF($A107="","",N(D107)-N(E107))</f>
        <v/>
      </c>
    </row>
    <row r="108">
      <c r="A108" s="19" t="n"/>
      <c r="B108" s="12" t="n"/>
      <c r="C108" s="12" t="n"/>
      <c r="D108" s="20" t="n"/>
      <c r="E108" s="20" t="n"/>
      <c r="F108" s="14">
        <f>IF($A108="","",N(D108)-N(E108))</f>
        <v/>
      </c>
    </row>
    <row r="109">
      <c r="A109" s="19" t="n"/>
      <c r="B109" s="12" t="n"/>
      <c r="C109" s="12" t="n"/>
      <c r="D109" s="20" t="n"/>
      <c r="E109" s="20" t="n"/>
      <c r="F109" s="14">
        <f>IF($A109="","",N(D109)-N(E109))</f>
        <v/>
      </c>
    </row>
    <row r="110">
      <c r="A110" s="19" t="n"/>
      <c r="B110" s="12" t="n"/>
      <c r="C110" s="12" t="n"/>
      <c r="D110" s="20" t="n"/>
      <c r="E110" s="20" t="n"/>
      <c r="F110" s="14">
        <f>IF($A110="","",N(D110)-N(E110))</f>
        <v/>
      </c>
    </row>
    <row r="111">
      <c r="A111" s="19" t="n"/>
      <c r="B111" s="12" t="n"/>
      <c r="C111" s="12" t="n"/>
      <c r="D111" s="20" t="n"/>
      <c r="E111" s="20" t="n"/>
      <c r="F111" s="14">
        <f>IF($A111="","",N(D111)-N(E111))</f>
        <v/>
      </c>
    </row>
    <row r="112">
      <c r="A112" s="19" t="n"/>
      <c r="B112" s="12" t="n"/>
      <c r="C112" s="12" t="n"/>
      <c r="D112" s="20" t="n"/>
      <c r="E112" s="20" t="n"/>
      <c r="F112" s="14">
        <f>IF($A112="","",N(D112)-N(E112))</f>
        <v/>
      </c>
    </row>
    <row r="113">
      <c r="A113" s="19" t="n"/>
      <c r="B113" s="12" t="n"/>
      <c r="C113" s="12" t="n"/>
      <c r="D113" s="20" t="n"/>
      <c r="E113" s="20" t="n"/>
      <c r="F113" s="14">
        <f>IF($A113="","",N(D113)-N(E113))</f>
        <v/>
      </c>
    </row>
    <row r="114">
      <c r="A114" s="19" t="n"/>
      <c r="B114" s="12" t="n"/>
      <c r="C114" s="12" t="n"/>
      <c r="D114" s="20" t="n"/>
      <c r="E114" s="20" t="n"/>
      <c r="F114" s="14">
        <f>IF($A114="","",N(D114)-N(E114))</f>
        <v/>
      </c>
    </row>
    <row r="115">
      <c r="A115" s="19" t="n"/>
      <c r="B115" s="12" t="n"/>
      <c r="C115" s="12" t="n"/>
      <c r="D115" s="20" t="n"/>
      <c r="E115" s="20" t="n"/>
      <c r="F115" s="14">
        <f>IF($A115="","",N(D115)-N(E115))</f>
        <v/>
      </c>
    </row>
    <row r="116">
      <c r="A116" s="19" t="n"/>
      <c r="B116" s="12" t="n"/>
      <c r="C116" s="12" t="n"/>
      <c r="D116" s="20" t="n"/>
      <c r="E116" s="20" t="n"/>
      <c r="F116" s="14">
        <f>IF($A116="","",N(D116)-N(E116))</f>
        <v/>
      </c>
    </row>
    <row r="117">
      <c r="A117" s="19" t="n"/>
      <c r="B117" s="12" t="n"/>
      <c r="C117" s="12" t="n"/>
      <c r="D117" s="20" t="n"/>
      <c r="E117" s="20" t="n"/>
      <c r="F117" s="14">
        <f>IF($A117="","",N(D117)-N(E117))</f>
        <v/>
      </c>
    </row>
    <row r="118">
      <c r="A118" s="19" t="n"/>
      <c r="B118" s="12" t="n"/>
      <c r="C118" s="12" t="n"/>
      <c r="D118" s="20" t="n"/>
      <c r="E118" s="20" t="n"/>
      <c r="F118" s="14">
        <f>IF($A118="","",N(D118)-N(E118))</f>
        <v/>
      </c>
    </row>
    <row r="119">
      <c r="A119" s="19" t="n"/>
      <c r="B119" s="12" t="n"/>
      <c r="C119" s="12" t="n"/>
      <c r="D119" s="20" t="n"/>
      <c r="E119" s="20" t="n"/>
      <c r="F119" s="14">
        <f>IF($A119="","",N(D119)-N(E119))</f>
        <v/>
      </c>
    </row>
    <row r="120">
      <c r="A120" s="19" t="n"/>
      <c r="B120" s="12" t="n"/>
      <c r="C120" s="12" t="n"/>
      <c r="D120" s="20" t="n"/>
      <c r="E120" s="20" t="n"/>
      <c r="F120" s="14">
        <f>IF($A120="","",N(D120)-N(E120))</f>
        <v/>
      </c>
    </row>
    <row r="121">
      <c r="A121" s="19" t="n"/>
      <c r="B121" s="12" t="n"/>
      <c r="C121" s="12" t="n"/>
      <c r="D121" s="20" t="n"/>
      <c r="E121" s="20" t="n"/>
      <c r="F121" s="14">
        <f>IF($A121="","",N(D121)-N(E121))</f>
        <v/>
      </c>
    </row>
    <row r="122">
      <c r="A122" s="19" t="n"/>
      <c r="B122" s="12" t="n"/>
      <c r="C122" s="12" t="n"/>
      <c r="D122" s="20" t="n"/>
      <c r="E122" s="20" t="n"/>
      <c r="F122" s="14">
        <f>IF($A122="","",N(D122)-N(E122))</f>
        <v/>
      </c>
    </row>
    <row r="123">
      <c r="A123" s="19" t="n"/>
      <c r="B123" s="12" t="n"/>
      <c r="C123" s="12" t="n"/>
      <c r="D123" s="20" t="n"/>
      <c r="E123" s="20" t="n"/>
      <c r="F123" s="14">
        <f>IF($A123="","",N(D123)-N(E123))</f>
        <v/>
      </c>
    </row>
    <row r="124">
      <c r="A124" s="19" t="n"/>
      <c r="B124" s="12" t="n"/>
      <c r="C124" s="12" t="n"/>
      <c r="D124" s="20" t="n"/>
      <c r="E124" s="20" t="n"/>
      <c r="F124" s="14">
        <f>IF($A124="","",N(D124)-N(E124))</f>
        <v/>
      </c>
    </row>
    <row r="125">
      <c r="A125" s="19" t="n"/>
      <c r="B125" s="12" t="n"/>
      <c r="C125" s="12" t="n"/>
      <c r="D125" s="20" t="n"/>
      <c r="E125" s="20" t="n"/>
      <c r="F125" s="14">
        <f>IF($A125="","",N(D125)-N(E125))</f>
        <v/>
      </c>
    </row>
    <row r="126">
      <c r="A126" s="19" t="n"/>
      <c r="B126" s="12" t="n"/>
      <c r="C126" s="12" t="n"/>
      <c r="D126" s="20" t="n"/>
      <c r="E126" s="20" t="n"/>
      <c r="F126" s="14">
        <f>IF($A126="","",N(D126)-N(E126))</f>
        <v/>
      </c>
    </row>
    <row r="127">
      <c r="A127" s="19" t="n"/>
      <c r="B127" s="12" t="n"/>
      <c r="C127" s="12" t="n"/>
      <c r="D127" s="20" t="n"/>
      <c r="E127" s="20" t="n"/>
      <c r="F127" s="14">
        <f>IF($A127="","",N(D127)-N(E127))</f>
        <v/>
      </c>
    </row>
    <row r="128">
      <c r="A128" s="19" t="n"/>
      <c r="B128" s="12" t="n"/>
      <c r="C128" s="12" t="n"/>
      <c r="D128" s="20" t="n"/>
      <c r="E128" s="20" t="n"/>
      <c r="F128" s="14">
        <f>IF($A128="","",N(D128)-N(E128))</f>
        <v/>
      </c>
    </row>
    <row r="129">
      <c r="A129" s="19" t="n"/>
      <c r="B129" s="12" t="n"/>
      <c r="C129" s="12" t="n"/>
      <c r="D129" s="20" t="n"/>
      <c r="E129" s="20" t="n"/>
      <c r="F129" s="14">
        <f>IF($A129="","",N(D129)-N(E129))</f>
        <v/>
      </c>
    </row>
    <row r="130">
      <c r="A130" s="19" t="n"/>
      <c r="B130" s="12" t="n"/>
      <c r="C130" s="12" t="n"/>
      <c r="D130" s="20" t="n"/>
      <c r="E130" s="20" t="n"/>
      <c r="F130" s="14">
        <f>IF($A130="","",N(D130)-N(E130))</f>
        <v/>
      </c>
    </row>
    <row r="131">
      <c r="A131" s="19" t="n"/>
      <c r="B131" s="12" t="n"/>
      <c r="C131" s="12" t="n"/>
      <c r="D131" s="20" t="n"/>
      <c r="E131" s="20" t="n"/>
      <c r="F131" s="14">
        <f>IF($A131="","",N(D131)-N(E131))</f>
        <v/>
      </c>
    </row>
    <row r="132">
      <c r="A132" s="19" t="n"/>
      <c r="B132" s="12" t="n"/>
      <c r="C132" s="12" t="n"/>
      <c r="D132" s="20" t="n"/>
      <c r="E132" s="20" t="n"/>
      <c r="F132" s="14">
        <f>IF($A132="","",N(D132)-N(E132))</f>
        <v/>
      </c>
    </row>
    <row r="133">
      <c r="A133" s="19" t="n"/>
      <c r="B133" s="12" t="n"/>
      <c r="C133" s="12" t="n"/>
      <c r="D133" s="20" t="n"/>
      <c r="E133" s="20" t="n"/>
      <c r="F133" s="14">
        <f>IF($A133="","",N(D133)-N(E133))</f>
        <v/>
      </c>
    </row>
    <row r="134">
      <c r="A134" s="19" t="n"/>
      <c r="B134" s="12" t="n"/>
      <c r="C134" s="12" t="n"/>
      <c r="D134" s="20" t="n"/>
      <c r="E134" s="20" t="n"/>
      <c r="F134" s="14">
        <f>IF($A134="","",N(D134)-N(E134))</f>
        <v/>
      </c>
    </row>
    <row r="135">
      <c r="A135" s="19" t="n"/>
      <c r="B135" s="12" t="n"/>
      <c r="C135" s="12" t="n"/>
      <c r="D135" s="20" t="n"/>
      <c r="E135" s="20" t="n"/>
      <c r="F135" s="14">
        <f>IF($A135="","",N(D135)-N(E135))</f>
        <v/>
      </c>
    </row>
    <row r="136">
      <c r="A136" s="19" t="n"/>
      <c r="B136" s="12" t="n"/>
      <c r="C136" s="12" t="n"/>
      <c r="D136" s="20" t="n"/>
      <c r="E136" s="20" t="n"/>
      <c r="F136" s="14">
        <f>IF($A136="","",N(D136)-N(E136))</f>
        <v/>
      </c>
    </row>
    <row r="137">
      <c r="A137" s="19" t="n"/>
      <c r="B137" s="12" t="n"/>
      <c r="C137" s="12" t="n"/>
      <c r="D137" s="20" t="n"/>
      <c r="E137" s="20" t="n"/>
      <c r="F137" s="14">
        <f>IF($A137="","",N(D137)-N(E137))</f>
        <v/>
      </c>
    </row>
    <row r="138">
      <c r="A138" s="19" t="n"/>
      <c r="B138" s="12" t="n"/>
      <c r="C138" s="12" t="n"/>
      <c r="D138" s="20" t="n"/>
      <c r="E138" s="20" t="n"/>
      <c r="F138" s="14">
        <f>IF($A138="","",N(D138)-N(E138))</f>
        <v/>
      </c>
    </row>
    <row r="139">
      <c r="A139" s="19" t="n"/>
      <c r="B139" s="12" t="n"/>
      <c r="C139" s="12" t="n"/>
      <c r="D139" s="20" t="n"/>
      <c r="E139" s="20" t="n"/>
      <c r="F139" s="14">
        <f>IF($A139="","",N(D139)-N(E139))</f>
        <v/>
      </c>
    </row>
    <row r="140">
      <c r="A140" s="19" t="n"/>
      <c r="B140" s="12" t="n"/>
      <c r="C140" s="12" t="n"/>
      <c r="D140" s="20" t="n"/>
      <c r="E140" s="20" t="n"/>
      <c r="F140" s="14">
        <f>IF($A140="","",N(D140)-N(E140))</f>
        <v/>
      </c>
    </row>
    <row r="141">
      <c r="A141" s="19" t="n"/>
      <c r="B141" s="12" t="n"/>
      <c r="C141" s="12" t="n"/>
      <c r="D141" s="20" t="n"/>
      <c r="E141" s="20" t="n"/>
      <c r="F141" s="14">
        <f>IF($A141="","",N(D141)-N(E141))</f>
        <v/>
      </c>
    </row>
    <row r="142">
      <c r="A142" s="19" t="n"/>
      <c r="B142" s="12" t="n"/>
      <c r="C142" s="12" t="n"/>
      <c r="D142" s="20" t="n"/>
      <c r="E142" s="20" t="n"/>
      <c r="F142" s="14">
        <f>IF($A142="","",N(D142)-N(E142))</f>
        <v/>
      </c>
    </row>
    <row r="143">
      <c r="A143" s="19" t="n"/>
      <c r="B143" s="12" t="n"/>
      <c r="C143" s="12" t="n"/>
      <c r="D143" s="20" t="n"/>
      <c r="E143" s="20" t="n"/>
      <c r="F143" s="14">
        <f>IF($A143="","",N(D143)-N(E143))</f>
        <v/>
      </c>
    </row>
    <row r="144">
      <c r="A144" s="19" t="n"/>
      <c r="B144" s="12" t="n"/>
      <c r="C144" s="12" t="n"/>
      <c r="D144" s="20" t="n"/>
      <c r="E144" s="20" t="n"/>
      <c r="F144" s="14">
        <f>IF($A144="","",N(D144)-N(E144))</f>
        <v/>
      </c>
    </row>
    <row r="145">
      <c r="A145" s="19" t="n"/>
      <c r="B145" s="12" t="n"/>
      <c r="C145" s="12" t="n"/>
      <c r="D145" s="20" t="n"/>
      <c r="E145" s="20" t="n"/>
      <c r="F145" s="14">
        <f>IF($A145="","",N(D145)-N(E145))</f>
        <v/>
      </c>
    </row>
    <row r="146">
      <c r="A146" s="19" t="n"/>
      <c r="B146" s="12" t="n"/>
      <c r="C146" s="12" t="n"/>
      <c r="D146" s="20" t="n"/>
      <c r="E146" s="20" t="n"/>
      <c r="F146" s="14">
        <f>IF($A146="","",N(D146)-N(E146))</f>
        <v/>
      </c>
    </row>
    <row r="147">
      <c r="A147" s="19" t="n"/>
      <c r="B147" s="12" t="n"/>
      <c r="C147" s="12" t="n"/>
      <c r="D147" s="20" t="n"/>
      <c r="E147" s="20" t="n"/>
      <c r="F147" s="14">
        <f>IF($A147="","",N(D147)-N(E147))</f>
        <v/>
      </c>
    </row>
    <row r="148">
      <c r="A148" s="19" t="n"/>
      <c r="B148" s="12" t="n"/>
      <c r="C148" s="12" t="n"/>
      <c r="D148" s="20" t="n"/>
      <c r="E148" s="20" t="n"/>
      <c r="F148" s="14">
        <f>IF($A148="","",N(D148)-N(E148))</f>
        <v/>
      </c>
    </row>
    <row r="149">
      <c r="A149" s="19" t="n"/>
      <c r="B149" s="12" t="n"/>
      <c r="C149" s="12" t="n"/>
      <c r="D149" s="20" t="n"/>
      <c r="E149" s="20" t="n"/>
      <c r="F149" s="14">
        <f>IF($A149="","",N(D149)-N(E149))</f>
        <v/>
      </c>
    </row>
    <row r="150">
      <c r="A150" s="19" t="n"/>
      <c r="B150" s="12" t="n"/>
      <c r="C150" s="12" t="n"/>
      <c r="D150" s="20" t="n"/>
      <c r="E150" s="20" t="n"/>
      <c r="F150" s="14">
        <f>IF($A150="","",N(D150)-N(E150))</f>
        <v/>
      </c>
    </row>
    <row r="151">
      <c r="A151" s="19" t="n"/>
      <c r="B151" s="12" t="n"/>
      <c r="C151" s="12" t="n"/>
      <c r="D151" s="20" t="n"/>
      <c r="E151" s="20" t="n"/>
      <c r="F151" s="14">
        <f>IF($A151="","",N(D151)-N(E151))</f>
        <v/>
      </c>
    </row>
    <row r="152">
      <c r="A152" s="19" t="n"/>
      <c r="B152" s="12" t="n"/>
      <c r="C152" s="12" t="n"/>
      <c r="D152" s="20" t="n"/>
      <c r="E152" s="20" t="n"/>
      <c r="F152" s="14">
        <f>IF($A152="","",N(D152)-N(E152))</f>
        <v/>
      </c>
    </row>
    <row r="153">
      <c r="A153" s="19" t="n"/>
      <c r="B153" s="12" t="n"/>
      <c r="C153" s="12" t="n"/>
      <c r="D153" s="20" t="n"/>
      <c r="E153" s="20" t="n"/>
      <c r="F153" s="14">
        <f>IF($A153="","",N(D153)-N(E153))</f>
        <v/>
      </c>
    </row>
    <row r="154">
      <c r="A154" s="19" t="n"/>
      <c r="B154" s="12" t="n"/>
      <c r="C154" s="12" t="n"/>
      <c r="D154" s="20" t="n"/>
      <c r="E154" s="20" t="n"/>
      <c r="F154" s="14">
        <f>IF($A154="","",N(D154)-N(E154))</f>
        <v/>
      </c>
    </row>
    <row r="155">
      <c r="A155" s="19" t="n"/>
      <c r="B155" s="12" t="n"/>
      <c r="C155" s="12" t="n"/>
      <c r="D155" s="20" t="n"/>
      <c r="E155" s="20" t="n"/>
      <c r="F155" s="14">
        <f>IF($A155="","",N(D155)-N(E155))</f>
        <v/>
      </c>
    </row>
    <row r="156">
      <c r="A156" s="19" t="n"/>
      <c r="B156" s="12" t="n"/>
      <c r="C156" s="12" t="n"/>
      <c r="D156" s="20" t="n"/>
      <c r="E156" s="20" t="n"/>
      <c r="F156" s="14">
        <f>IF($A156="","",N(D156)-N(E156))</f>
        <v/>
      </c>
    </row>
    <row r="157">
      <c r="A157" s="19" t="n"/>
      <c r="B157" s="12" t="n"/>
      <c r="C157" s="12" t="n"/>
      <c r="D157" s="20" t="n"/>
      <c r="E157" s="20" t="n"/>
      <c r="F157" s="14">
        <f>IF($A157="","",N(D157)-N(E157))</f>
        <v/>
      </c>
    </row>
    <row r="158">
      <c r="A158" s="19" t="n"/>
      <c r="B158" s="12" t="n"/>
      <c r="C158" s="12" t="n"/>
      <c r="D158" s="20" t="n"/>
      <c r="E158" s="20" t="n"/>
      <c r="F158" s="14">
        <f>IF($A158="","",N(D158)-N(E158))</f>
        <v/>
      </c>
    </row>
    <row r="159">
      <c r="A159" s="19" t="n"/>
      <c r="B159" s="12" t="n"/>
      <c r="C159" s="12" t="n"/>
      <c r="D159" s="20" t="n"/>
      <c r="E159" s="20" t="n"/>
      <c r="F159" s="14">
        <f>IF($A159="","",N(D159)-N(E159))</f>
        <v/>
      </c>
    </row>
    <row r="160">
      <c r="A160" s="19" t="n"/>
      <c r="B160" s="12" t="n"/>
      <c r="C160" s="12" t="n"/>
      <c r="D160" s="20" t="n"/>
      <c r="E160" s="20" t="n"/>
      <c r="F160" s="14">
        <f>IF($A160="","",N(D160)-N(E160))</f>
        <v/>
      </c>
    </row>
    <row r="161">
      <c r="A161" s="19" t="n"/>
      <c r="B161" s="12" t="n"/>
      <c r="C161" s="12" t="n"/>
      <c r="D161" s="20" t="n"/>
      <c r="E161" s="20" t="n"/>
      <c r="F161" s="14">
        <f>IF($A161="","",N(D161)-N(E161))</f>
        <v/>
      </c>
    </row>
    <row r="162">
      <c r="A162" s="19" t="n"/>
      <c r="B162" s="12" t="n"/>
      <c r="C162" s="12" t="n"/>
      <c r="D162" s="20" t="n"/>
      <c r="E162" s="20" t="n"/>
      <c r="F162" s="14">
        <f>IF($A162="","",N(D162)-N(E162))</f>
        <v/>
      </c>
    </row>
    <row r="163">
      <c r="A163" s="19" t="n"/>
      <c r="B163" s="12" t="n"/>
      <c r="C163" s="12" t="n"/>
      <c r="D163" s="20" t="n"/>
      <c r="E163" s="20" t="n"/>
      <c r="F163" s="14">
        <f>IF($A163="","",N(D163)-N(E163))</f>
        <v/>
      </c>
    </row>
    <row r="164">
      <c r="A164" s="19" t="n"/>
      <c r="B164" s="12" t="n"/>
      <c r="C164" s="12" t="n"/>
      <c r="D164" s="20" t="n"/>
      <c r="E164" s="20" t="n"/>
      <c r="F164" s="14">
        <f>IF($A164="","",N(D164)-N(E164))</f>
        <v/>
      </c>
    </row>
    <row r="165">
      <c r="A165" s="19" t="n"/>
      <c r="B165" s="12" t="n"/>
      <c r="C165" s="12" t="n"/>
      <c r="D165" s="20" t="n"/>
      <c r="E165" s="20" t="n"/>
      <c r="F165" s="14">
        <f>IF($A165="","",N(D165)-N(E165))</f>
        <v/>
      </c>
    </row>
    <row r="166">
      <c r="A166" s="19" t="n"/>
      <c r="B166" s="12" t="n"/>
      <c r="C166" s="12" t="n"/>
      <c r="D166" s="20" t="n"/>
      <c r="E166" s="20" t="n"/>
      <c r="F166" s="14">
        <f>IF($A166="","",N(D166)-N(E166))</f>
        <v/>
      </c>
    </row>
    <row r="167">
      <c r="A167" s="19" t="n"/>
      <c r="B167" s="12" t="n"/>
      <c r="C167" s="12" t="n"/>
      <c r="D167" s="20" t="n"/>
      <c r="E167" s="20" t="n"/>
      <c r="F167" s="14">
        <f>IF($A167="","",N(D167)-N(E167))</f>
        <v/>
      </c>
    </row>
    <row r="168">
      <c r="A168" s="19" t="n"/>
      <c r="B168" s="12" t="n"/>
      <c r="C168" s="12" t="n"/>
      <c r="D168" s="20" t="n"/>
      <c r="E168" s="20" t="n"/>
      <c r="F168" s="14">
        <f>IF($A168="","",N(D168)-N(E168))</f>
        <v/>
      </c>
    </row>
    <row r="169">
      <c r="A169" s="19" t="n"/>
      <c r="B169" s="12" t="n"/>
      <c r="C169" s="12" t="n"/>
      <c r="D169" s="20" t="n"/>
      <c r="E169" s="20" t="n"/>
      <c r="F169" s="14">
        <f>IF($A169="","",N(D169)-N(E169))</f>
        <v/>
      </c>
    </row>
    <row r="170">
      <c r="A170" s="19" t="n"/>
      <c r="B170" s="12" t="n"/>
      <c r="C170" s="12" t="n"/>
      <c r="D170" s="20" t="n"/>
      <c r="E170" s="20" t="n"/>
      <c r="F170" s="14">
        <f>IF($A170="","",N(D170)-N(E170))</f>
        <v/>
      </c>
    </row>
    <row r="171">
      <c r="A171" s="19" t="n"/>
      <c r="B171" s="12" t="n"/>
      <c r="C171" s="12" t="n"/>
      <c r="D171" s="20" t="n"/>
      <c r="E171" s="20" t="n"/>
      <c r="F171" s="14">
        <f>IF($A171="","",N(D171)-N(E171))</f>
        <v/>
      </c>
    </row>
    <row r="172">
      <c r="A172" s="19" t="n"/>
      <c r="B172" s="12" t="n"/>
      <c r="C172" s="12" t="n"/>
      <c r="D172" s="20" t="n"/>
      <c r="E172" s="20" t="n"/>
      <c r="F172" s="14">
        <f>IF($A172="","",N(D172)-N(E172))</f>
        <v/>
      </c>
    </row>
    <row r="173">
      <c r="A173" s="19" t="n"/>
      <c r="B173" s="12" t="n"/>
      <c r="C173" s="12" t="n"/>
      <c r="D173" s="20" t="n"/>
      <c r="E173" s="20" t="n"/>
      <c r="F173" s="14">
        <f>IF($A173="","",N(D173)-N(E173))</f>
        <v/>
      </c>
    </row>
    <row r="174">
      <c r="A174" s="19" t="n"/>
      <c r="B174" s="12" t="n"/>
      <c r="C174" s="12" t="n"/>
      <c r="D174" s="20" t="n"/>
      <c r="E174" s="20" t="n"/>
      <c r="F174" s="14">
        <f>IF($A174="","",N(D174)-N(E174))</f>
        <v/>
      </c>
    </row>
    <row r="175">
      <c r="A175" s="19" t="n"/>
      <c r="B175" s="12" t="n"/>
      <c r="C175" s="12" t="n"/>
      <c r="D175" s="20" t="n"/>
      <c r="E175" s="20" t="n"/>
      <c r="F175" s="14">
        <f>IF($A175="","",N(D175)-N(E175))</f>
        <v/>
      </c>
    </row>
    <row r="176">
      <c r="A176" s="19" t="n"/>
      <c r="B176" s="12" t="n"/>
      <c r="C176" s="12" t="n"/>
      <c r="D176" s="20" t="n"/>
      <c r="E176" s="20" t="n"/>
      <c r="F176" s="14">
        <f>IF($A176="","",N(D176)-N(E176))</f>
        <v/>
      </c>
    </row>
    <row r="177">
      <c r="A177" s="19" t="n"/>
      <c r="B177" s="12" t="n"/>
      <c r="C177" s="12" t="n"/>
      <c r="D177" s="20" t="n"/>
      <c r="E177" s="20" t="n"/>
      <c r="F177" s="14">
        <f>IF($A177="","",N(D177)-N(E177))</f>
        <v/>
      </c>
    </row>
    <row r="178">
      <c r="A178" s="19" t="n"/>
      <c r="B178" s="12" t="n"/>
      <c r="C178" s="12" t="n"/>
      <c r="D178" s="20" t="n"/>
      <c r="E178" s="20" t="n"/>
      <c r="F178" s="14">
        <f>IF($A178="","",N(D178)-N(E178))</f>
        <v/>
      </c>
    </row>
    <row r="179">
      <c r="A179" s="19" t="n"/>
      <c r="B179" s="12" t="n"/>
      <c r="C179" s="12" t="n"/>
      <c r="D179" s="20" t="n"/>
      <c r="E179" s="20" t="n"/>
      <c r="F179" s="14">
        <f>IF($A179="","",N(D179)-N(E179))</f>
        <v/>
      </c>
    </row>
    <row r="180">
      <c r="A180" s="19" t="n"/>
      <c r="B180" s="12" t="n"/>
      <c r="C180" s="12" t="n"/>
      <c r="D180" s="20" t="n"/>
      <c r="E180" s="20" t="n"/>
      <c r="F180" s="14">
        <f>IF($A180="","",N(D180)-N(E180))</f>
        <v/>
      </c>
    </row>
    <row r="181">
      <c r="A181" s="19" t="n"/>
      <c r="B181" s="12" t="n"/>
      <c r="C181" s="12" t="n"/>
      <c r="D181" s="20" t="n"/>
      <c r="E181" s="20" t="n"/>
      <c r="F181" s="14">
        <f>IF($A181="","",N(D181)-N(E181))</f>
        <v/>
      </c>
    </row>
    <row r="182">
      <c r="A182" s="19" t="n"/>
      <c r="B182" s="12" t="n"/>
      <c r="C182" s="12" t="n"/>
      <c r="D182" s="20" t="n"/>
      <c r="E182" s="20" t="n"/>
      <c r="F182" s="14">
        <f>IF($A182="","",N(D182)-N(E182))</f>
        <v/>
      </c>
    </row>
    <row r="183">
      <c r="A183" s="19" t="n"/>
      <c r="B183" s="12" t="n"/>
      <c r="C183" s="12" t="n"/>
      <c r="D183" s="20" t="n"/>
      <c r="E183" s="20" t="n"/>
      <c r="F183" s="14">
        <f>IF($A183="","",N(D183)-N(E183))</f>
        <v/>
      </c>
    </row>
    <row r="184">
      <c r="A184" s="19" t="n"/>
      <c r="B184" s="12" t="n"/>
      <c r="C184" s="12" t="n"/>
      <c r="D184" s="20" t="n"/>
      <c r="E184" s="20" t="n"/>
      <c r="F184" s="14">
        <f>IF($A184="","",N(D184)-N(E184))</f>
        <v/>
      </c>
    </row>
    <row r="185">
      <c r="A185" s="19" t="n"/>
      <c r="B185" s="12" t="n"/>
      <c r="C185" s="12" t="n"/>
      <c r="D185" s="20" t="n"/>
      <c r="E185" s="20" t="n"/>
      <c r="F185" s="14">
        <f>IF($A185="","",N(D185)-N(E185))</f>
        <v/>
      </c>
    </row>
    <row r="186">
      <c r="A186" s="19" t="n"/>
      <c r="B186" s="12" t="n"/>
      <c r="C186" s="12" t="n"/>
      <c r="D186" s="20" t="n"/>
      <c r="E186" s="20" t="n"/>
      <c r="F186" s="14">
        <f>IF($A186="","",N(D186)-N(E186))</f>
        <v/>
      </c>
    </row>
    <row r="187">
      <c r="A187" s="19" t="n"/>
      <c r="B187" s="12" t="n"/>
      <c r="C187" s="12" t="n"/>
      <c r="D187" s="20" t="n"/>
      <c r="E187" s="20" t="n"/>
      <c r="F187" s="14">
        <f>IF($A187="","",N(D187)-N(E187))</f>
        <v/>
      </c>
    </row>
    <row r="188">
      <c r="A188" s="19" t="n"/>
      <c r="B188" s="12" t="n"/>
      <c r="C188" s="12" t="n"/>
      <c r="D188" s="20" t="n"/>
      <c r="E188" s="20" t="n"/>
      <c r="F188" s="14">
        <f>IF($A188="","",N(D188)-N(E188))</f>
        <v/>
      </c>
    </row>
    <row r="189">
      <c r="A189" s="19" t="n"/>
      <c r="B189" s="12" t="n"/>
      <c r="C189" s="12" t="n"/>
      <c r="D189" s="20" t="n"/>
      <c r="E189" s="20" t="n"/>
      <c r="F189" s="14">
        <f>IF($A189="","",N(D189)-N(E189))</f>
        <v/>
      </c>
    </row>
    <row r="190">
      <c r="A190" s="19" t="n"/>
      <c r="B190" s="12" t="n"/>
      <c r="C190" s="12" t="n"/>
      <c r="D190" s="20" t="n"/>
      <c r="E190" s="20" t="n"/>
      <c r="F190" s="14">
        <f>IF($A190="","",N(D190)-N(E190))</f>
        <v/>
      </c>
    </row>
    <row r="191">
      <c r="A191" s="19" t="n"/>
      <c r="B191" s="12" t="n"/>
      <c r="C191" s="12" t="n"/>
      <c r="D191" s="20" t="n"/>
      <c r="E191" s="20" t="n"/>
      <c r="F191" s="14">
        <f>IF($A191="","",N(D191)-N(E191))</f>
        <v/>
      </c>
    </row>
    <row r="192">
      <c r="A192" s="19" t="n"/>
      <c r="B192" s="12" t="n"/>
      <c r="C192" s="12" t="n"/>
      <c r="D192" s="20" t="n"/>
      <c r="E192" s="20" t="n"/>
      <c r="F192" s="14">
        <f>IF($A192="","",N(D192)-N(E192))</f>
        <v/>
      </c>
    </row>
    <row r="193">
      <c r="A193" s="19" t="n"/>
      <c r="B193" s="12" t="n"/>
      <c r="C193" s="12" t="n"/>
      <c r="D193" s="20" t="n"/>
      <c r="E193" s="20" t="n"/>
      <c r="F193" s="14">
        <f>IF($A193="","",N(D193)-N(E193))</f>
        <v/>
      </c>
    </row>
    <row r="194">
      <c r="A194" s="19" t="n"/>
      <c r="B194" s="12" t="n"/>
      <c r="C194" s="12" t="n"/>
      <c r="D194" s="20" t="n"/>
      <c r="E194" s="20" t="n"/>
      <c r="F194" s="14">
        <f>IF($A194="","",N(D194)-N(E194))</f>
        <v/>
      </c>
    </row>
    <row r="195">
      <c r="A195" s="19" t="n"/>
      <c r="B195" s="12" t="n"/>
      <c r="C195" s="12" t="n"/>
      <c r="D195" s="20" t="n"/>
      <c r="E195" s="20" t="n"/>
      <c r="F195" s="14">
        <f>IF($A195="","",N(D195)-N(E195))</f>
        <v/>
      </c>
    </row>
    <row r="196">
      <c r="A196" s="19" t="n"/>
      <c r="B196" s="12" t="n"/>
      <c r="C196" s="12" t="n"/>
      <c r="D196" s="20" t="n"/>
      <c r="E196" s="20" t="n"/>
      <c r="F196" s="14">
        <f>IF($A196="","",N(D196)-N(E196))</f>
        <v/>
      </c>
    </row>
    <row r="197">
      <c r="A197" s="19" t="n"/>
      <c r="B197" s="12" t="n"/>
      <c r="C197" s="12" t="n"/>
      <c r="D197" s="20" t="n"/>
      <c r="E197" s="20" t="n"/>
      <c r="F197" s="14">
        <f>IF($A197="","",N(D197)-N(E197))</f>
        <v/>
      </c>
    </row>
    <row r="198">
      <c r="A198" s="19" t="n"/>
      <c r="B198" s="12" t="n"/>
      <c r="C198" s="12" t="n"/>
      <c r="D198" s="20" t="n"/>
      <c r="E198" s="20" t="n"/>
      <c r="F198" s="14">
        <f>IF($A198="","",N(D198)-N(E198))</f>
        <v/>
      </c>
    </row>
    <row r="199">
      <c r="A199" s="19" t="n"/>
      <c r="B199" s="12" t="n"/>
      <c r="C199" s="12" t="n"/>
      <c r="D199" s="20" t="n"/>
      <c r="E199" s="20" t="n"/>
      <c r="F199" s="14">
        <f>IF($A199="","",N(D199)-N(E199))</f>
        <v/>
      </c>
    </row>
    <row r="200">
      <c r="A200" s="19" t="n"/>
      <c r="B200" s="12" t="n"/>
      <c r="C200" s="12" t="n"/>
      <c r="D200" s="20" t="n"/>
      <c r="E200" s="20" t="n"/>
      <c r="F200" s="14">
        <f>IF($A200="","",N(D200)-N(E200))</f>
        <v/>
      </c>
    </row>
    <row r="201">
      <c r="A201" s="19" t="n"/>
      <c r="B201" s="12" t="n"/>
      <c r="C201" s="12" t="n"/>
      <c r="D201" s="20" t="n"/>
      <c r="E201" s="20" t="n"/>
      <c r="F201" s="14">
        <f>IF($A201="","",N(D201)-N(E201))</f>
        <v/>
      </c>
    </row>
    <row r="202">
      <c r="A202" s="19" t="n"/>
      <c r="B202" s="12" t="n"/>
      <c r="C202" s="12" t="n"/>
      <c r="D202" s="20" t="n"/>
      <c r="E202" s="20" t="n"/>
      <c r="F202" s="14">
        <f>IF($A202="","",N(D202)-N(E202))</f>
        <v/>
      </c>
    </row>
    <row r="203">
      <c r="A203" s="19" t="n"/>
      <c r="B203" s="12" t="n"/>
      <c r="C203" s="12" t="n"/>
      <c r="D203" s="20" t="n"/>
      <c r="E203" s="20" t="n"/>
      <c r="F203" s="14">
        <f>IF($A203="","",N(D203)-N(E203))</f>
        <v/>
      </c>
    </row>
    <row r="204">
      <c r="A204" s="19" t="n"/>
      <c r="B204" s="12" t="n"/>
      <c r="C204" s="12" t="n"/>
      <c r="D204" s="20" t="n"/>
      <c r="E204" s="20" t="n"/>
      <c r="F204" s="14">
        <f>IF($A204="","",N(D204)-N(E204))</f>
        <v/>
      </c>
    </row>
    <row r="206">
      <c r="A206" s="16" t="inlineStr">
        <is>
          <t>TOTAL</t>
        </is>
      </c>
      <c r="D206" s="17">
        <f>SUM(D5:D205)</f>
        <v/>
      </c>
      <c r="E206" s="17">
        <f>SUM(E5:E205)</f>
        <v/>
      </c>
      <c r="F206" s="17">
        <f>SUM(F5:F205)</f>
        <v/>
      </c>
    </row>
  </sheetData>
  <pageMargins left="0.75" right="0.75" top="1" bottom="1" header="0.5" footer="0.5"/>
</worksheet>
</file>

<file path=xl/worksheets/sheet5.xml><?xml version="1.0" encoding="utf-8"?>
<worksheet xmlns="http://schemas.openxmlformats.org/spreadsheetml/2006/main">
  <sheetPr>
    <tabColor rgb="0000B4A6"/>
    <outlinePr summaryBelow="1" summaryRight="1"/>
    <pageSetUpPr/>
  </sheetPr>
  <dimension ref="A1:F35"/>
  <sheetViews>
    <sheetView showGridLines="0" workbookViewId="0">
      <selection activeCell="A1" sqref="A1"/>
    </sheetView>
  </sheetViews>
  <sheetFormatPr baseColWidth="8" defaultRowHeight="15"/>
  <cols>
    <col width="30" customWidth="1" min="1" max="1"/>
    <col width="18" customWidth="1" min="2" max="2"/>
    <col width="13" customWidth="1" min="3" max="3"/>
    <col width="12" customWidth="1" min="4" max="4"/>
    <col width="12" customWidth="1" min="5" max="5"/>
  </cols>
  <sheetData>
    <row r="1" ht="30" customHeight="1">
      <c r="A1" s="1" t="inlineStr">
        <is>
          <t>Dashboard</t>
        </is>
      </c>
      <c r="B1" s="2" t="n"/>
      <c r="C1" s="2" t="n"/>
      <c r="D1" s="2" t="n"/>
      <c r="E1" s="2" t="n"/>
      <c r="F1" s="2" t="n"/>
    </row>
    <row r="2" ht="18" customHeight="1">
      <c r="A2" s="3" t="inlineStr">
        <is>
          <t>Where you stand, what it cost, and how it is split.</t>
        </is>
      </c>
      <c r="B2" s="2" t="n"/>
      <c r="C2" s="2" t="n"/>
      <c r="D2" s="2" t="n"/>
      <c r="E2" s="2" t="n"/>
      <c r="F2" s="2" t="n"/>
    </row>
    <row r="4" ht="20" customHeight="1">
      <c r="A4" s="21" t="inlineStr">
        <is>
          <t>PORTFOLIO AT A GLANCE</t>
        </is>
      </c>
      <c r="B4" s="22" t="n"/>
      <c r="C4" s="22" t="n"/>
      <c r="D4" s="22" t="n"/>
      <c r="E4" s="22" t="n"/>
      <c r="F4" s="22" t="n"/>
    </row>
    <row r="6">
      <c r="A6" s="16" t="inlineStr">
        <is>
          <t>Market value</t>
        </is>
      </c>
      <c r="B6" s="17">
        <f>Holdings!J65</f>
        <v/>
      </c>
    </row>
    <row r="7">
      <c r="A7" s="16" t="inlineStr">
        <is>
          <t>Book value (what you paid)</t>
        </is>
      </c>
      <c r="B7" s="17">
        <f>Holdings!H65</f>
        <v/>
      </c>
    </row>
    <row r="8">
      <c r="A8" s="16" t="inlineStr">
        <is>
          <t>Unrealised gain / loss</t>
        </is>
      </c>
      <c r="B8" s="17">
        <f>Holdings!K65</f>
        <v/>
      </c>
    </row>
    <row r="9">
      <c r="A9" s="16" t="inlineStr">
        <is>
          <t>Return on book</t>
        </is>
      </c>
      <c r="B9" s="18">
        <f>IF(B7=0,"—",B8/B7)</f>
        <v/>
      </c>
    </row>
    <row r="10">
      <c r="A10" s="16" t="inlineStr">
        <is>
          <t>Dividends received (net)</t>
        </is>
      </c>
      <c r="B10" s="17">
        <f>'Dividend Log'!F206</f>
        <v/>
      </c>
    </row>
    <row r="11">
      <c r="A11" s="16" t="inlineStr">
        <is>
          <t>Net contributions</t>
        </is>
      </c>
      <c r="B11" s="17">
        <f>SUMIF(Contributions!$C$5:$C$304,"Contribution",Contributions!$D$5:$D$304)-SUMIF(Contributions!$C$5:$C$304,"Withdrawal",Contributions!$D$5:$D$304)</f>
        <v/>
      </c>
    </row>
    <row r="12">
      <c r="A12" s="16" t="inlineStr">
        <is>
          <t>Total gain incl. dividends</t>
        </is>
      </c>
      <c r="B12" s="17">
        <f>B8+B10</f>
        <v/>
      </c>
    </row>
    <row r="13">
      <c r="A13" s="16" t="inlineStr">
        <is>
          <t>Number of positions</t>
        </is>
      </c>
      <c r="B13" s="23">
        <f>COUNTA(Holdings!A5:A64)</f>
        <v/>
      </c>
    </row>
    <row r="15" ht="20" customHeight="1">
      <c r="A15" s="21" t="inlineStr">
        <is>
          <t>ASSET ALLOCATION</t>
        </is>
      </c>
      <c r="B15" s="22" t="n"/>
      <c r="C15" s="22" t="n"/>
      <c r="D15" s="22" t="n"/>
      <c r="E15" s="22" t="n"/>
      <c r="F15" s="22" t="n"/>
    </row>
    <row r="16" ht="28" customHeight="1">
      <c r="A16" s="11" t="inlineStr">
        <is>
          <t>Asset class</t>
        </is>
      </c>
      <c r="B16" s="11" t="inlineStr">
        <is>
          <t>Market value</t>
        </is>
      </c>
      <c r="C16" s="11" t="inlineStr">
        <is>
          <t>% of total</t>
        </is>
      </c>
      <c r="D16" s="11" t="inlineStr">
        <is>
          <t>Target %</t>
        </is>
      </c>
      <c r="E16" s="11" t="inlineStr">
        <is>
          <t>Drift</t>
        </is>
      </c>
    </row>
    <row r="17">
      <c r="A17" s="24" t="inlineStr">
        <is>
          <t>Equity — Canada</t>
        </is>
      </c>
      <c r="B17" s="14">
        <f>SUMIF(Holdings!$D$5:$D$64,$A17,Holdings!$J$5:$J$64)</f>
        <v/>
      </c>
      <c r="C17" s="15">
        <f>IF($B$6=0,0,B17/$B$6)</f>
        <v/>
      </c>
      <c r="D17" s="25" t="n">
        <v>0.2</v>
      </c>
      <c r="E17" s="15">
        <f>C17-D17</f>
        <v/>
      </c>
    </row>
    <row r="18">
      <c r="A18" s="24" t="inlineStr">
        <is>
          <t>Equity — US</t>
        </is>
      </c>
      <c r="B18" s="14">
        <f>SUMIF(Holdings!$D$5:$D$64,$A18,Holdings!$J$5:$J$64)</f>
        <v/>
      </c>
      <c r="C18" s="15">
        <f>IF($B$6=0,0,B18/$B$6)</f>
        <v/>
      </c>
      <c r="D18" s="25" t="n">
        <v>0.3</v>
      </c>
      <c r="E18" s="15">
        <f>C18-D18</f>
        <v/>
      </c>
    </row>
    <row r="19">
      <c r="A19" s="24" t="inlineStr">
        <is>
          <t>Equity — Global</t>
        </is>
      </c>
      <c r="B19" s="14">
        <f>SUMIF(Holdings!$D$5:$D$64,$A19,Holdings!$J$5:$J$64)</f>
        <v/>
      </c>
      <c r="C19" s="15">
        <f>IF($B$6=0,0,B19/$B$6)</f>
        <v/>
      </c>
      <c r="D19" s="25" t="n">
        <v>0.2</v>
      </c>
      <c r="E19" s="15">
        <f>C19-D19</f>
        <v/>
      </c>
    </row>
    <row r="20">
      <c r="A20" s="24" t="inlineStr">
        <is>
          <t>Fixed income</t>
        </is>
      </c>
      <c r="B20" s="14">
        <f>SUMIF(Holdings!$D$5:$D$64,$A20,Holdings!$J$5:$J$64)</f>
        <v/>
      </c>
      <c r="C20" s="15">
        <f>IF($B$6=0,0,B20/$B$6)</f>
        <v/>
      </c>
      <c r="D20" s="25" t="n">
        <v>0.2</v>
      </c>
      <c r="E20" s="15">
        <f>C20-D20</f>
        <v/>
      </c>
    </row>
    <row r="21">
      <c r="A21" s="24" t="inlineStr">
        <is>
          <t>Cash &amp; equivalents</t>
        </is>
      </c>
      <c r="B21" s="14">
        <f>SUMIF(Holdings!$D$5:$D$64,$A21,Holdings!$J$5:$J$64)</f>
        <v/>
      </c>
      <c r="C21" s="15">
        <f>IF($B$6=0,0,B21/$B$6)</f>
        <v/>
      </c>
      <c r="D21" s="25" t="n">
        <v>0.05</v>
      </c>
      <c r="E21" s="15">
        <f>C21-D21</f>
        <v/>
      </c>
    </row>
    <row r="22">
      <c r="A22" s="24" t="inlineStr">
        <is>
          <t>Real assets</t>
        </is>
      </c>
      <c r="B22" s="14">
        <f>SUMIF(Holdings!$D$5:$D$64,$A22,Holdings!$J$5:$J$64)</f>
        <v/>
      </c>
      <c r="C22" s="15">
        <f>IF($B$6=0,0,B22/$B$6)</f>
        <v/>
      </c>
      <c r="D22" s="25" t="n">
        <v>0.03</v>
      </c>
      <c r="E22" s="15">
        <f>C22-D22</f>
        <v/>
      </c>
    </row>
    <row r="23">
      <c r="A23" s="24" t="inlineStr">
        <is>
          <t>Crypto</t>
        </is>
      </c>
      <c r="B23" s="14">
        <f>SUMIF(Holdings!$D$5:$D$64,$A23,Holdings!$J$5:$J$64)</f>
        <v/>
      </c>
      <c r="C23" s="15">
        <f>IF($B$6=0,0,B23/$B$6)</f>
        <v/>
      </c>
      <c r="D23" s="25" t="n">
        <v>0.02</v>
      </c>
      <c r="E23" s="15">
        <f>C23-D23</f>
        <v/>
      </c>
    </row>
    <row r="24">
      <c r="A24" s="24" t="inlineStr">
        <is>
          <t>Other</t>
        </is>
      </c>
      <c r="B24" s="14">
        <f>SUMIF(Holdings!$D$5:$D$64,$A24,Holdings!$J$5:$J$64)</f>
        <v/>
      </c>
      <c r="C24" s="15">
        <f>IF($B$6=0,0,B24/$B$6)</f>
        <v/>
      </c>
      <c r="D24" s="25" t="n">
        <v>0</v>
      </c>
      <c r="E24" s="15">
        <f>C24-D24</f>
        <v/>
      </c>
    </row>
    <row r="25">
      <c r="A25" s="16" t="inlineStr">
        <is>
          <t>TOTAL</t>
        </is>
      </c>
      <c r="B25" s="17">
        <f>SUM(B17:B24)</f>
        <v/>
      </c>
      <c r="C25" s="18">
        <f>SUM(C17:C24)</f>
        <v/>
      </c>
      <c r="D25" s="18">
        <f>SUM(D17:D24)</f>
        <v/>
      </c>
    </row>
    <row r="27" ht="20" customHeight="1">
      <c r="A27" s="21" t="inlineStr">
        <is>
          <t>BY ACCOUNT</t>
        </is>
      </c>
      <c r="B27" s="22" t="n"/>
      <c r="C27" s="22" t="n"/>
      <c r="D27" s="22" t="n"/>
      <c r="E27" s="22" t="n"/>
      <c r="F27" s="22" t="n"/>
    </row>
    <row r="28" ht="28" customHeight="1">
      <c r="A28" s="11" t="inlineStr">
        <is>
          <t>Account</t>
        </is>
      </c>
      <c r="B28" s="11" t="inlineStr">
        <is>
          <t>Market value</t>
        </is>
      </c>
      <c r="C28" s="11" t="inlineStr">
        <is>
          <t>% of total</t>
        </is>
      </c>
    </row>
    <row r="29">
      <c r="A29" s="24" t="inlineStr">
        <is>
          <t>TFSA</t>
        </is>
      </c>
      <c r="B29" s="14">
        <f>SUMIF(Holdings!$C$5:$C$64,$A29,Holdings!$J$5:$J$64)</f>
        <v/>
      </c>
      <c r="C29" s="15">
        <f>IF($B$6=0,0,B29/$B$6)</f>
        <v/>
      </c>
    </row>
    <row r="30">
      <c r="A30" s="24" t="inlineStr">
        <is>
          <t>RRSP</t>
        </is>
      </c>
      <c r="B30" s="14">
        <f>SUMIF(Holdings!$C$5:$C$64,$A30,Holdings!$J$5:$J$64)</f>
        <v/>
      </c>
      <c r="C30" s="15">
        <f>IF($B$6=0,0,B30/$B$6)</f>
        <v/>
      </c>
    </row>
    <row r="31">
      <c r="A31" s="24" t="inlineStr">
        <is>
          <t>FHSA</t>
        </is>
      </c>
      <c r="B31" s="14">
        <f>SUMIF(Holdings!$C$5:$C$64,$A31,Holdings!$J$5:$J$64)</f>
        <v/>
      </c>
      <c r="C31" s="15">
        <f>IF($B$6=0,0,B31/$B$6)</f>
        <v/>
      </c>
    </row>
    <row r="32">
      <c r="A32" s="24" t="inlineStr">
        <is>
          <t>RESP</t>
        </is>
      </c>
      <c r="B32" s="14">
        <f>SUMIF(Holdings!$C$5:$C$64,$A32,Holdings!$J$5:$J$64)</f>
        <v/>
      </c>
      <c r="C32" s="15">
        <f>IF($B$6=0,0,B32/$B$6)</f>
        <v/>
      </c>
    </row>
    <row r="33">
      <c r="A33" s="24" t="inlineStr">
        <is>
          <t>Non-registered</t>
        </is>
      </c>
      <c r="B33" s="14">
        <f>SUMIF(Holdings!$C$5:$C$64,$A33,Holdings!$J$5:$J$64)</f>
        <v/>
      </c>
      <c r="C33" s="15">
        <f>IF($B$6=0,0,B33/$B$6)</f>
        <v/>
      </c>
    </row>
    <row r="34">
      <c r="A34" s="24" t="inlineStr">
        <is>
          <t>LIRA</t>
        </is>
      </c>
      <c r="B34" s="14">
        <f>SUMIF(Holdings!$C$5:$C$64,$A34,Holdings!$J$5:$J$64)</f>
        <v/>
      </c>
      <c r="C34" s="15">
        <f>IF($B$6=0,0,B34/$B$6)</f>
        <v/>
      </c>
    </row>
    <row r="35">
      <c r="A35" s="24" t="inlineStr">
        <is>
          <t>Other</t>
        </is>
      </c>
      <c r="B35" s="14">
        <f>SUMIF(Holdings!$C$5:$C$64,$A35,Holdings!$J$5:$J$64)</f>
        <v/>
      </c>
      <c r="C35" s="15">
        <f>IF($B$6=0,0,B35/$B$6)</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2026-09-05T08:21:32Z</dcterms:created>
  <dcterms:modified xsi:type="dcterms:W3CDTF">2026-09-05T08:21:32Z</dcterms:modified>
</cp:coreProperties>
</file>