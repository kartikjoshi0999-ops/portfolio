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Your Debts" sheetId="2" state="visible" r:id="rId2"/>
    <sheet name="Payoff Plan" sheetId="3" state="visible" r:id="rId3"/>
    <sheet name="Summary" sheetId="4" state="visible" r:id="rId4"/>
  </sheets>
  <definedNames/>
  <calcPr calcId="124519" fullCalcOnLoad="1"/>
</workbook>
</file>

<file path=xl/styles.xml><?xml version="1.0" encoding="utf-8"?>
<styleSheet xmlns="http://schemas.openxmlformats.org/spreadsheetml/2006/main">
  <numFmts count="4">
    <numFmt numFmtId="164" formatCode="$#,##0.00"/>
    <numFmt numFmtId="165" formatCode="yyyy-mm"/>
    <numFmt numFmtId="166" formatCode="mmm yyyy"/>
    <numFmt numFmtId="167" formatCode="0.0"/>
  </numFmts>
  <fonts count="13">
    <font>
      <name val="Calibri"/>
      <family val="2"/>
      <color theme="1"/>
      <sz val="11"/>
      <scheme val="minor"/>
    </font>
    <font>
      <name val="Calibri"/>
      <b val="1"/>
      <color rgb="00FFFFFF"/>
      <sz val="18"/>
    </font>
    <font>
      <name val="Calibri"/>
      <color rgb="00C9A84C"/>
      <sz val="10"/>
    </font>
    <font>
      <b val="1"/>
      <color rgb="00FFFFFF"/>
      <sz val="10"/>
    </font>
    <font>
      <b val="1"/>
      <color rgb="001A1A1A"/>
    </font>
    <font/>
    <font>
      <b val="1"/>
    </font>
    <font>
      <b val="1"/>
      <color rgb="00FFFFFF"/>
      <sz val="11"/>
    </font>
    <font>
      <i val="1"/>
      <color rgb="008A97AB"/>
      <sz val="9"/>
    </font>
    <font>
      <b val="1"/>
      <color rgb="000D1F3C"/>
    </font>
    <font>
      <b val="1"/>
      <color rgb="000D1F3C"/>
      <sz val="12"/>
    </font>
    <font>
      <color rgb="008A97AB"/>
      <sz val="9"/>
    </font>
    <font>
      <b val="1"/>
      <color rgb="000D1F3C"/>
      <sz val="10"/>
    </font>
  </fonts>
  <fills count="7">
    <fill>
      <patternFill/>
    </fill>
    <fill>
      <patternFill patternType="gray125"/>
    </fill>
    <fill>
      <patternFill patternType="solid">
        <fgColor rgb="000A1628"/>
      </patternFill>
    </fill>
    <fill>
      <patternFill patternType="solid">
        <fgColor rgb="0000B4A6"/>
      </patternFill>
    </fill>
    <fill>
      <patternFill patternType="solid">
        <fgColor rgb="00FFF7DC"/>
      </patternFill>
    </fill>
    <fill>
      <patternFill patternType="solid">
        <fgColor rgb="00EDF1F6"/>
      </patternFill>
    </fill>
    <fill>
      <patternFill patternType="solid">
        <fgColor rgb="000D1F3C"/>
      </patternFill>
    </fill>
  </fills>
  <borders count="2">
    <border>
      <left/>
      <right/>
      <top/>
      <bottom/>
      <diagonal/>
    </border>
    <border>
      <left style="thin">
        <color rgb="00C7D0DB"/>
      </left>
      <right style="thin">
        <color rgb="00C7D0DB"/>
      </right>
      <top style="thin">
        <color rgb="00C7D0DB"/>
      </top>
      <bottom style="thin">
        <color rgb="00C7D0DB"/>
      </bottom>
    </border>
  </borders>
  <cellStyleXfs count="1">
    <xf numFmtId="0" fontId="0" fillId="0" borderId="0"/>
  </cellStyleXfs>
  <cellXfs count="34">
    <xf numFmtId="0" fontId="0" fillId="0" borderId="0" pivotButton="0" quotePrefix="0" xfId="0"/>
    <xf numFmtId="0" fontId="1" fillId="2" borderId="0" pivotButton="0" quotePrefix="0" xfId="0"/>
    <xf numFmtId="0" fontId="0" fillId="2" borderId="0" pivotButton="0" quotePrefix="0" xfId="0"/>
    <xf numFmtId="0" fontId="2" fillId="2" borderId="0" pivotButton="0" quotePrefix="0" xfId="0"/>
    <xf numFmtId="0" fontId="10" fillId="0" borderId="0" pivotButton="0" quotePrefix="0" xfId="0"/>
    <xf numFmtId="0" fontId="0" fillId="0" borderId="0" applyAlignment="1" pivotButton="0" quotePrefix="0" xfId="0">
      <alignment wrapText="1"/>
    </xf>
    <xf numFmtId="0" fontId="0" fillId="4" borderId="0" pivotButton="0" quotePrefix="0" xfId="0"/>
    <xf numFmtId="0" fontId="0" fillId="5" borderId="0" pivotButton="0" quotePrefix="0" xfId="0"/>
    <xf numFmtId="0" fontId="11" fillId="0" borderId="0" applyAlignment="1" pivotButton="0" quotePrefix="0" xfId="0">
      <alignment vertical="top" wrapText="1"/>
    </xf>
    <xf numFmtId="0" fontId="12" fillId="0" borderId="0" pivotButton="0" quotePrefix="0" xfId="0"/>
    <xf numFmtId="0" fontId="11" fillId="0" borderId="0" pivotButton="0" quotePrefix="0" xfId="0"/>
    <xf numFmtId="0" fontId="3" fillId="3" borderId="1" applyAlignment="1" pivotButton="0" quotePrefix="0" xfId="0">
      <alignment horizontal="center" vertical="center" wrapText="1"/>
    </xf>
    <xf numFmtId="0" fontId="4" fillId="4" borderId="1" pivotButton="0" quotePrefix="0" xfId="0"/>
    <xf numFmtId="164" fontId="4" fillId="4" borderId="1" pivotButton="0" quotePrefix="0" xfId="0"/>
    <xf numFmtId="10" fontId="4" fillId="4" borderId="1" pivotButton="0" quotePrefix="0" xfId="0"/>
    <xf numFmtId="3" fontId="5" fillId="5" borderId="1" pivotButton="0" quotePrefix="0" xfId="0"/>
    <xf numFmtId="1" fontId="5" fillId="5" borderId="1" pivotButton="0" quotePrefix="0" xfId="0"/>
    <xf numFmtId="0" fontId="6" fillId="0" borderId="0" pivotButton="0" quotePrefix="0" xfId="0"/>
    <xf numFmtId="164" fontId="6" fillId="5" borderId="1" pivotButton="0" quotePrefix="0" xfId="0"/>
    <xf numFmtId="0" fontId="7" fillId="6" borderId="0" pivotButton="0" quotePrefix="0" xfId="0"/>
    <xf numFmtId="0" fontId="0" fillId="6" borderId="0" pivotButton="0" quotePrefix="0" xfId="0"/>
    <xf numFmtId="0" fontId="8" fillId="0" borderId="0" pivotButton="0" quotePrefix="0" xfId="0"/>
    <xf numFmtId="165" fontId="4" fillId="4" borderId="1" pivotButton="0" quotePrefix="0" xfId="0"/>
    <xf numFmtId="0" fontId="5" fillId="5" borderId="1" pivotButton="0" quotePrefix="0" xfId="0"/>
    <xf numFmtId="0" fontId="9" fillId="0" borderId="0" pivotButton="0" quotePrefix="0" xfId="0"/>
    <xf numFmtId="0" fontId="0" fillId="0" borderId="1" pivotButton="0" quotePrefix="0" xfId="0"/>
    <xf numFmtId="166" fontId="5" fillId="5" borderId="1" pivotButton="0" quotePrefix="0" xfId="0"/>
    <xf numFmtId="164" fontId="5" fillId="5" borderId="1" pivotButton="0" quotePrefix="0" xfId="0"/>
    <xf numFmtId="4" fontId="5" fillId="5" borderId="1" pivotButton="0" quotePrefix="0" xfId="0"/>
    <xf numFmtId="49" fontId="6" fillId="5" borderId="1" pivotButton="0" quotePrefix="0" xfId="0"/>
    <xf numFmtId="1" fontId="6" fillId="5" borderId="1" pivotButton="0" quotePrefix="0" xfId="0"/>
    <xf numFmtId="167" fontId="6" fillId="5" borderId="1" pivotButton="0" quotePrefix="0" xfId="0"/>
    <xf numFmtId="166" fontId="6" fillId="5" borderId="1"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Total balance over time</a:t>
            </a:r>
          </a:p>
        </rich>
      </tx>
    </title>
    <plotArea>
      <lineChart>
        <grouping val="standard"/>
        <ser>
          <idx val="0"/>
          <order val="0"/>
          <tx>
            <strRef>
              <f>'Payoff Plan'!AL5</f>
            </strRef>
          </tx>
          <spPr>
            <a:ln>
              <a:prstDash val="solid"/>
            </a:ln>
          </spPr>
          <marker>
            <symbol val="none"/>
            <spPr>
              <a:ln>
                <a:prstDash val="solid"/>
              </a:ln>
            </spPr>
          </marker>
          <val>
            <numRef>
              <f>'Payoff Plan'!$AL$6:$AL$125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5</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9A84C"/>
    <outlinePr summaryBelow="1" summaryRight="1"/>
    <pageSetUpPr/>
  </sheetPr>
  <dimension ref="A1:C25"/>
  <sheetViews>
    <sheetView showGridLines="0" workbookViewId="0">
      <selection activeCell="A1" sqref="A1"/>
    </sheetView>
  </sheetViews>
  <sheetFormatPr baseColWidth="8" defaultRowHeight="15"/>
  <cols>
    <col width="4" customWidth="1" min="1" max="1"/>
    <col width="100" customWidth="1" min="2" max="2"/>
  </cols>
  <sheetData>
    <row r="1" ht="30" customHeight="1">
      <c r="A1" s="1" t="inlineStr">
        <is>
          <t>Debt Payoff Planner — Snowball &amp; Avalanche</t>
        </is>
      </c>
      <c r="B1" s="2" t="n"/>
      <c r="C1" s="2" t="n"/>
    </row>
    <row r="2" ht="18" customHeight="1">
      <c r="A2" s="3" t="inlineStr">
        <is>
          <t>Put your debts in, pick a method, get a real payoff date.</t>
        </is>
      </c>
      <c r="B2" s="2" t="n"/>
      <c r="C2" s="2" t="n"/>
    </row>
    <row r="4">
      <c r="B4" s="4" t="inlineStr">
        <is>
          <t>WHAT'S INSIDE</t>
        </is>
      </c>
    </row>
    <row r="5">
      <c r="B5" s="5" t="inlineStr">
        <is>
          <t>•  Start Here — this page.</t>
        </is>
      </c>
    </row>
    <row r="6">
      <c r="B6" s="5" t="inlineStr">
        <is>
          <t>•  Your Debts — up to 8 debts, with automatic payoff ordering.</t>
        </is>
      </c>
    </row>
    <row r="7">
      <c r="B7" s="5" t="inlineStr">
        <is>
          <t>•  Payoff Plan — 180-month schedule with rollover payments built in.</t>
        </is>
      </c>
    </row>
    <row r="8">
      <c r="B8" s="5" t="inlineStr">
        <is>
          <t>•  Summary — debt-free date, total interest, total repaid, and a balance chart.</t>
        </is>
      </c>
    </row>
    <row r="10">
      <c r="B10" s="4" t="inlineStr">
        <is>
          <t>HOW TO USE IT</t>
        </is>
      </c>
    </row>
    <row r="11">
      <c r="B11" s="5" t="inlineStr">
        <is>
          <t>1.  List your debts on the Your Debts tab — name, balance, rate and minimum payment.</t>
        </is>
      </c>
    </row>
    <row r="12">
      <c r="B12" s="5" t="inlineStr">
        <is>
          <t>2.  Pick Snowball (smallest balance first) or Avalanche (highest rate first) from the drop-down.</t>
        </is>
      </c>
    </row>
    <row r="13">
      <c r="B13" s="5" t="inlineStr">
        <is>
          <t>3.  Enter any extra amount you can pay each month on top of the minimums.</t>
        </is>
      </c>
    </row>
    <row r="14">
      <c r="B14" s="5" t="inlineStr">
        <is>
          <t>4.  Read the Summary tab: your debt-free date and total interest.</t>
        </is>
      </c>
    </row>
    <row r="15">
      <c r="B15" s="5" t="inlineStr">
        <is>
          <t>5.  Open Payoff Plan for the month-by-month schedule you can actually follow.</t>
        </is>
      </c>
    </row>
    <row r="17">
      <c r="B17" s="4" t="inlineStr">
        <is>
          <t>COLOUR KEY</t>
        </is>
      </c>
    </row>
    <row r="18">
      <c r="B18" s="6" t="inlineStr">
        <is>
          <t>Yellow cells = you type here.</t>
        </is>
      </c>
    </row>
    <row r="19">
      <c r="B19" s="7" t="inlineStr">
        <is>
          <t>Grey cells = formulas. Do not overwrite them.</t>
        </is>
      </c>
    </row>
    <row r="21" ht="46" customHeight="1">
      <c r="B21" s="8" t="inlineStr">
        <is>
          <t>LICENSE: Single-user personal/business licence. You may use and edit this file for yourself or your own business. You may NOT resell, redistribute, share, or publish this file or any edited version of it. All rights reserved.</t>
        </is>
      </c>
    </row>
    <row r="22" ht="46" customHeight="1">
      <c r="B22" s="8" t="inlineStr">
        <is>
          <t>DISCLAIMER: This template is an educational planning tool only. It is not financial, tax, investment, or legal advice. Figures such as contribution limits and tax rates change — always confirm current numbers with the CRA or a licensed advisor before acting on any output.</t>
        </is>
      </c>
    </row>
    <row r="24">
      <c r="B24" s="9" t="inlineStr">
        <is>
          <t>Created by Kartik Joshi, MBA — Financial Analyst &amp; Banking Professional</t>
        </is>
      </c>
    </row>
    <row r="25">
      <c r="B25" s="10" t="inlineStr">
        <is>
          <t>Questions or a problem with the file? Message me through Etsy and I will help.</t>
        </is>
      </c>
    </row>
  </sheetData>
  <pageMargins left="0.75" right="0.75" top="1" bottom="1" header="0.5" footer="0.5"/>
</worksheet>
</file>

<file path=xl/worksheets/sheet2.xml><?xml version="1.0" encoding="utf-8"?>
<worksheet xmlns="http://schemas.openxmlformats.org/spreadsheetml/2006/main">
  <sheetPr>
    <tabColor rgb="0000B4A6"/>
    <outlinePr summaryBelow="1" summaryRight="1"/>
    <pageSetUpPr/>
  </sheetPr>
  <dimension ref="A1:G24"/>
  <sheetViews>
    <sheetView showGridLines="0" workbookViewId="0">
      <selection activeCell="A1" sqref="A1"/>
    </sheetView>
  </sheetViews>
  <sheetFormatPr baseColWidth="8" defaultRowHeight="15"/>
  <cols>
    <col width="26" customWidth="1" min="1" max="1"/>
    <col width="16" customWidth="1" min="2" max="2"/>
    <col width="18" customWidth="1" min="3" max="3"/>
    <col width="18" customWidth="1" min="4" max="4"/>
    <col width="12" customWidth="1" min="5" max="5"/>
    <col width="13" customWidth="1" min="6" max="6"/>
    <col width="10" customWidth="1" min="7" max="7"/>
  </cols>
  <sheetData>
    <row r="1" ht="30" customHeight="1">
      <c r="A1" s="1" t="inlineStr">
        <is>
          <t>Your Debts</t>
        </is>
      </c>
      <c r="B1" s="2" t="n"/>
      <c r="C1" s="2" t="n"/>
      <c r="D1" s="2" t="n"/>
      <c r="E1" s="2" t="n"/>
      <c r="F1" s="2" t="n"/>
      <c r="G1" s="2" t="n"/>
    </row>
    <row r="2" ht="18" customHeight="1">
      <c r="A2" s="3" t="inlineStr">
        <is>
          <t>List up to 8 debts. Order does not matter — the plan sorts them for you.</t>
        </is>
      </c>
      <c r="B2" s="2" t="n"/>
      <c r="C2" s="2" t="n"/>
      <c r="D2" s="2" t="n"/>
      <c r="E2" s="2" t="n"/>
      <c r="F2" s="2" t="n"/>
      <c r="G2" s="2" t="n"/>
    </row>
    <row r="4" ht="28" customHeight="1">
      <c r="A4" s="11" t="inlineStr">
        <is>
          <t>Debt name</t>
        </is>
      </c>
      <c r="B4" s="11" t="inlineStr">
        <is>
          <t>Balance owing</t>
        </is>
      </c>
      <c r="C4" s="11" t="inlineStr">
        <is>
          <t>Interest rate (APR)</t>
        </is>
      </c>
      <c r="D4" s="11" t="inlineStr">
        <is>
          <t>Minimum payment</t>
        </is>
      </c>
      <c r="E4" s="11" t="inlineStr">
        <is>
          <t>Sort key</t>
        </is>
      </c>
      <c r="F4" s="11" t="inlineStr">
        <is>
          <t>Payoff order</t>
        </is>
      </c>
      <c r="G4" s="11" t="inlineStr">
        <is>
          <t>Position</t>
        </is>
      </c>
    </row>
    <row r="5">
      <c r="A5" s="12" t="inlineStr">
        <is>
          <t>Visa credit card</t>
        </is>
      </c>
      <c r="B5" s="13" t="n">
        <v>6400</v>
      </c>
      <c r="C5" s="14" t="n">
        <v>0.1999</v>
      </c>
      <c r="D5" s="13" t="n">
        <v>160</v>
      </c>
      <c r="E5" s="15">
        <f>IF(OR($A5="",N($B5)&lt;=0),9999999,IF($B$16="Snowball",$B5,1000000-N($C5)*1000000))</f>
        <v/>
      </c>
      <c r="F5" s="16">
        <f>IF(E5=9999999,"—",RANK.EQ(E5,$E$5:$E$12,1)+COUNTIF($E$5:E5,E5)-1)</f>
        <v/>
      </c>
      <c r="G5" s="16">
        <f>IFERROR(MATCH(1,$F$5:$F$12,0),0)</f>
        <v/>
      </c>
    </row>
    <row r="6">
      <c r="A6" s="12" t="inlineStr">
        <is>
          <t>Store card</t>
        </is>
      </c>
      <c r="B6" s="13" t="n">
        <v>1850</v>
      </c>
      <c r="C6" s="14" t="n">
        <v>0.2799</v>
      </c>
      <c r="D6" s="13" t="n">
        <v>60</v>
      </c>
      <c r="E6" s="15">
        <f>IF(OR($A6="",N($B6)&lt;=0),9999999,IF($B$16="Snowball",$B6,1000000-N($C6)*1000000))</f>
        <v/>
      </c>
      <c r="F6" s="16">
        <f>IF(E6=9999999,"—",RANK.EQ(E6,$E$5:$E$12,1)+COUNTIF($E$5:E6,E6)-1)</f>
        <v/>
      </c>
      <c r="G6" s="16">
        <f>IFERROR(MATCH(2,$F$5:$F$12,0),0)</f>
        <v/>
      </c>
    </row>
    <row r="7">
      <c r="A7" s="12" t="inlineStr">
        <is>
          <t>Car loan</t>
        </is>
      </c>
      <c r="B7" s="13" t="n">
        <v>14200</v>
      </c>
      <c r="C7" s="14" t="n">
        <v>0.0689</v>
      </c>
      <c r="D7" s="13" t="n">
        <v>385</v>
      </c>
      <c r="E7" s="15">
        <f>IF(OR($A7="",N($B7)&lt;=0),9999999,IF($B$16="Snowball",$B7,1000000-N($C7)*1000000))</f>
        <v/>
      </c>
      <c r="F7" s="16">
        <f>IF(E7=9999999,"—",RANK.EQ(E7,$E$5:$E$12,1)+COUNTIF($E$5:E7,E7)-1)</f>
        <v/>
      </c>
      <c r="G7" s="16">
        <f>IFERROR(MATCH(3,$F$5:$F$12,0),0)</f>
        <v/>
      </c>
    </row>
    <row r="8">
      <c r="A8" s="12" t="inlineStr">
        <is>
          <t>Student loan</t>
        </is>
      </c>
      <c r="B8" s="13" t="n">
        <v>9800</v>
      </c>
      <c r="C8" s="14" t="n">
        <v>0.0545</v>
      </c>
      <c r="D8" s="13" t="n">
        <v>210</v>
      </c>
      <c r="E8" s="15">
        <f>IF(OR($A8="",N($B8)&lt;=0),9999999,IF($B$16="Snowball",$B8,1000000-N($C8)*1000000))</f>
        <v/>
      </c>
      <c r="F8" s="16">
        <f>IF(E8=9999999,"—",RANK.EQ(E8,$E$5:$E$12,1)+COUNTIF($E$5:E8,E8)-1)</f>
        <v/>
      </c>
      <c r="G8" s="16">
        <f>IFERROR(MATCH(4,$F$5:$F$12,0),0)</f>
        <v/>
      </c>
    </row>
    <row r="9">
      <c r="A9" s="12" t="inlineStr">
        <is>
          <t>Line of credit</t>
        </is>
      </c>
      <c r="B9" s="13" t="n">
        <v>5200</v>
      </c>
      <c r="C9" s="14" t="n">
        <v>0.1145</v>
      </c>
      <c r="D9" s="13" t="n">
        <v>130</v>
      </c>
      <c r="E9" s="15">
        <f>IF(OR($A9="",N($B9)&lt;=0),9999999,IF($B$16="Snowball",$B9,1000000-N($C9)*1000000))</f>
        <v/>
      </c>
      <c r="F9" s="16">
        <f>IF(E9=9999999,"—",RANK.EQ(E9,$E$5:$E$12,1)+COUNTIF($E$5:E9,E9)-1)</f>
        <v/>
      </c>
      <c r="G9" s="16">
        <f>IFERROR(MATCH(5,$F$5:$F$12,0),0)</f>
        <v/>
      </c>
    </row>
    <row r="10">
      <c r="A10" s="12" t="inlineStr"/>
      <c r="B10" s="13" t="n"/>
      <c r="C10" s="14" t="n"/>
      <c r="D10" s="13" t="n"/>
      <c r="E10" s="15">
        <f>IF(OR($A10="",N($B10)&lt;=0),9999999,IF($B$16="Snowball",$B10,1000000-N($C10)*1000000))</f>
        <v/>
      </c>
      <c r="F10" s="16">
        <f>IF(E10=9999999,"—",RANK.EQ(E10,$E$5:$E$12,1)+COUNTIF($E$5:E10,E10)-1)</f>
        <v/>
      </c>
      <c r="G10" s="16">
        <f>IFERROR(MATCH(6,$F$5:$F$12,0),0)</f>
        <v/>
      </c>
    </row>
    <row r="11">
      <c r="A11" s="12" t="inlineStr"/>
      <c r="B11" s="13" t="n"/>
      <c r="C11" s="14" t="n"/>
      <c r="D11" s="13" t="n"/>
      <c r="E11" s="15">
        <f>IF(OR($A11="",N($B11)&lt;=0),9999999,IF($B$16="Snowball",$B11,1000000-N($C11)*1000000))</f>
        <v/>
      </c>
      <c r="F11" s="16">
        <f>IF(E11=9999999,"—",RANK.EQ(E11,$E$5:$E$12,1)+COUNTIF($E$5:E11,E11)-1)</f>
        <v/>
      </c>
      <c r="G11" s="16">
        <f>IFERROR(MATCH(7,$F$5:$F$12,0),0)</f>
        <v/>
      </c>
    </row>
    <row r="12">
      <c r="A12" s="12" t="inlineStr"/>
      <c r="B12" s="13" t="n"/>
      <c r="C12" s="14" t="n"/>
      <c r="D12" s="13" t="n"/>
      <c r="E12" s="15">
        <f>IF(OR($A12="",N($B12)&lt;=0),9999999,IF($B$16="Snowball",$B12,1000000-N($C12)*1000000))</f>
        <v/>
      </c>
      <c r="F12" s="16">
        <f>IF(E12=9999999,"—",RANK.EQ(E12,$E$5:$E$12,1)+COUNTIF($E$5:E12,E12)-1)</f>
        <v/>
      </c>
      <c r="G12" s="16">
        <f>IFERROR(MATCH(8,$F$5:$F$12,0),0)</f>
        <v/>
      </c>
    </row>
    <row r="13">
      <c r="A13" s="17" t="inlineStr">
        <is>
          <t>Total owing</t>
        </is>
      </c>
      <c r="B13" s="18">
        <f>SUM(B5:B12)</f>
        <v/>
      </c>
      <c r="C13" s="17" t="inlineStr">
        <is>
          <t>Total minimums</t>
        </is>
      </c>
      <c r="D13" s="18">
        <f>SUM(D5:D12)</f>
        <v/>
      </c>
    </row>
    <row r="15" ht="20" customHeight="1">
      <c r="A15" s="19" t="inlineStr">
        <is>
          <t>YOUR PLAN</t>
        </is>
      </c>
      <c r="B15" s="20" t="n"/>
      <c r="C15" s="20" t="n"/>
      <c r="D15" s="20" t="n"/>
      <c r="E15" s="20" t="n"/>
      <c r="F15" s="20" t="n"/>
      <c r="G15" s="20" t="n"/>
    </row>
    <row r="16">
      <c r="A16" s="17" t="inlineStr">
        <is>
          <t>Method</t>
        </is>
      </c>
      <c r="B16" s="12" t="inlineStr">
        <is>
          <t>Snowball</t>
        </is>
      </c>
      <c r="C16" s="21" t="inlineStr">
        <is>
          <t>Snowball = smallest balance first (fastest wins). Avalanche = highest rate first (cheapest).</t>
        </is>
      </c>
    </row>
    <row r="17">
      <c r="A17" s="17" t="inlineStr">
        <is>
          <t>Extra payment per month</t>
        </is>
      </c>
      <c r="B17" s="13" t="n">
        <v>250</v>
      </c>
    </row>
    <row r="18">
      <c r="A18" s="17" t="inlineStr">
        <is>
          <t>Total monthly budget</t>
        </is>
      </c>
      <c r="B18" s="18">
        <f>D13+B17</f>
        <v/>
      </c>
    </row>
    <row r="19">
      <c r="A19" s="17" t="inlineStr">
        <is>
          <t>First payment month</t>
        </is>
      </c>
      <c r="B19" s="22" t="inlineStr">
        <is>
          <t>2026-01-01</t>
        </is>
      </c>
    </row>
    <row r="21">
      <c r="A21" s="21" t="inlineStr">
        <is>
          <t>Type the method exactly as Snowball or Avalanche — the drop-down keeps it clean.</t>
        </is>
      </c>
    </row>
    <row r="22">
      <c r="A22" s="21" t="inlineStr">
        <is>
          <t>Extra payment is anything you can add on top of the minimums. Try changing it and watch the payoff date move.</t>
        </is>
      </c>
    </row>
    <row r="24">
      <c r="A24" s="23">
        <f>IF(B18&gt;=D13,"Budget covers every minimum payment.","⚠ Your budget is below the total minimums — raise it, or some accounts will go unpaid.")</f>
        <v/>
      </c>
    </row>
  </sheetData>
  <dataValidations count="1">
    <dataValidation sqref="B16" showDropDown="0" showInputMessage="0" showErrorMessage="0" allowBlank="0" type="list">
      <formula1>"Snowball,Avalanche"</formula1>
    </dataValidation>
  </dataValidations>
  <pageMargins left="0.75" right="0.75" top="1" bottom="1" header="0.5" footer="0.5"/>
</worksheet>
</file>

<file path=xl/worksheets/sheet3.xml><?xml version="1.0" encoding="utf-8"?>
<worksheet xmlns="http://schemas.openxmlformats.org/spreadsheetml/2006/main">
  <sheetPr>
    <tabColor rgb="0000B4A6"/>
    <outlinePr summaryBelow="1" summaryRight="1"/>
    <pageSetUpPr/>
  </sheetPr>
  <dimension ref="A1:AM187"/>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2" customWidth="1" min="3" max="3"/>
    <col width="14" customWidth="1" min="4" max="4"/>
    <col width="15"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6" customWidth="1" min="38" max="38"/>
    <col width="20" customWidth="1" min="39" max="39"/>
  </cols>
  <sheetData>
    <row r="1" ht="30" customHeight="1">
      <c r="A1" s="1" t="inlineStr">
        <is>
          <t>Payoff Plan</t>
        </is>
      </c>
      <c r="B1" s="2" t="n"/>
      <c r="C1" s="2" t="n"/>
      <c r="D1" s="2" t="n"/>
      <c r="E1" s="2" t="n"/>
      <c r="F1" s="2" t="n"/>
      <c r="G1" s="2" t="n"/>
      <c r="H1" s="2" t="n"/>
      <c r="I1" s="2" t="n"/>
      <c r="J1" s="2" t="n"/>
      <c r="K1" s="2" t="n"/>
      <c r="L1" s="2" t="n"/>
    </row>
    <row r="2" ht="18" customHeight="1">
      <c r="A2" s="3" t="inlineStr">
        <is>
          <t>Every debt gets its minimum first. Everything spare goes to the target debt, and rolls on as each one clears.</t>
        </is>
      </c>
      <c r="B2" s="2" t="n"/>
      <c r="C2" s="2" t="n"/>
      <c r="D2" s="2" t="n"/>
      <c r="E2" s="2" t="n"/>
      <c r="F2" s="2" t="n"/>
      <c r="G2" s="2" t="n"/>
      <c r="H2" s="2" t="n"/>
      <c r="I2" s="2" t="n"/>
      <c r="J2" s="2" t="n"/>
      <c r="K2" s="2" t="n"/>
      <c r="L2" s="2" t="n"/>
    </row>
    <row r="4">
      <c r="A4" s="17" t="inlineStr">
        <is>
          <t>Payoff order →</t>
        </is>
      </c>
      <c r="F4" s="24">
        <f>IF('Your Debts'!$G$5=0,"—",INDEX('Your Debts'!$A$5:$A$12,'Your Debts'!$G$5))</f>
        <v/>
      </c>
      <c r="J4" s="24">
        <f>IF('Your Debts'!$G$6=0,"—",INDEX('Your Debts'!$A$5:$A$12,'Your Debts'!$G$6))</f>
        <v/>
      </c>
      <c r="N4" s="24">
        <f>IF('Your Debts'!$G$7=0,"—",INDEX('Your Debts'!$A$5:$A$12,'Your Debts'!$G$7))</f>
        <v/>
      </c>
      <c r="R4" s="24">
        <f>IF('Your Debts'!$G$8=0,"—",INDEX('Your Debts'!$A$5:$A$12,'Your Debts'!$G$8))</f>
        <v/>
      </c>
      <c r="V4" s="24">
        <f>IF('Your Debts'!$G$9=0,"—",INDEX('Your Debts'!$A$5:$A$12,'Your Debts'!$G$9))</f>
        <v/>
      </c>
      <c r="Z4" s="24">
        <f>IF('Your Debts'!$G$10=0,"—",INDEX('Your Debts'!$A$5:$A$12,'Your Debts'!$G$10))</f>
        <v/>
      </c>
      <c r="AD4" s="24">
        <f>IF('Your Debts'!$G$11=0,"—",INDEX('Your Debts'!$A$5:$A$12,'Your Debts'!$G$11))</f>
        <v/>
      </c>
      <c r="AH4" s="24">
        <f>IF('Your Debts'!$G$12=0,"—",INDEX('Your Debts'!$A$5:$A$12,'Your Debts'!$G$12))</f>
        <v/>
      </c>
    </row>
    <row r="5" ht="28" customHeight="1">
      <c r="A5" s="11" t="inlineStr">
        <is>
          <t>Month</t>
        </is>
      </c>
      <c r="B5" s="11" t="inlineStr">
        <is>
          <t>Date</t>
        </is>
      </c>
      <c r="C5" s="11" t="inlineStr">
        <is>
          <t>Budget</t>
        </is>
      </c>
      <c r="D5" s="11" t="inlineStr">
        <is>
          <t>Minimums due</t>
        </is>
      </c>
      <c r="E5" s="11" t="inlineStr">
        <is>
          <t>Spare for target</t>
        </is>
      </c>
      <c r="F5" s="11" t="inlineStr">
        <is>
          <t>Interest</t>
        </is>
      </c>
      <c r="G5" s="11" t="inlineStr">
        <is>
          <t>Minimum due</t>
        </is>
      </c>
      <c r="H5" s="11" t="inlineStr">
        <is>
          <t>Payment</t>
        </is>
      </c>
      <c r="I5" s="11" t="inlineStr">
        <is>
          <t>Balance</t>
        </is>
      </c>
      <c r="J5" s="11" t="inlineStr">
        <is>
          <t>Interest</t>
        </is>
      </c>
      <c r="K5" s="11" t="inlineStr">
        <is>
          <t>Minimum due</t>
        </is>
      </c>
      <c r="L5" s="11" t="inlineStr">
        <is>
          <t>Payment</t>
        </is>
      </c>
      <c r="M5" s="11" t="inlineStr">
        <is>
          <t>Balance</t>
        </is>
      </c>
      <c r="N5" s="11" t="inlineStr">
        <is>
          <t>Interest</t>
        </is>
      </c>
      <c r="O5" s="11" t="inlineStr">
        <is>
          <t>Minimum due</t>
        </is>
      </c>
      <c r="P5" s="11" t="inlineStr">
        <is>
          <t>Payment</t>
        </is>
      </c>
      <c r="Q5" s="11" t="inlineStr">
        <is>
          <t>Balance</t>
        </is>
      </c>
      <c r="R5" s="11" t="inlineStr">
        <is>
          <t>Interest</t>
        </is>
      </c>
      <c r="S5" s="11" t="inlineStr">
        <is>
          <t>Minimum due</t>
        </is>
      </c>
      <c r="T5" s="11" t="inlineStr">
        <is>
          <t>Payment</t>
        </is>
      </c>
      <c r="U5" s="11" t="inlineStr">
        <is>
          <t>Balance</t>
        </is>
      </c>
      <c r="V5" s="11" t="inlineStr">
        <is>
          <t>Interest</t>
        </is>
      </c>
      <c r="W5" s="11" t="inlineStr">
        <is>
          <t>Minimum due</t>
        </is>
      </c>
      <c r="X5" s="11" t="inlineStr">
        <is>
          <t>Payment</t>
        </is>
      </c>
      <c r="Y5" s="11" t="inlineStr">
        <is>
          <t>Balance</t>
        </is>
      </c>
      <c r="Z5" s="11" t="inlineStr">
        <is>
          <t>Interest</t>
        </is>
      </c>
      <c r="AA5" s="11" t="inlineStr">
        <is>
          <t>Minimum due</t>
        </is>
      </c>
      <c r="AB5" s="11" t="inlineStr">
        <is>
          <t>Payment</t>
        </is>
      </c>
      <c r="AC5" s="11" t="inlineStr">
        <is>
          <t>Balance</t>
        </is>
      </c>
      <c r="AD5" s="11" t="inlineStr">
        <is>
          <t>Interest</t>
        </is>
      </c>
      <c r="AE5" s="11" t="inlineStr">
        <is>
          <t>Minimum due</t>
        </is>
      </c>
      <c r="AF5" s="11" t="inlineStr">
        <is>
          <t>Payment</t>
        </is>
      </c>
      <c r="AG5" s="11" t="inlineStr">
        <is>
          <t>Balance</t>
        </is>
      </c>
      <c r="AH5" s="11" t="inlineStr">
        <is>
          <t>Interest</t>
        </is>
      </c>
      <c r="AI5" s="11" t="inlineStr">
        <is>
          <t>Minimum due</t>
        </is>
      </c>
      <c r="AJ5" s="11" t="inlineStr">
        <is>
          <t>Payment</t>
        </is>
      </c>
      <c r="AK5" s="11" t="inlineStr">
        <is>
          <t>Balance</t>
        </is>
      </c>
      <c r="AL5" s="11" t="inlineStr">
        <is>
          <t>Total balance</t>
        </is>
      </c>
      <c r="AM5" s="11" t="inlineStr">
        <is>
          <t>Interest paid to date</t>
        </is>
      </c>
    </row>
    <row r="6">
      <c r="A6" s="25" t="n">
        <v>1</v>
      </c>
      <c r="B6" s="26">
        <f>EDATE('Your Debts'!$B$19,0)</f>
        <v/>
      </c>
      <c r="C6" s="27">
        <f>'Your Debts'!$B$18</f>
        <v/>
      </c>
      <c r="D6" s="27">
        <f>G6+K6+O6+S6+W6+AA6+AE6+AI6</f>
        <v/>
      </c>
      <c r="E6" s="27">
        <f>MAX(0,C6-D6)</f>
        <v/>
      </c>
      <c r="F6" s="28">
        <f>ROUND((IF('Your Debts'!$G$5=0,0,INDEX('Your Debts'!$B$5:$B$12,'Your Debts'!$G$5)))*(IF('Your Debts'!$G$5=0,0,INDEX('Your Debts'!$C$5:$C$12,'Your Debts'!$G$5)/12)),2)</f>
        <v/>
      </c>
      <c r="G6" s="28">
        <f>MIN((IF('Your Debts'!$G$5=0,0,INDEX('Your Debts'!$B$5:$B$12,'Your Debts'!$G$5)))+F6,IF('Your Debts'!$G$5=0,0,INDEX('Your Debts'!$D$5:$D$12,'Your Debts'!$G$5)))</f>
        <v/>
      </c>
      <c r="H6" s="28">
        <f>G6+MIN((IF('Your Debts'!$G$5=0,0,INDEX('Your Debts'!$B$5:$B$12,'Your Debts'!$G$5)))+F6-G6,MAX(0,$E6-(0)))</f>
        <v/>
      </c>
      <c r="I6" s="28">
        <f>ROUND(MAX(0,(IF('Your Debts'!$G$5=0,0,INDEX('Your Debts'!$B$5:$B$12,'Your Debts'!$G$5)))+F6-H6),2)</f>
        <v/>
      </c>
      <c r="J6" s="28">
        <f>ROUND((IF('Your Debts'!$G$6=0,0,INDEX('Your Debts'!$B$5:$B$12,'Your Debts'!$G$6)))*(IF('Your Debts'!$G$6=0,0,INDEX('Your Debts'!$C$5:$C$12,'Your Debts'!$G$6)/12)),2)</f>
        <v/>
      </c>
      <c r="K6" s="28">
        <f>MIN((IF('Your Debts'!$G$6=0,0,INDEX('Your Debts'!$B$5:$B$12,'Your Debts'!$G$6)))+J6,IF('Your Debts'!$G$6=0,0,INDEX('Your Debts'!$D$5:$D$12,'Your Debts'!$G$6)))</f>
        <v/>
      </c>
      <c r="L6" s="28">
        <f>K6+MIN((IF('Your Debts'!$G$6=0,0,INDEX('Your Debts'!$B$5:$B$12,'Your Debts'!$G$6)))+J6-K6,MAX(0,$E6-((H6-G6))))</f>
        <v/>
      </c>
      <c r="M6" s="28">
        <f>ROUND(MAX(0,(IF('Your Debts'!$G$6=0,0,INDEX('Your Debts'!$B$5:$B$12,'Your Debts'!$G$6)))+J6-L6),2)</f>
        <v/>
      </c>
      <c r="N6" s="28">
        <f>ROUND((IF('Your Debts'!$G$7=0,0,INDEX('Your Debts'!$B$5:$B$12,'Your Debts'!$G$7)))*(IF('Your Debts'!$G$7=0,0,INDEX('Your Debts'!$C$5:$C$12,'Your Debts'!$G$7)/12)),2)</f>
        <v/>
      </c>
      <c r="O6" s="28">
        <f>MIN((IF('Your Debts'!$G$7=0,0,INDEX('Your Debts'!$B$5:$B$12,'Your Debts'!$G$7)))+N6,IF('Your Debts'!$G$7=0,0,INDEX('Your Debts'!$D$5:$D$12,'Your Debts'!$G$7)))</f>
        <v/>
      </c>
      <c r="P6" s="28">
        <f>O6+MIN((IF('Your Debts'!$G$7=0,0,INDEX('Your Debts'!$B$5:$B$12,'Your Debts'!$G$7)))+N6-O6,MAX(0,$E6-((H6-G6)+(L6-K6))))</f>
        <v/>
      </c>
      <c r="Q6" s="28">
        <f>ROUND(MAX(0,(IF('Your Debts'!$G$7=0,0,INDEX('Your Debts'!$B$5:$B$12,'Your Debts'!$G$7)))+N6-P6),2)</f>
        <v/>
      </c>
      <c r="R6" s="28">
        <f>ROUND((IF('Your Debts'!$G$8=0,0,INDEX('Your Debts'!$B$5:$B$12,'Your Debts'!$G$8)))*(IF('Your Debts'!$G$8=0,0,INDEX('Your Debts'!$C$5:$C$12,'Your Debts'!$G$8)/12)),2)</f>
        <v/>
      </c>
      <c r="S6" s="28">
        <f>MIN((IF('Your Debts'!$G$8=0,0,INDEX('Your Debts'!$B$5:$B$12,'Your Debts'!$G$8)))+R6,IF('Your Debts'!$G$8=0,0,INDEX('Your Debts'!$D$5:$D$12,'Your Debts'!$G$8)))</f>
        <v/>
      </c>
      <c r="T6" s="28">
        <f>S6+MIN((IF('Your Debts'!$G$8=0,0,INDEX('Your Debts'!$B$5:$B$12,'Your Debts'!$G$8)))+R6-S6,MAX(0,$E6-((H6-G6)+(L6-K6)+(P6-O6))))</f>
        <v/>
      </c>
      <c r="U6" s="28">
        <f>ROUND(MAX(0,(IF('Your Debts'!$G$8=0,0,INDEX('Your Debts'!$B$5:$B$12,'Your Debts'!$G$8)))+R6-T6),2)</f>
        <v/>
      </c>
      <c r="V6" s="28">
        <f>ROUND((IF('Your Debts'!$G$9=0,0,INDEX('Your Debts'!$B$5:$B$12,'Your Debts'!$G$9)))*(IF('Your Debts'!$G$9=0,0,INDEX('Your Debts'!$C$5:$C$12,'Your Debts'!$G$9)/12)),2)</f>
        <v/>
      </c>
      <c r="W6" s="28">
        <f>MIN((IF('Your Debts'!$G$9=0,0,INDEX('Your Debts'!$B$5:$B$12,'Your Debts'!$G$9)))+V6,IF('Your Debts'!$G$9=0,0,INDEX('Your Debts'!$D$5:$D$12,'Your Debts'!$G$9)))</f>
        <v/>
      </c>
      <c r="X6" s="28">
        <f>W6+MIN((IF('Your Debts'!$G$9=0,0,INDEX('Your Debts'!$B$5:$B$12,'Your Debts'!$G$9)))+V6-W6,MAX(0,$E6-((H6-G6)+(L6-K6)+(P6-O6)+(T6-S6))))</f>
        <v/>
      </c>
      <c r="Y6" s="28">
        <f>ROUND(MAX(0,(IF('Your Debts'!$G$9=0,0,INDEX('Your Debts'!$B$5:$B$12,'Your Debts'!$G$9)))+V6-X6),2)</f>
        <v/>
      </c>
      <c r="Z6" s="28">
        <f>ROUND((IF('Your Debts'!$G$10=0,0,INDEX('Your Debts'!$B$5:$B$12,'Your Debts'!$G$10)))*(IF('Your Debts'!$G$10=0,0,INDEX('Your Debts'!$C$5:$C$12,'Your Debts'!$G$10)/12)),2)</f>
        <v/>
      </c>
      <c r="AA6" s="28">
        <f>MIN((IF('Your Debts'!$G$10=0,0,INDEX('Your Debts'!$B$5:$B$12,'Your Debts'!$G$10)))+Z6,IF('Your Debts'!$G$10=0,0,INDEX('Your Debts'!$D$5:$D$12,'Your Debts'!$G$10)))</f>
        <v/>
      </c>
      <c r="AB6" s="28">
        <f>AA6+MIN((IF('Your Debts'!$G$10=0,0,INDEX('Your Debts'!$B$5:$B$12,'Your Debts'!$G$10)))+Z6-AA6,MAX(0,$E6-((H6-G6)+(L6-K6)+(P6-O6)+(T6-S6)+(X6-W6))))</f>
        <v/>
      </c>
      <c r="AC6" s="28">
        <f>ROUND(MAX(0,(IF('Your Debts'!$G$10=0,0,INDEX('Your Debts'!$B$5:$B$12,'Your Debts'!$G$10)))+Z6-AB6),2)</f>
        <v/>
      </c>
      <c r="AD6" s="28">
        <f>ROUND((IF('Your Debts'!$G$11=0,0,INDEX('Your Debts'!$B$5:$B$12,'Your Debts'!$G$11)))*(IF('Your Debts'!$G$11=0,0,INDEX('Your Debts'!$C$5:$C$12,'Your Debts'!$G$11)/12)),2)</f>
        <v/>
      </c>
      <c r="AE6" s="28">
        <f>MIN((IF('Your Debts'!$G$11=0,0,INDEX('Your Debts'!$B$5:$B$12,'Your Debts'!$G$11)))+AD6,IF('Your Debts'!$G$11=0,0,INDEX('Your Debts'!$D$5:$D$12,'Your Debts'!$G$11)))</f>
        <v/>
      </c>
      <c r="AF6" s="28">
        <f>AE6+MIN((IF('Your Debts'!$G$11=0,0,INDEX('Your Debts'!$B$5:$B$12,'Your Debts'!$G$11)))+AD6-AE6,MAX(0,$E6-((H6-G6)+(L6-K6)+(P6-O6)+(T6-S6)+(X6-W6)+(AB6-AA6))))</f>
        <v/>
      </c>
      <c r="AG6" s="28">
        <f>ROUND(MAX(0,(IF('Your Debts'!$G$11=0,0,INDEX('Your Debts'!$B$5:$B$12,'Your Debts'!$G$11)))+AD6-AF6),2)</f>
        <v/>
      </c>
      <c r="AH6" s="28">
        <f>ROUND((IF('Your Debts'!$G$12=0,0,INDEX('Your Debts'!$B$5:$B$12,'Your Debts'!$G$12)))*(IF('Your Debts'!$G$12=0,0,INDEX('Your Debts'!$C$5:$C$12,'Your Debts'!$G$12)/12)),2)</f>
        <v/>
      </c>
      <c r="AI6" s="28">
        <f>MIN((IF('Your Debts'!$G$12=0,0,INDEX('Your Debts'!$B$5:$B$12,'Your Debts'!$G$12)))+AH6,IF('Your Debts'!$G$12=0,0,INDEX('Your Debts'!$D$5:$D$12,'Your Debts'!$G$12)))</f>
        <v/>
      </c>
      <c r="AJ6" s="28">
        <f>AI6+MIN((IF('Your Debts'!$G$12=0,0,INDEX('Your Debts'!$B$5:$B$12,'Your Debts'!$G$12)))+AH6-AI6,MAX(0,$E6-((H6-G6)+(L6-K6)+(P6-O6)+(T6-S6)+(X6-W6)+(AB6-AA6)+(AF6-AE6))))</f>
        <v/>
      </c>
      <c r="AK6" s="28">
        <f>ROUND(MAX(0,(IF('Your Debts'!$G$12=0,0,INDEX('Your Debts'!$B$5:$B$12,'Your Debts'!$G$12)))+AH6-AJ6),2)</f>
        <v/>
      </c>
      <c r="AL6" s="18">
        <f>I6+M6+Q6+U6+Y6+AC6+AG6+AK6</f>
        <v/>
      </c>
      <c r="AM6" s="27">
        <f>0+F6+J6+N6+R6+V6+Z6+AD6+AH6</f>
        <v/>
      </c>
    </row>
    <row r="7">
      <c r="A7" s="25" t="n">
        <v>2</v>
      </c>
      <c r="B7" s="26">
        <f>EDATE('Your Debts'!$B$19,1)</f>
        <v/>
      </c>
      <c r="C7" s="27">
        <f>'Your Debts'!$B$18</f>
        <v/>
      </c>
      <c r="D7" s="27">
        <f>G7+K7+O7+S7+W7+AA7+AE7+AI7</f>
        <v/>
      </c>
      <c r="E7" s="27">
        <f>MAX(0,C7-D7)</f>
        <v/>
      </c>
      <c r="F7" s="28">
        <f>ROUND((I6)*(IF('Your Debts'!$G$5=0,0,INDEX('Your Debts'!$C$5:$C$12,'Your Debts'!$G$5)/12)),2)</f>
        <v/>
      </c>
      <c r="G7" s="28">
        <f>MIN((I6)+F7,IF('Your Debts'!$G$5=0,0,INDEX('Your Debts'!$D$5:$D$12,'Your Debts'!$G$5)))</f>
        <v/>
      </c>
      <c r="H7" s="28">
        <f>G7+MIN((I6)+F7-G7,MAX(0,$E7-(0)))</f>
        <v/>
      </c>
      <c r="I7" s="28">
        <f>ROUND(MAX(0,(I6)+F7-H7),2)</f>
        <v/>
      </c>
      <c r="J7" s="28">
        <f>ROUND((M6)*(IF('Your Debts'!$G$6=0,0,INDEX('Your Debts'!$C$5:$C$12,'Your Debts'!$G$6)/12)),2)</f>
        <v/>
      </c>
      <c r="K7" s="28">
        <f>MIN((M6)+J7,IF('Your Debts'!$G$6=0,0,INDEX('Your Debts'!$D$5:$D$12,'Your Debts'!$G$6)))</f>
        <v/>
      </c>
      <c r="L7" s="28">
        <f>K7+MIN((M6)+J7-K7,MAX(0,$E7-((H7-G7))))</f>
        <v/>
      </c>
      <c r="M7" s="28">
        <f>ROUND(MAX(0,(M6)+J7-L7),2)</f>
        <v/>
      </c>
      <c r="N7" s="28">
        <f>ROUND((Q6)*(IF('Your Debts'!$G$7=0,0,INDEX('Your Debts'!$C$5:$C$12,'Your Debts'!$G$7)/12)),2)</f>
        <v/>
      </c>
      <c r="O7" s="28">
        <f>MIN((Q6)+N7,IF('Your Debts'!$G$7=0,0,INDEX('Your Debts'!$D$5:$D$12,'Your Debts'!$G$7)))</f>
        <v/>
      </c>
      <c r="P7" s="28">
        <f>O7+MIN((Q6)+N7-O7,MAX(0,$E7-((H7-G7)+(L7-K7))))</f>
        <v/>
      </c>
      <c r="Q7" s="28">
        <f>ROUND(MAX(0,(Q6)+N7-P7),2)</f>
        <v/>
      </c>
      <c r="R7" s="28">
        <f>ROUND((U6)*(IF('Your Debts'!$G$8=0,0,INDEX('Your Debts'!$C$5:$C$12,'Your Debts'!$G$8)/12)),2)</f>
        <v/>
      </c>
      <c r="S7" s="28">
        <f>MIN((U6)+R7,IF('Your Debts'!$G$8=0,0,INDEX('Your Debts'!$D$5:$D$12,'Your Debts'!$G$8)))</f>
        <v/>
      </c>
      <c r="T7" s="28">
        <f>S7+MIN((U6)+R7-S7,MAX(0,$E7-((H7-G7)+(L7-K7)+(P7-O7))))</f>
        <v/>
      </c>
      <c r="U7" s="28">
        <f>ROUND(MAX(0,(U6)+R7-T7),2)</f>
        <v/>
      </c>
      <c r="V7" s="28">
        <f>ROUND((Y6)*(IF('Your Debts'!$G$9=0,0,INDEX('Your Debts'!$C$5:$C$12,'Your Debts'!$G$9)/12)),2)</f>
        <v/>
      </c>
      <c r="W7" s="28">
        <f>MIN((Y6)+V7,IF('Your Debts'!$G$9=0,0,INDEX('Your Debts'!$D$5:$D$12,'Your Debts'!$G$9)))</f>
        <v/>
      </c>
      <c r="X7" s="28">
        <f>W7+MIN((Y6)+V7-W7,MAX(0,$E7-((H7-G7)+(L7-K7)+(P7-O7)+(T7-S7))))</f>
        <v/>
      </c>
      <c r="Y7" s="28">
        <f>ROUND(MAX(0,(Y6)+V7-X7),2)</f>
        <v/>
      </c>
      <c r="Z7" s="28">
        <f>ROUND((AC6)*(IF('Your Debts'!$G$10=0,0,INDEX('Your Debts'!$C$5:$C$12,'Your Debts'!$G$10)/12)),2)</f>
        <v/>
      </c>
      <c r="AA7" s="28">
        <f>MIN((AC6)+Z7,IF('Your Debts'!$G$10=0,0,INDEX('Your Debts'!$D$5:$D$12,'Your Debts'!$G$10)))</f>
        <v/>
      </c>
      <c r="AB7" s="28">
        <f>AA7+MIN((AC6)+Z7-AA7,MAX(0,$E7-((H7-G7)+(L7-K7)+(P7-O7)+(T7-S7)+(X7-W7))))</f>
        <v/>
      </c>
      <c r="AC7" s="28">
        <f>ROUND(MAX(0,(AC6)+Z7-AB7),2)</f>
        <v/>
      </c>
      <c r="AD7" s="28">
        <f>ROUND((AG6)*(IF('Your Debts'!$G$11=0,0,INDEX('Your Debts'!$C$5:$C$12,'Your Debts'!$G$11)/12)),2)</f>
        <v/>
      </c>
      <c r="AE7" s="28">
        <f>MIN((AG6)+AD7,IF('Your Debts'!$G$11=0,0,INDEX('Your Debts'!$D$5:$D$12,'Your Debts'!$G$11)))</f>
        <v/>
      </c>
      <c r="AF7" s="28">
        <f>AE7+MIN((AG6)+AD7-AE7,MAX(0,$E7-((H7-G7)+(L7-K7)+(P7-O7)+(T7-S7)+(X7-W7)+(AB7-AA7))))</f>
        <v/>
      </c>
      <c r="AG7" s="28">
        <f>ROUND(MAX(0,(AG6)+AD7-AF7),2)</f>
        <v/>
      </c>
      <c r="AH7" s="28">
        <f>ROUND((AK6)*(IF('Your Debts'!$G$12=0,0,INDEX('Your Debts'!$C$5:$C$12,'Your Debts'!$G$12)/12)),2)</f>
        <v/>
      </c>
      <c r="AI7" s="28">
        <f>MIN((AK6)+AH7,IF('Your Debts'!$G$12=0,0,INDEX('Your Debts'!$D$5:$D$12,'Your Debts'!$G$12)))</f>
        <v/>
      </c>
      <c r="AJ7" s="28">
        <f>AI7+MIN((AK6)+AH7-AI7,MAX(0,$E7-((H7-G7)+(L7-K7)+(P7-O7)+(T7-S7)+(X7-W7)+(AB7-AA7)+(AF7-AE7))))</f>
        <v/>
      </c>
      <c r="AK7" s="28">
        <f>ROUND(MAX(0,(AK6)+AH7-AJ7),2)</f>
        <v/>
      </c>
      <c r="AL7" s="18">
        <f>I7+M7+Q7+U7+Y7+AC7+AG7+AK7</f>
        <v/>
      </c>
      <c r="AM7" s="27">
        <f>AM6+F7+J7+N7+R7+V7+Z7+AD7+AH7</f>
        <v/>
      </c>
    </row>
    <row r="8">
      <c r="A8" s="25" t="n">
        <v>3</v>
      </c>
      <c r="B8" s="26">
        <f>EDATE('Your Debts'!$B$19,2)</f>
        <v/>
      </c>
      <c r="C8" s="27">
        <f>'Your Debts'!$B$18</f>
        <v/>
      </c>
      <c r="D8" s="27">
        <f>G8+K8+O8+S8+W8+AA8+AE8+AI8</f>
        <v/>
      </c>
      <c r="E8" s="27">
        <f>MAX(0,C8-D8)</f>
        <v/>
      </c>
      <c r="F8" s="28">
        <f>ROUND((I7)*(IF('Your Debts'!$G$5=0,0,INDEX('Your Debts'!$C$5:$C$12,'Your Debts'!$G$5)/12)),2)</f>
        <v/>
      </c>
      <c r="G8" s="28">
        <f>MIN((I7)+F8,IF('Your Debts'!$G$5=0,0,INDEX('Your Debts'!$D$5:$D$12,'Your Debts'!$G$5)))</f>
        <v/>
      </c>
      <c r="H8" s="28">
        <f>G8+MIN((I7)+F8-G8,MAX(0,$E8-(0)))</f>
        <v/>
      </c>
      <c r="I8" s="28">
        <f>ROUND(MAX(0,(I7)+F8-H8),2)</f>
        <v/>
      </c>
      <c r="J8" s="28">
        <f>ROUND((M7)*(IF('Your Debts'!$G$6=0,0,INDEX('Your Debts'!$C$5:$C$12,'Your Debts'!$G$6)/12)),2)</f>
        <v/>
      </c>
      <c r="K8" s="28">
        <f>MIN((M7)+J8,IF('Your Debts'!$G$6=0,0,INDEX('Your Debts'!$D$5:$D$12,'Your Debts'!$G$6)))</f>
        <v/>
      </c>
      <c r="L8" s="28">
        <f>K8+MIN((M7)+J8-K8,MAX(0,$E8-((H8-G8))))</f>
        <v/>
      </c>
      <c r="M8" s="28">
        <f>ROUND(MAX(0,(M7)+J8-L8),2)</f>
        <v/>
      </c>
      <c r="N8" s="28">
        <f>ROUND((Q7)*(IF('Your Debts'!$G$7=0,0,INDEX('Your Debts'!$C$5:$C$12,'Your Debts'!$G$7)/12)),2)</f>
        <v/>
      </c>
      <c r="O8" s="28">
        <f>MIN((Q7)+N8,IF('Your Debts'!$G$7=0,0,INDEX('Your Debts'!$D$5:$D$12,'Your Debts'!$G$7)))</f>
        <v/>
      </c>
      <c r="P8" s="28">
        <f>O8+MIN((Q7)+N8-O8,MAX(0,$E8-((H8-G8)+(L8-K8))))</f>
        <v/>
      </c>
      <c r="Q8" s="28">
        <f>ROUND(MAX(0,(Q7)+N8-P8),2)</f>
        <v/>
      </c>
      <c r="R8" s="28">
        <f>ROUND((U7)*(IF('Your Debts'!$G$8=0,0,INDEX('Your Debts'!$C$5:$C$12,'Your Debts'!$G$8)/12)),2)</f>
        <v/>
      </c>
      <c r="S8" s="28">
        <f>MIN((U7)+R8,IF('Your Debts'!$G$8=0,0,INDEX('Your Debts'!$D$5:$D$12,'Your Debts'!$G$8)))</f>
        <v/>
      </c>
      <c r="T8" s="28">
        <f>S8+MIN((U7)+R8-S8,MAX(0,$E8-((H8-G8)+(L8-K8)+(P8-O8))))</f>
        <v/>
      </c>
      <c r="U8" s="28">
        <f>ROUND(MAX(0,(U7)+R8-T8),2)</f>
        <v/>
      </c>
      <c r="V8" s="28">
        <f>ROUND((Y7)*(IF('Your Debts'!$G$9=0,0,INDEX('Your Debts'!$C$5:$C$12,'Your Debts'!$G$9)/12)),2)</f>
        <v/>
      </c>
      <c r="W8" s="28">
        <f>MIN((Y7)+V8,IF('Your Debts'!$G$9=0,0,INDEX('Your Debts'!$D$5:$D$12,'Your Debts'!$G$9)))</f>
        <v/>
      </c>
      <c r="X8" s="28">
        <f>W8+MIN((Y7)+V8-W8,MAX(0,$E8-((H8-G8)+(L8-K8)+(P8-O8)+(T8-S8))))</f>
        <v/>
      </c>
      <c r="Y8" s="28">
        <f>ROUND(MAX(0,(Y7)+V8-X8),2)</f>
        <v/>
      </c>
      <c r="Z8" s="28">
        <f>ROUND((AC7)*(IF('Your Debts'!$G$10=0,0,INDEX('Your Debts'!$C$5:$C$12,'Your Debts'!$G$10)/12)),2)</f>
        <v/>
      </c>
      <c r="AA8" s="28">
        <f>MIN((AC7)+Z8,IF('Your Debts'!$G$10=0,0,INDEX('Your Debts'!$D$5:$D$12,'Your Debts'!$G$10)))</f>
        <v/>
      </c>
      <c r="AB8" s="28">
        <f>AA8+MIN((AC7)+Z8-AA8,MAX(0,$E8-((H8-G8)+(L8-K8)+(P8-O8)+(T8-S8)+(X8-W8))))</f>
        <v/>
      </c>
      <c r="AC8" s="28">
        <f>ROUND(MAX(0,(AC7)+Z8-AB8),2)</f>
        <v/>
      </c>
      <c r="AD8" s="28">
        <f>ROUND((AG7)*(IF('Your Debts'!$G$11=0,0,INDEX('Your Debts'!$C$5:$C$12,'Your Debts'!$G$11)/12)),2)</f>
        <v/>
      </c>
      <c r="AE8" s="28">
        <f>MIN((AG7)+AD8,IF('Your Debts'!$G$11=0,0,INDEX('Your Debts'!$D$5:$D$12,'Your Debts'!$G$11)))</f>
        <v/>
      </c>
      <c r="AF8" s="28">
        <f>AE8+MIN((AG7)+AD8-AE8,MAX(0,$E8-((H8-G8)+(L8-K8)+(P8-O8)+(T8-S8)+(X8-W8)+(AB8-AA8))))</f>
        <v/>
      </c>
      <c r="AG8" s="28">
        <f>ROUND(MAX(0,(AG7)+AD8-AF8),2)</f>
        <v/>
      </c>
      <c r="AH8" s="28">
        <f>ROUND((AK7)*(IF('Your Debts'!$G$12=0,0,INDEX('Your Debts'!$C$5:$C$12,'Your Debts'!$G$12)/12)),2)</f>
        <v/>
      </c>
      <c r="AI8" s="28">
        <f>MIN((AK7)+AH8,IF('Your Debts'!$G$12=0,0,INDEX('Your Debts'!$D$5:$D$12,'Your Debts'!$G$12)))</f>
        <v/>
      </c>
      <c r="AJ8" s="28">
        <f>AI8+MIN((AK7)+AH8-AI8,MAX(0,$E8-((H8-G8)+(L8-K8)+(P8-O8)+(T8-S8)+(X8-W8)+(AB8-AA8)+(AF8-AE8))))</f>
        <v/>
      </c>
      <c r="AK8" s="28">
        <f>ROUND(MAX(0,(AK7)+AH8-AJ8),2)</f>
        <v/>
      </c>
      <c r="AL8" s="18">
        <f>I8+M8+Q8+U8+Y8+AC8+AG8+AK8</f>
        <v/>
      </c>
      <c r="AM8" s="27">
        <f>AM7+F8+J8+N8+R8+V8+Z8+AD8+AH8</f>
        <v/>
      </c>
    </row>
    <row r="9">
      <c r="A9" s="25" t="n">
        <v>4</v>
      </c>
      <c r="B9" s="26">
        <f>EDATE('Your Debts'!$B$19,3)</f>
        <v/>
      </c>
      <c r="C9" s="27">
        <f>'Your Debts'!$B$18</f>
        <v/>
      </c>
      <c r="D9" s="27">
        <f>G9+K9+O9+S9+W9+AA9+AE9+AI9</f>
        <v/>
      </c>
      <c r="E9" s="27">
        <f>MAX(0,C9-D9)</f>
        <v/>
      </c>
      <c r="F9" s="28">
        <f>ROUND((I8)*(IF('Your Debts'!$G$5=0,0,INDEX('Your Debts'!$C$5:$C$12,'Your Debts'!$G$5)/12)),2)</f>
        <v/>
      </c>
      <c r="G9" s="28">
        <f>MIN((I8)+F9,IF('Your Debts'!$G$5=0,0,INDEX('Your Debts'!$D$5:$D$12,'Your Debts'!$G$5)))</f>
        <v/>
      </c>
      <c r="H9" s="28">
        <f>G9+MIN((I8)+F9-G9,MAX(0,$E9-(0)))</f>
        <v/>
      </c>
      <c r="I9" s="28">
        <f>ROUND(MAX(0,(I8)+F9-H9),2)</f>
        <v/>
      </c>
      <c r="J9" s="28">
        <f>ROUND((M8)*(IF('Your Debts'!$G$6=0,0,INDEX('Your Debts'!$C$5:$C$12,'Your Debts'!$G$6)/12)),2)</f>
        <v/>
      </c>
      <c r="K9" s="28">
        <f>MIN((M8)+J9,IF('Your Debts'!$G$6=0,0,INDEX('Your Debts'!$D$5:$D$12,'Your Debts'!$G$6)))</f>
        <v/>
      </c>
      <c r="L9" s="28">
        <f>K9+MIN((M8)+J9-K9,MAX(0,$E9-((H9-G9))))</f>
        <v/>
      </c>
      <c r="M9" s="28">
        <f>ROUND(MAX(0,(M8)+J9-L9),2)</f>
        <v/>
      </c>
      <c r="N9" s="28">
        <f>ROUND((Q8)*(IF('Your Debts'!$G$7=0,0,INDEX('Your Debts'!$C$5:$C$12,'Your Debts'!$G$7)/12)),2)</f>
        <v/>
      </c>
      <c r="O9" s="28">
        <f>MIN((Q8)+N9,IF('Your Debts'!$G$7=0,0,INDEX('Your Debts'!$D$5:$D$12,'Your Debts'!$G$7)))</f>
        <v/>
      </c>
      <c r="P9" s="28">
        <f>O9+MIN((Q8)+N9-O9,MAX(0,$E9-((H9-G9)+(L9-K9))))</f>
        <v/>
      </c>
      <c r="Q9" s="28">
        <f>ROUND(MAX(0,(Q8)+N9-P9),2)</f>
        <v/>
      </c>
      <c r="R9" s="28">
        <f>ROUND((U8)*(IF('Your Debts'!$G$8=0,0,INDEX('Your Debts'!$C$5:$C$12,'Your Debts'!$G$8)/12)),2)</f>
        <v/>
      </c>
      <c r="S9" s="28">
        <f>MIN((U8)+R9,IF('Your Debts'!$G$8=0,0,INDEX('Your Debts'!$D$5:$D$12,'Your Debts'!$G$8)))</f>
        <v/>
      </c>
      <c r="T9" s="28">
        <f>S9+MIN((U8)+R9-S9,MAX(0,$E9-((H9-G9)+(L9-K9)+(P9-O9))))</f>
        <v/>
      </c>
      <c r="U9" s="28">
        <f>ROUND(MAX(0,(U8)+R9-T9),2)</f>
        <v/>
      </c>
      <c r="V9" s="28">
        <f>ROUND((Y8)*(IF('Your Debts'!$G$9=0,0,INDEX('Your Debts'!$C$5:$C$12,'Your Debts'!$G$9)/12)),2)</f>
        <v/>
      </c>
      <c r="W9" s="28">
        <f>MIN((Y8)+V9,IF('Your Debts'!$G$9=0,0,INDEX('Your Debts'!$D$5:$D$12,'Your Debts'!$G$9)))</f>
        <v/>
      </c>
      <c r="X9" s="28">
        <f>W9+MIN((Y8)+V9-W9,MAX(0,$E9-((H9-G9)+(L9-K9)+(P9-O9)+(T9-S9))))</f>
        <v/>
      </c>
      <c r="Y9" s="28">
        <f>ROUND(MAX(0,(Y8)+V9-X9),2)</f>
        <v/>
      </c>
      <c r="Z9" s="28">
        <f>ROUND((AC8)*(IF('Your Debts'!$G$10=0,0,INDEX('Your Debts'!$C$5:$C$12,'Your Debts'!$G$10)/12)),2)</f>
        <v/>
      </c>
      <c r="AA9" s="28">
        <f>MIN((AC8)+Z9,IF('Your Debts'!$G$10=0,0,INDEX('Your Debts'!$D$5:$D$12,'Your Debts'!$G$10)))</f>
        <v/>
      </c>
      <c r="AB9" s="28">
        <f>AA9+MIN((AC8)+Z9-AA9,MAX(0,$E9-((H9-G9)+(L9-K9)+(P9-O9)+(T9-S9)+(X9-W9))))</f>
        <v/>
      </c>
      <c r="AC9" s="28">
        <f>ROUND(MAX(0,(AC8)+Z9-AB9),2)</f>
        <v/>
      </c>
      <c r="AD9" s="28">
        <f>ROUND((AG8)*(IF('Your Debts'!$G$11=0,0,INDEX('Your Debts'!$C$5:$C$12,'Your Debts'!$G$11)/12)),2)</f>
        <v/>
      </c>
      <c r="AE9" s="28">
        <f>MIN((AG8)+AD9,IF('Your Debts'!$G$11=0,0,INDEX('Your Debts'!$D$5:$D$12,'Your Debts'!$G$11)))</f>
        <v/>
      </c>
      <c r="AF9" s="28">
        <f>AE9+MIN((AG8)+AD9-AE9,MAX(0,$E9-((H9-G9)+(L9-K9)+(P9-O9)+(T9-S9)+(X9-W9)+(AB9-AA9))))</f>
        <v/>
      </c>
      <c r="AG9" s="28">
        <f>ROUND(MAX(0,(AG8)+AD9-AF9),2)</f>
        <v/>
      </c>
      <c r="AH9" s="28">
        <f>ROUND((AK8)*(IF('Your Debts'!$G$12=0,0,INDEX('Your Debts'!$C$5:$C$12,'Your Debts'!$G$12)/12)),2)</f>
        <v/>
      </c>
      <c r="AI9" s="28">
        <f>MIN((AK8)+AH9,IF('Your Debts'!$G$12=0,0,INDEX('Your Debts'!$D$5:$D$12,'Your Debts'!$G$12)))</f>
        <v/>
      </c>
      <c r="AJ9" s="28">
        <f>AI9+MIN((AK8)+AH9-AI9,MAX(0,$E9-((H9-G9)+(L9-K9)+(P9-O9)+(T9-S9)+(X9-W9)+(AB9-AA9)+(AF9-AE9))))</f>
        <v/>
      </c>
      <c r="AK9" s="28">
        <f>ROUND(MAX(0,(AK8)+AH9-AJ9),2)</f>
        <v/>
      </c>
      <c r="AL9" s="18">
        <f>I9+M9+Q9+U9+Y9+AC9+AG9+AK9</f>
        <v/>
      </c>
      <c r="AM9" s="27">
        <f>AM8+F9+J9+N9+R9+V9+Z9+AD9+AH9</f>
        <v/>
      </c>
    </row>
    <row r="10">
      <c r="A10" s="25" t="n">
        <v>5</v>
      </c>
      <c r="B10" s="26">
        <f>EDATE('Your Debts'!$B$19,4)</f>
        <v/>
      </c>
      <c r="C10" s="27">
        <f>'Your Debts'!$B$18</f>
        <v/>
      </c>
      <c r="D10" s="27">
        <f>G10+K10+O10+S10+W10+AA10+AE10+AI10</f>
        <v/>
      </c>
      <c r="E10" s="27">
        <f>MAX(0,C10-D10)</f>
        <v/>
      </c>
      <c r="F10" s="28">
        <f>ROUND((I9)*(IF('Your Debts'!$G$5=0,0,INDEX('Your Debts'!$C$5:$C$12,'Your Debts'!$G$5)/12)),2)</f>
        <v/>
      </c>
      <c r="G10" s="28">
        <f>MIN((I9)+F10,IF('Your Debts'!$G$5=0,0,INDEX('Your Debts'!$D$5:$D$12,'Your Debts'!$G$5)))</f>
        <v/>
      </c>
      <c r="H10" s="28">
        <f>G10+MIN((I9)+F10-G10,MAX(0,$E10-(0)))</f>
        <v/>
      </c>
      <c r="I10" s="28">
        <f>ROUND(MAX(0,(I9)+F10-H10),2)</f>
        <v/>
      </c>
      <c r="J10" s="28">
        <f>ROUND((M9)*(IF('Your Debts'!$G$6=0,0,INDEX('Your Debts'!$C$5:$C$12,'Your Debts'!$G$6)/12)),2)</f>
        <v/>
      </c>
      <c r="K10" s="28">
        <f>MIN((M9)+J10,IF('Your Debts'!$G$6=0,0,INDEX('Your Debts'!$D$5:$D$12,'Your Debts'!$G$6)))</f>
        <v/>
      </c>
      <c r="L10" s="28">
        <f>K10+MIN((M9)+J10-K10,MAX(0,$E10-((H10-G10))))</f>
        <v/>
      </c>
      <c r="M10" s="28">
        <f>ROUND(MAX(0,(M9)+J10-L10),2)</f>
        <v/>
      </c>
      <c r="N10" s="28">
        <f>ROUND((Q9)*(IF('Your Debts'!$G$7=0,0,INDEX('Your Debts'!$C$5:$C$12,'Your Debts'!$G$7)/12)),2)</f>
        <v/>
      </c>
      <c r="O10" s="28">
        <f>MIN((Q9)+N10,IF('Your Debts'!$G$7=0,0,INDEX('Your Debts'!$D$5:$D$12,'Your Debts'!$G$7)))</f>
        <v/>
      </c>
      <c r="P10" s="28">
        <f>O10+MIN((Q9)+N10-O10,MAX(0,$E10-((H10-G10)+(L10-K10))))</f>
        <v/>
      </c>
      <c r="Q10" s="28">
        <f>ROUND(MAX(0,(Q9)+N10-P10),2)</f>
        <v/>
      </c>
      <c r="R10" s="28">
        <f>ROUND((U9)*(IF('Your Debts'!$G$8=0,0,INDEX('Your Debts'!$C$5:$C$12,'Your Debts'!$G$8)/12)),2)</f>
        <v/>
      </c>
      <c r="S10" s="28">
        <f>MIN((U9)+R10,IF('Your Debts'!$G$8=0,0,INDEX('Your Debts'!$D$5:$D$12,'Your Debts'!$G$8)))</f>
        <v/>
      </c>
      <c r="T10" s="28">
        <f>S10+MIN((U9)+R10-S10,MAX(0,$E10-((H10-G10)+(L10-K10)+(P10-O10))))</f>
        <v/>
      </c>
      <c r="U10" s="28">
        <f>ROUND(MAX(0,(U9)+R10-T10),2)</f>
        <v/>
      </c>
      <c r="V10" s="28">
        <f>ROUND((Y9)*(IF('Your Debts'!$G$9=0,0,INDEX('Your Debts'!$C$5:$C$12,'Your Debts'!$G$9)/12)),2)</f>
        <v/>
      </c>
      <c r="W10" s="28">
        <f>MIN((Y9)+V10,IF('Your Debts'!$G$9=0,0,INDEX('Your Debts'!$D$5:$D$12,'Your Debts'!$G$9)))</f>
        <v/>
      </c>
      <c r="X10" s="28">
        <f>W10+MIN((Y9)+V10-W10,MAX(0,$E10-((H10-G10)+(L10-K10)+(P10-O10)+(T10-S10))))</f>
        <v/>
      </c>
      <c r="Y10" s="28">
        <f>ROUND(MAX(0,(Y9)+V10-X10),2)</f>
        <v/>
      </c>
      <c r="Z10" s="28">
        <f>ROUND((AC9)*(IF('Your Debts'!$G$10=0,0,INDEX('Your Debts'!$C$5:$C$12,'Your Debts'!$G$10)/12)),2)</f>
        <v/>
      </c>
      <c r="AA10" s="28">
        <f>MIN((AC9)+Z10,IF('Your Debts'!$G$10=0,0,INDEX('Your Debts'!$D$5:$D$12,'Your Debts'!$G$10)))</f>
        <v/>
      </c>
      <c r="AB10" s="28">
        <f>AA10+MIN((AC9)+Z10-AA10,MAX(0,$E10-((H10-G10)+(L10-K10)+(P10-O10)+(T10-S10)+(X10-W10))))</f>
        <v/>
      </c>
      <c r="AC10" s="28">
        <f>ROUND(MAX(0,(AC9)+Z10-AB10),2)</f>
        <v/>
      </c>
      <c r="AD10" s="28">
        <f>ROUND((AG9)*(IF('Your Debts'!$G$11=0,0,INDEX('Your Debts'!$C$5:$C$12,'Your Debts'!$G$11)/12)),2)</f>
        <v/>
      </c>
      <c r="AE10" s="28">
        <f>MIN((AG9)+AD10,IF('Your Debts'!$G$11=0,0,INDEX('Your Debts'!$D$5:$D$12,'Your Debts'!$G$11)))</f>
        <v/>
      </c>
      <c r="AF10" s="28">
        <f>AE10+MIN((AG9)+AD10-AE10,MAX(0,$E10-((H10-G10)+(L10-K10)+(P10-O10)+(T10-S10)+(X10-W10)+(AB10-AA10))))</f>
        <v/>
      </c>
      <c r="AG10" s="28">
        <f>ROUND(MAX(0,(AG9)+AD10-AF10),2)</f>
        <v/>
      </c>
      <c r="AH10" s="28">
        <f>ROUND((AK9)*(IF('Your Debts'!$G$12=0,0,INDEX('Your Debts'!$C$5:$C$12,'Your Debts'!$G$12)/12)),2)</f>
        <v/>
      </c>
      <c r="AI10" s="28">
        <f>MIN((AK9)+AH10,IF('Your Debts'!$G$12=0,0,INDEX('Your Debts'!$D$5:$D$12,'Your Debts'!$G$12)))</f>
        <v/>
      </c>
      <c r="AJ10" s="28">
        <f>AI10+MIN((AK9)+AH10-AI10,MAX(0,$E10-((H10-G10)+(L10-K10)+(P10-O10)+(T10-S10)+(X10-W10)+(AB10-AA10)+(AF10-AE10))))</f>
        <v/>
      </c>
      <c r="AK10" s="28">
        <f>ROUND(MAX(0,(AK9)+AH10-AJ10),2)</f>
        <v/>
      </c>
      <c r="AL10" s="18">
        <f>I10+M10+Q10+U10+Y10+AC10+AG10+AK10</f>
        <v/>
      </c>
      <c r="AM10" s="27">
        <f>AM9+F10+J10+N10+R10+V10+Z10+AD10+AH10</f>
        <v/>
      </c>
    </row>
    <row r="11">
      <c r="A11" s="25" t="n">
        <v>6</v>
      </c>
      <c r="B11" s="26">
        <f>EDATE('Your Debts'!$B$19,5)</f>
        <v/>
      </c>
      <c r="C11" s="27">
        <f>'Your Debts'!$B$18</f>
        <v/>
      </c>
      <c r="D11" s="27">
        <f>G11+K11+O11+S11+W11+AA11+AE11+AI11</f>
        <v/>
      </c>
      <c r="E11" s="27">
        <f>MAX(0,C11-D11)</f>
        <v/>
      </c>
      <c r="F11" s="28">
        <f>ROUND((I10)*(IF('Your Debts'!$G$5=0,0,INDEX('Your Debts'!$C$5:$C$12,'Your Debts'!$G$5)/12)),2)</f>
        <v/>
      </c>
      <c r="G11" s="28">
        <f>MIN((I10)+F11,IF('Your Debts'!$G$5=0,0,INDEX('Your Debts'!$D$5:$D$12,'Your Debts'!$G$5)))</f>
        <v/>
      </c>
      <c r="H11" s="28">
        <f>G11+MIN((I10)+F11-G11,MAX(0,$E11-(0)))</f>
        <v/>
      </c>
      <c r="I11" s="28">
        <f>ROUND(MAX(0,(I10)+F11-H11),2)</f>
        <v/>
      </c>
      <c r="J11" s="28">
        <f>ROUND((M10)*(IF('Your Debts'!$G$6=0,0,INDEX('Your Debts'!$C$5:$C$12,'Your Debts'!$G$6)/12)),2)</f>
        <v/>
      </c>
      <c r="K11" s="28">
        <f>MIN((M10)+J11,IF('Your Debts'!$G$6=0,0,INDEX('Your Debts'!$D$5:$D$12,'Your Debts'!$G$6)))</f>
        <v/>
      </c>
      <c r="L11" s="28">
        <f>K11+MIN((M10)+J11-K11,MAX(0,$E11-((H11-G11))))</f>
        <v/>
      </c>
      <c r="M11" s="28">
        <f>ROUND(MAX(0,(M10)+J11-L11),2)</f>
        <v/>
      </c>
      <c r="N11" s="28">
        <f>ROUND((Q10)*(IF('Your Debts'!$G$7=0,0,INDEX('Your Debts'!$C$5:$C$12,'Your Debts'!$G$7)/12)),2)</f>
        <v/>
      </c>
      <c r="O11" s="28">
        <f>MIN((Q10)+N11,IF('Your Debts'!$G$7=0,0,INDEX('Your Debts'!$D$5:$D$12,'Your Debts'!$G$7)))</f>
        <v/>
      </c>
      <c r="P11" s="28">
        <f>O11+MIN((Q10)+N11-O11,MAX(0,$E11-((H11-G11)+(L11-K11))))</f>
        <v/>
      </c>
      <c r="Q11" s="28">
        <f>ROUND(MAX(0,(Q10)+N11-P11),2)</f>
        <v/>
      </c>
      <c r="R11" s="28">
        <f>ROUND((U10)*(IF('Your Debts'!$G$8=0,0,INDEX('Your Debts'!$C$5:$C$12,'Your Debts'!$G$8)/12)),2)</f>
        <v/>
      </c>
      <c r="S11" s="28">
        <f>MIN((U10)+R11,IF('Your Debts'!$G$8=0,0,INDEX('Your Debts'!$D$5:$D$12,'Your Debts'!$G$8)))</f>
        <v/>
      </c>
      <c r="T11" s="28">
        <f>S11+MIN((U10)+R11-S11,MAX(0,$E11-((H11-G11)+(L11-K11)+(P11-O11))))</f>
        <v/>
      </c>
      <c r="U11" s="28">
        <f>ROUND(MAX(0,(U10)+R11-T11),2)</f>
        <v/>
      </c>
      <c r="V11" s="28">
        <f>ROUND((Y10)*(IF('Your Debts'!$G$9=0,0,INDEX('Your Debts'!$C$5:$C$12,'Your Debts'!$G$9)/12)),2)</f>
        <v/>
      </c>
      <c r="W11" s="28">
        <f>MIN((Y10)+V11,IF('Your Debts'!$G$9=0,0,INDEX('Your Debts'!$D$5:$D$12,'Your Debts'!$G$9)))</f>
        <v/>
      </c>
      <c r="X11" s="28">
        <f>W11+MIN((Y10)+V11-W11,MAX(0,$E11-((H11-G11)+(L11-K11)+(P11-O11)+(T11-S11))))</f>
        <v/>
      </c>
      <c r="Y11" s="28">
        <f>ROUND(MAX(0,(Y10)+V11-X11),2)</f>
        <v/>
      </c>
      <c r="Z11" s="28">
        <f>ROUND((AC10)*(IF('Your Debts'!$G$10=0,0,INDEX('Your Debts'!$C$5:$C$12,'Your Debts'!$G$10)/12)),2)</f>
        <v/>
      </c>
      <c r="AA11" s="28">
        <f>MIN((AC10)+Z11,IF('Your Debts'!$G$10=0,0,INDEX('Your Debts'!$D$5:$D$12,'Your Debts'!$G$10)))</f>
        <v/>
      </c>
      <c r="AB11" s="28">
        <f>AA11+MIN((AC10)+Z11-AA11,MAX(0,$E11-((H11-G11)+(L11-K11)+(P11-O11)+(T11-S11)+(X11-W11))))</f>
        <v/>
      </c>
      <c r="AC11" s="28">
        <f>ROUND(MAX(0,(AC10)+Z11-AB11),2)</f>
        <v/>
      </c>
      <c r="AD11" s="28">
        <f>ROUND((AG10)*(IF('Your Debts'!$G$11=0,0,INDEX('Your Debts'!$C$5:$C$12,'Your Debts'!$G$11)/12)),2)</f>
        <v/>
      </c>
      <c r="AE11" s="28">
        <f>MIN((AG10)+AD11,IF('Your Debts'!$G$11=0,0,INDEX('Your Debts'!$D$5:$D$12,'Your Debts'!$G$11)))</f>
        <v/>
      </c>
      <c r="AF11" s="28">
        <f>AE11+MIN((AG10)+AD11-AE11,MAX(0,$E11-((H11-G11)+(L11-K11)+(P11-O11)+(T11-S11)+(X11-W11)+(AB11-AA11))))</f>
        <v/>
      </c>
      <c r="AG11" s="28">
        <f>ROUND(MAX(0,(AG10)+AD11-AF11),2)</f>
        <v/>
      </c>
      <c r="AH11" s="28">
        <f>ROUND((AK10)*(IF('Your Debts'!$G$12=0,0,INDEX('Your Debts'!$C$5:$C$12,'Your Debts'!$G$12)/12)),2)</f>
        <v/>
      </c>
      <c r="AI11" s="28">
        <f>MIN((AK10)+AH11,IF('Your Debts'!$G$12=0,0,INDEX('Your Debts'!$D$5:$D$12,'Your Debts'!$G$12)))</f>
        <v/>
      </c>
      <c r="AJ11" s="28">
        <f>AI11+MIN((AK10)+AH11-AI11,MAX(0,$E11-((H11-G11)+(L11-K11)+(P11-O11)+(T11-S11)+(X11-W11)+(AB11-AA11)+(AF11-AE11))))</f>
        <v/>
      </c>
      <c r="AK11" s="28">
        <f>ROUND(MAX(0,(AK10)+AH11-AJ11),2)</f>
        <v/>
      </c>
      <c r="AL11" s="18">
        <f>I11+M11+Q11+U11+Y11+AC11+AG11+AK11</f>
        <v/>
      </c>
      <c r="AM11" s="27">
        <f>AM10+F11+J11+N11+R11+V11+Z11+AD11+AH11</f>
        <v/>
      </c>
    </row>
    <row r="12">
      <c r="A12" s="25" t="n">
        <v>7</v>
      </c>
      <c r="B12" s="26">
        <f>EDATE('Your Debts'!$B$19,6)</f>
        <v/>
      </c>
      <c r="C12" s="27">
        <f>'Your Debts'!$B$18</f>
        <v/>
      </c>
      <c r="D12" s="27">
        <f>G12+K12+O12+S12+W12+AA12+AE12+AI12</f>
        <v/>
      </c>
      <c r="E12" s="27">
        <f>MAX(0,C12-D12)</f>
        <v/>
      </c>
      <c r="F12" s="28">
        <f>ROUND((I11)*(IF('Your Debts'!$G$5=0,0,INDEX('Your Debts'!$C$5:$C$12,'Your Debts'!$G$5)/12)),2)</f>
        <v/>
      </c>
      <c r="G12" s="28">
        <f>MIN((I11)+F12,IF('Your Debts'!$G$5=0,0,INDEX('Your Debts'!$D$5:$D$12,'Your Debts'!$G$5)))</f>
        <v/>
      </c>
      <c r="H12" s="28">
        <f>G12+MIN((I11)+F12-G12,MAX(0,$E12-(0)))</f>
        <v/>
      </c>
      <c r="I12" s="28">
        <f>ROUND(MAX(0,(I11)+F12-H12),2)</f>
        <v/>
      </c>
      <c r="J12" s="28">
        <f>ROUND((M11)*(IF('Your Debts'!$G$6=0,0,INDEX('Your Debts'!$C$5:$C$12,'Your Debts'!$G$6)/12)),2)</f>
        <v/>
      </c>
      <c r="K12" s="28">
        <f>MIN((M11)+J12,IF('Your Debts'!$G$6=0,0,INDEX('Your Debts'!$D$5:$D$12,'Your Debts'!$G$6)))</f>
        <v/>
      </c>
      <c r="L12" s="28">
        <f>K12+MIN((M11)+J12-K12,MAX(0,$E12-((H12-G12))))</f>
        <v/>
      </c>
      <c r="M12" s="28">
        <f>ROUND(MAX(0,(M11)+J12-L12),2)</f>
        <v/>
      </c>
      <c r="N12" s="28">
        <f>ROUND((Q11)*(IF('Your Debts'!$G$7=0,0,INDEX('Your Debts'!$C$5:$C$12,'Your Debts'!$G$7)/12)),2)</f>
        <v/>
      </c>
      <c r="O12" s="28">
        <f>MIN((Q11)+N12,IF('Your Debts'!$G$7=0,0,INDEX('Your Debts'!$D$5:$D$12,'Your Debts'!$G$7)))</f>
        <v/>
      </c>
      <c r="P12" s="28">
        <f>O12+MIN((Q11)+N12-O12,MAX(0,$E12-((H12-G12)+(L12-K12))))</f>
        <v/>
      </c>
      <c r="Q12" s="28">
        <f>ROUND(MAX(0,(Q11)+N12-P12),2)</f>
        <v/>
      </c>
      <c r="R12" s="28">
        <f>ROUND((U11)*(IF('Your Debts'!$G$8=0,0,INDEX('Your Debts'!$C$5:$C$12,'Your Debts'!$G$8)/12)),2)</f>
        <v/>
      </c>
      <c r="S12" s="28">
        <f>MIN((U11)+R12,IF('Your Debts'!$G$8=0,0,INDEX('Your Debts'!$D$5:$D$12,'Your Debts'!$G$8)))</f>
        <v/>
      </c>
      <c r="T12" s="28">
        <f>S12+MIN((U11)+R12-S12,MAX(0,$E12-((H12-G12)+(L12-K12)+(P12-O12))))</f>
        <v/>
      </c>
      <c r="U12" s="28">
        <f>ROUND(MAX(0,(U11)+R12-T12),2)</f>
        <v/>
      </c>
      <c r="V12" s="28">
        <f>ROUND((Y11)*(IF('Your Debts'!$G$9=0,0,INDEX('Your Debts'!$C$5:$C$12,'Your Debts'!$G$9)/12)),2)</f>
        <v/>
      </c>
      <c r="W12" s="28">
        <f>MIN((Y11)+V12,IF('Your Debts'!$G$9=0,0,INDEX('Your Debts'!$D$5:$D$12,'Your Debts'!$G$9)))</f>
        <v/>
      </c>
      <c r="X12" s="28">
        <f>W12+MIN((Y11)+V12-W12,MAX(0,$E12-((H12-G12)+(L12-K12)+(P12-O12)+(T12-S12))))</f>
        <v/>
      </c>
      <c r="Y12" s="28">
        <f>ROUND(MAX(0,(Y11)+V12-X12),2)</f>
        <v/>
      </c>
      <c r="Z12" s="28">
        <f>ROUND((AC11)*(IF('Your Debts'!$G$10=0,0,INDEX('Your Debts'!$C$5:$C$12,'Your Debts'!$G$10)/12)),2)</f>
        <v/>
      </c>
      <c r="AA12" s="28">
        <f>MIN((AC11)+Z12,IF('Your Debts'!$G$10=0,0,INDEX('Your Debts'!$D$5:$D$12,'Your Debts'!$G$10)))</f>
        <v/>
      </c>
      <c r="AB12" s="28">
        <f>AA12+MIN((AC11)+Z12-AA12,MAX(0,$E12-((H12-G12)+(L12-K12)+(P12-O12)+(T12-S12)+(X12-W12))))</f>
        <v/>
      </c>
      <c r="AC12" s="28">
        <f>ROUND(MAX(0,(AC11)+Z12-AB12),2)</f>
        <v/>
      </c>
      <c r="AD12" s="28">
        <f>ROUND((AG11)*(IF('Your Debts'!$G$11=0,0,INDEX('Your Debts'!$C$5:$C$12,'Your Debts'!$G$11)/12)),2)</f>
        <v/>
      </c>
      <c r="AE12" s="28">
        <f>MIN((AG11)+AD12,IF('Your Debts'!$G$11=0,0,INDEX('Your Debts'!$D$5:$D$12,'Your Debts'!$G$11)))</f>
        <v/>
      </c>
      <c r="AF12" s="28">
        <f>AE12+MIN((AG11)+AD12-AE12,MAX(0,$E12-((H12-G12)+(L12-K12)+(P12-O12)+(T12-S12)+(X12-W12)+(AB12-AA12))))</f>
        <v/>
      </c>
      <c r="AG12" s="28">
        <f>ROUND(MAX(0,(AG11)+AD12-AF12),2)</f>
        <v/>
      </c>
      <c r="AH12" s="28">
        <f>ROUND((AK11)*(IF('Your Debts'!$G$12=0,0,INDEX('Your Debts'!$C$5:$C$12,'Your Debts'!$G$12)/12)),2)</f>
        <v/>
      </c>
      <c r="AI12" s="28">
        <f>MIN((AK11)+AH12,IF('Your Debts'!$G$12=0,0,INDEX('Your Debts'!$D$5:$D$12,'Your Debts'!$G$12)))</f>
        <v/>
      </c>
      <c r="AJ12" s="28">
        <f>AI12+MIN((AK11)+AH12-AI12,MAX(0,$E12-((H12-G12)+(L12-K12)+(P12-O12)+(T12-S12)+(X12-W12)+(AB12-AA12)+(AF12-AE12))))</f>
        <v/>
      </c>
      <c r="AK12" s="28">
        <f>ROUND(MAX(0,(AK11)+AH12-AJ12),2)</f>
        <v/>
      </c>
      <c r="AL12" s="18">
        <f>I12+M12+Q12+U12+Y12+AC12+AG12+AK12</f>
        <v/>
      </c>
      <c r="AM12" s="27">
        <f>AM11+F12+J12+N12+R12+V12+Z12+AD12+AH12</f>
        <v/>
      </c>
    </row>
    <row r="13">
      <c r="A13" s="25" t="n">
        <v>8</v>
      </c>
      <c r="B13" s="26">
        <f>EDATE('Your Debts'!$B$19,7)</f>
        <v/>
      </c>
      <c r="C13" s="27">
        <f>'Your Debts'!$B$18</f>
        <v/>
      </c>
      <c r="D13" s="27">
        <f>G13+K13+O13+S13+W13+AA13+AE13+AI13</f>
        <v/>
      </c>
      <c r="E13" s="27">
        <f>MAX(0,C13-D13)</f>
        <v/>
      </c>
      <c r="F13" s="28">
        <f>ROUND((I12)*(IF('Your Debts'!$G$5=0,0,INDEX('Your Debts'!$C$5:$C$12,'Your Debts'!$G$5)/12)),2)</f>
        <v/>
      </c>
      <c r="G13" s="28">
        <f>MIN((I12)+F13,IF('Your Debts'!$G$5=0,0,INDEX('Your Debts'!$D$5:$D$12,'Your Debts'!$G$5)))</f>
        <v/>
      </c>
      <c r="H13" s="28">
        <f>G13+MIN((I12)+F13-G13,MAX(0,$E13-(0)))</f>
        <v/>
      </c>
      <c r="I13" s="28">
        <f>ROUND(MAX(0,(I12)+F13-H13),2)</f>
        <v/>
      </c>
      <c r="J13" s="28">
        <f>ROUND((M12)*(IF('Your Debts'!$G$6=0,0,INDEX('Your Debts'!$C$5:$C$12,'Your Debts'!$G$6)/12)),2)</f>
        <v/>
      </c>
      <c r="K13" s="28">
        <f>MIN((M12)+J13,IF('Your Debts'!$G$6=0,0,INDEX('Your Debts'!$D$5:$D$12,'Your Debts'!$G$6)))</f>
        <v/>
      </c>
      <c r="L13" s="28">
        <f>K13+MIN((M12)+J13-K13,MAX(0,$E13-((H13-G13))))</f>
        <v/>
      </c>
      <c r="M13" s="28">
        <f>ROUND(MAX(0,(M12)+J13-L13),2)</f>
        <v/>
      </c>
      <c r="N13" s="28">
        <f>ROUND((Q12)*(IF('Your Debts'!$G$7=0,0,INDEX('Your Debts'!$C$5:$C$12,'Your Debts'!$G$7)/12)),2)</f>
        <v/>
      </c>
      <c r="O13" s="28">
        <f>MIN((Q12)+N13,IF('Your Debts'!$G$7=0,0,INDEX('Your Debts'!$D$5:$D$12,'Your Debts'!$G$7)))</f>
        <v/>
      </c>
      <c r="P13" s="28">
        <f>O13+MIN((Q12)+N13-O13,MAX(0,$E13-((H13-G13)+(L13-K13))))</f>
        <v/>
      </c>
      <c r="Q13" s="28">
        <f>ROUND(MAX(0,(Q12)+N13-P13),2)</f>
        <v/>
      </c>
      <c r="R13" s="28">
        <f>ROUND((U12)*(IF('Your Debts'!$G$8=0,0,INDEX('Your Debts'!$C$5:$C$12,'Your Debts'!$G$8)/12)),2)</f>
        <v/>
      </c>
      <c r="S13" s="28">
        <f>MIN((U12)+R13,IF('Your Debts'!$G$8=0,0,INDEX('Your Debts'!$D$5:$D$12,'Your Debts'!$G$8)))</f>
        <v/>
      </c>
      <c r="T13" s="28">
        <f>S13+MIN((U12)+R13-S13,MAX(0,$E13-((H13-G13)+(L13-K13)+(P13-O13))))</f>
        <v/>
      </c>
      <c r="U13" s="28">
        <f>ROUND(MAX(0,(U12)+R13-T13),2)</f>
        <v/>
      </c>
      <c r="V13" s="28">
        <f>ROUND((Y12)*(IF('Your Debts'!$G$9=0,0,INDEX('Your Debts'!$C$5:$C$12,'Your Debts'!$G$9)/12)),2)</f>
        <v/>
      </c>
      <c r="W13" s="28">
        <f>MIN((Y12)+V13,IF('Your Debts'!$G$9=0,0,INDEX('Your Debts'!$D$5:$D$12,'Your Debts'!$G$9)))</f>
        <v/>
      </c>
      <c r="X13" s="28">
        <f>W13+MIN((Y12)+V13-W13,MAX(0,$E13-((H13-G13)+(L13-K13)+(P13-O13)+(T13-S13))))</f>
        <v/>
      </c>
      <c r="Y13" s="28">
        <f>ROUND(MAX(0,(Y12)+V13-X13),2)</f>
        <v/>
      </c>
      <c r="Z13" s="28">
        <f>ROUND((AC12)*(IF('Your Debts'!$G$10=0,0,INDEX('Your Debts'!$C$5:$C$12,'Your Debts'!$G$10)/12)),2)</f>
        <v/>
      </c>
      <c r="AA13" s="28">
        <f>MIN((AC12)+Z13,IF('Your Debts'!$G$10=0,0,INDEX('Your Debts'!$D$5:$D$12,'Your Debts'!$G$10)))</f>
        <v/>
      </c>
      <c r="AB13" s="28">
        <f>AA13+MIN((AC12)+Z13-AA13,MAX(0,$E13-((H13-G13)+(L13-K13)+(P13-O13)+(T13-S13)+(X13-W13))))</f>
        <v/>
      </c>
      <c r="AC13" s="28">
        <f>ROUND(MAX(0,(AC12)+Z13-AB13),2)</f>
        <v/>
      </c>
      <c r="AD13" s="28">
        <f>ROUND((AG12)*(IF('Your Debts'!$G$11=0,0,INDEX('Your Debts'!$C$5:$C$12,'Your Debts'!$G$11)/12)),2)</f>
        <v/>
      </c>
      <c r="AE13" s="28">
        <f>MIN((AG12)+AD13,IF('Your Debts'!$G$11=0,0,INDEX('Your Debts'!$D$5:$D$12,'Your Debts'!$G$11)))</f>
        <v/>
      </c>
      <c r="AF13" s="28">
        <f>AE13+MIN((AG12)+AD13-AE13,MAX(0,$E13-((H13-G13)+(L13-K13)+(P13-O13)+(T13-S13)+(X13-W13)+(AB13-AA13))))</f>
        <v/>
      </c>
      <c r="AG13" s="28">
        <f>ROUND(MAX(0,(AG12)+AD13-AF13),2)</f>
        <v/>
      </c>
      <c r="AH13" s="28">
        <f>ROUND((AK12)*(IF('Your Debts'!$G$12=0,0,INDEX('Your Debts'!$C$5:$C$12,'Your Debts'!$G$12)/12)),2)</f>
        <v/>
      </c>
      <c r="AI13" s="28">
        <f>MIN((AK12)+AH13,IF('Your Debts'!$G$12=0,0,INDEX('Your Debts'!$D$5:$D$12,'Your Debts'!$G$12)))</f>
        <v/>
      </c>
      <c r="AJ13" s="28">
        <f>AI13+MIN((AK12)+AH13-AI13,MAX(0,$E13-((H13-G13)+(L13-K13)+(P13-O13)+(T13-S13)+(X13-W13)+(AB13-AA13)+(AF13-AE13))))</f>
        <v/>
      </c>
      <c r="AK13" s="28">
        <f>ROUND(MAX(0,(AK12)+AH13-AJ13),2)</f>
        <v/>
      </c>
      <c r="AL13" s="18">
        <f>I13+M13+Q13+U13+Y13+AC13+AG13+AK13</f>
        <v/>
      </c>
      <c r="AM13" s="27">
        <f>AM12+F13+J13+N13+R13+V13+Z13+AD13+AH13</f>
        <v/>
      </c>
    </row>
    <row r="14">
      <c r="A14" s="25" t="n">
        <v>9</v>
      </c>
      <c r="B14" s="26">
        <f>EDATE('Your Debts'!$B$19,8)</f>
        <v/>
      </c>
      <c r="C14" s="27">
        <f>'Your Debts'!$B$18</f>
        <v/>
      </c>
      <c r="D14" s="27">
        <f>G14+K14+O14+S14+W14+AA14+AE14+AI14</f>
        <v/>
      </c>
      <c r="E14" s="27">
        <f>MAX(0,C14-D14)</f>
        <v/>
      </c>
      <c r="F14" s="28">
        <f>ROUND((I13)*(IF('Your Debts'!$G$5=0,0,INDEX('Your Debts'!$C$5:$C$12,'Your Debts'!$G$5)/12)),2)</f>
        <v/>
      </c>
      <c r="G14" s="28">
        <f>MIN((I13)+F14,IF('Your Debts'!$G$5=0,0,INDEX('Your Debts'!$D$5:$D$12,'Your Debts'!$G$5)))</f>
        <v/>
      </c>
      <c r="H14" s="28">
        <f>G14+MIN((I13)+F14-G14,MAX(0,$E14-(0)))</f>
        <v/>
      </c>
      <c r="I14" s="28">
        <f>ROUND(MAX(0,(I13)+F14-H14),2)</f>
        <v/>
      </c>
      <c r="J14" s="28">
        <f>ROUND((M13)*(IF('Your Debts'!$G$6=0,0,INDEX('Your Debts'!$C$5:$C$12,'Your Debts'!$G$6)/12)),2)</f>
        <v/>
      </c>
      <c r="K14" s="28">
        <f>MIN((M13)+J14,IF('Your Debts'!$G$6=0,0,INDEX('Your Debts'!$D$5:$D$12,'Your Debts'!$G$6)))</f>
        <v/>
      </c>
      <c r="L14" s="28">
        <f>K14+MIN((M13)+J14-K14,MAX(0,$E14-((H14-G14))))</f>
        <v/>
      </c>
      <c r="M14" s="28">
        <f>ROUND(MAX(0,(M13)+J14-L14),2)</f>
        <v/>
      </c>
      <c r="N14" s="28">
        <f>ROUND((Q13)*(IF('Your Debts'!$G$7=0,0,INDEX('Your Debts'!$C$5:$C$12,'Your Debts'!$G$7)/12)),2)</f>
        <v/>
      </c>
      <c r="O14" s="28">
        <f>MIN((Q13)+N14,IF('Your Debts'!$G$7=0,0,INDEX('Your Debts'!$D$5:$D$12,'Your Debts'!$G$7)))</f>
        <v/>
      </c>
      <c r="P14" s="28">
        <f>O14+MIN((Q13)+N14-O14,MAX(0,$E14-((H14-G14)+(L14-K14))))</f>
        <v/>
      </c>
      <c r="Q14" s="28">
        <f>ROUND(MAX(0,(Q13)+N14-P14),2)</f>
        <v/>
      </c>
      <c r="R14" s="28">
        <f>ROUND((U13)*(IF('Your Debts'!$G$8=0,0,INDEX('Your Debts'!$C$5:$C$12,'Your Debts'!$G$8)/12)),2)</f>
        <v/>
      </c>
      <c r="S14" s="28">
        <f>MIN((U13)+R14,IF('Your Debts'!$G$8=0,0,INDEX('Your Debts'!$D$5:$D$12,'Your Debts'!$G$8)))</f>
        <v/>
      </c>
      <c r="T14" s="28">
        <f>S14+MIN((U13)+R14-S14,MAX(0,$E14-((H14-G14)+(L14-K14)+(P14-O14))))</f>
        <v/>
      </c>
      <c r="U14" s="28">
        <f>ROUND(MAX(0,(U13)+R14-T14),2)</f>
        <v/>
      </c>
      <c r="V14" s="28">
        <f>ROUND((Y13)*(IF('Your Debts'!$G$9=0,0,INDEX('Your Debts'!$C$5:$C$12,'Your Debts'!$G$9)/12)),2)</f>
        <v/>
      </c>
      <c r="W14" s="28">
        <f>MIN((Y13)+V14,IF('Your Debts'!$G$9=0,0,INDEX('Your Debts'!$D$5:$D$12,'Your Debts'!$G$9)))</f>
        <v/>
      </c>
      <c r="X14" s="28">
        <f>W14+MIN((Y13)+V14-W14,MAX(0,$E14-((H14-G14)+(L14-K14)+(P14-O14)+(T14-S14))))</f>
        <v/>
      </c>
      <c r="Y14" s="28">
        <f>ROUND(MAX(0,(Y13)+V14-X14),2)</f>
        <v/>
      </c>
      <c r="Z14" s="28">
        <f>ROUND((AC13)*(IF('Your Debts'!$G$10=0,0,INDEX('Your Debts'!$C$5:$C$12,'Your Debts'!$G$10)/12)),2)</f>
        <v/>
      </c>
      <c r="AA14" s="28">
        <f>MIN((AC13)+Z14,IF('Your Debts'!$G$10=0,0,INDEX('Your Debts'!$D$5:$D$12,'Your Debts'!$G$10)))</f>
        <v/>
      </c>
      <c r="AB14" s="28">
        <f>AA14+MIN((AC13)+Z14-AA14,MAX(0,$E14-((H14-G14)+(L14-K14)+(P14-O14)+(T14-S14)+(X14-W14))))</f>
        <v/>
      </c>
      <c r="AC14" s="28">
        <f>ROUND(MAX(0,(AC13)+Z14-AB14),2)</f>
        <v/>
      </c>
      <c r="AD14" s="28">
        <f>ROUND((AG13)*(IF('Your Debts'!$G$11=0,0,INDEX('Your Debts'!$C$5:$C$12,'Your Debts'!$G$11)/12)),2)</f>
        <v/>
      </c>
      <c r="AE14" s="28">
        <f>MIN((AG13)+AD14,IF('Your Debts'!$G$11=0,0,INDEX('Your Debts'!$D$5:$D$12,'Your Debts'!$G$11)))</f>
        <v/>
      </c>
      <c r="AF14" s="28">
        <f>AE14+MIN((AG13)+AD14-AE14,MAX(0,$E14-((H14-G14)+(L14-K14)+(P14-O14)+(T14-S14)+(X14-W14)+(AB14-AA14))))</f>
        <v/>
      </c>
      <c r="AG14" s="28">
        <f>ROUND(MAX(0,(AG13)+AD14-AF14),2)</f>
        <v/>
      </c>
      <c r="AH14" s="28">
        <f>ROUND((AK13)*(IF('Your Debts'!$G$12=0,0,INDEX('Your Debts'!$C$5:$C$12,'Your Debts'!$G$12)/12)),2)</f>
        <v/>
      </c>
      <c r="AI14" s="28">
        <f>MIN((AK13)+AH14,IF('Your Debts'!$G$12=0,0,INDEX('Your Debts'!$D$5:$D$12,'Your Debts'!$G$12)))</f>
        <v/>
      </c>
      <c r="AJ14" s="28">
        <f>AI14+MIN((AK13)+AH14-AI14,MAX(0,$E14-((H14-G14)+(L14-K14)+(P14-O14)+(T14-S14)+(X14-W14)+(AB14-AA14)+(AF14-AE14))))</f>
        <v/>
      </c>
      <c r="AK14" s="28">
        <f>ROUND(MAX(0,(AK13)+AH14-AJ14),2)</f>
        <v/>
      </c>
      <c r="AL14" s="18">
        <f>I14+M14+Q14+U14+Y14+AC14+AG14+AK14</f>
        <v/>
      </c>
      <c r="AM14" s="27">
        <f>AM13+F14+J14+N14+R14+V14+Z14+AD14+AH14</f>
        <v/>
      </c>
    </row>
    <row r="15">
      <c r="A15" s="25" t="n">
        <v>10</v>
      </c>
      <c r="B15" s="26">
        <f>EDATE('Your Debts'!$B$19,9)</f>
        <v/>
      </c>
      <c r="C15" s="27">
        <f>'Your Debts'!$B$18</f>
        <v/>
      </c>
      <c r="D15" s="27">
        <f>G15+K15+O15+S15+W15+AA15+AE15+AI15</f>
        <v/>
      </c>
      <c r="E15" s="27">
        <f>MAX(0,C15-D15)</f>
        <v/>
      </c>
      <c r="F15" s="28">
        <f>ROUND((I14)*(IF('Your Debts'!$G$5=0,0,INDEX('Your Debts'!$C$5:$C$12,'Your Debts'!$G$5)/12)),2)</f>
        <v/>
      </c>
      <c r="G15" s="28">
        <f>MIN((I14)+F15,IF('Your Debts'!$G$5=0,0,INDEX('Your Debts'!$D$5:$D$12,'Your Debts'!$G$5)))</f>
        <v/>
      </c>
      <c r="H15" s="28">
        <f>G15+MIN((I14)+F15-G15,MAX(0,$E15-(0)))</f>
        <v/>
      </c>
      <c r="I15" s="28">
        <f>ROUND(MAX(0,(I14)+F15-H15),2)</f>
        <v/>
      </c>
      <c r="J15" s="28">
        <f>ROUND((M14)*(IF('Your Debts'!$G$6=0,0,INDEX('Your Debts'!$C$5:$C$12,'Your Debts'!$G$6)/12)),2)</f>
        <v/>
      </c>
      <c r="K15" s="28">
        <f>MIN((M14)+J15,IF('Your Debts'!$G$6=0,0,INDEX('Your Debts'!$D$5:$D$12,'Your Debts'!$G$6)))</f>
        <v/>
      </c>
      <c r="L15" s="28">
        <f>K15+MIN((M14)+J15-K15,MAX(0,$E15-((H15-G15))))</f>
        <v/>
      </c>
      <c r="M15" s="28">
        <f>ROUND(MAX(0,(M14)+J15-L15),2)</f>
        <v/>
      </c>
      <c r="N15" s="28">
        <f>ROUND((Q14)*(IF('Your Debts'!$G$7=0,0,INDEX('Your Debts'!$C$5:$C$12,'Your Debts'!$G$7)/12)),2)</f>
        <v/>
      </c>
      <c r="O15" s="28">
        <f>MIN((Q14)+N15,IF('Your Debts'!$G$7=0,0,INDEX('Your Debts'!$D$5:$D$12,'Your Debts'!$G$7)))</f>
        <v/>
      </c>
      <c r="P15" s="28">
        <f>O15+MIN((Q14)+N15-O15,MAX(0,$E15-((H15-G15)+(L15-K15))))</f>
        <v/>
      </c>
      <c r="Q15" s="28">
        <f>ROUND(MAX(0,(Q14)+N15-P15),2)</f>
        <v/>
      </c>
      <c r="R15" s="28">
        <f>ROUND((U14)*(IF('Your Debts'!$G$8=0,0,INDEX('Your Debts'!$C$5:$C$12,'Your Debts'!$G$8)/12)),2)</f>
        <v/>
      </c>
      <c r="S15" s="28">
        <f>MIN((U14)+R15,IF('Your Debts'!$G$8=0,0,INDEX('Your Debts'!$D$5:$D$12,'Your Debts'!$G$8)))</f>
        <v/>
      </c>
      <c r="T15" s="28">
        <f>S15+MIN((U14)+R15-S15,MAX(0,$E15-((H15-G15)+(L15-K15)+(P15-O15))))</f>
        <v/>
      </c>
      <c r="U15" s="28">
        <f>ROUND(MAX(0,(U14)+R15-T15),2)</f>
        <v/>
      </c>
      <c r="V15" s="28">
        <f>ROUND((Y14)*(IF('Your Debts'!$G$9=0,0,INDEX('Your Debts'!$C$5:$C$12,'Your Debts'!$G$9)/12)),2)</f>
        <v/>
      </c>
      <c r="W15" s="28">
        <f>MIN((Y14)+V15,IF('Your Debts'!$G$9=0,0,INDEX('Your Debts'!$D$5:$D$12,'Your Debts'!$G$9)))</f>
        <v/>
      </c>
      <c r="X15" s="28">
        <f>W15+MIN((Y14)+V15-W15,MAX(0,$E15-((H15-G15)+(L15-K15)+(P15-O15)+(T15-S15))))</f>
        <v/>
      </c>
      <c r="Y15" s="28">
        <f>ROUND(MAX(0,(Y14)+V15-X15),2)</f>
        <v/>
      </c>
      <c r="Z15" s="28">
        <f>ROUND((AC14)*(IF('Your Debts'!$G$10=0,0,INDEX('Your Debts'!$C$5:$C$12,'Your Debts'!$G$10)/12)),2)</f>
        <v/>
      </c>
      <c r="AA15" s="28">
        <f>MIN((AC14)+Z15,IF('Your Debts'!$G$10=0,0,INDEX('Your Debts'!$D$5:$D$12,'Your Debts'!$G$10)))</f>
        <v/>
      </c>
      <c r="AB15" s="28">
        <f>AA15+MIN((AC14)+Z15-AA15,MAX(0,$E15-((H15-G15)+(L15-K15)+(P15-O15)+(T15-S15)+(X15-W15))))</f>
        <v/>
      </c>
      <c r="AC15" s="28">
        <f>ROUND(MAX(0,(AC14)+Z15-AB15),2)</f>
        <v/>
      </c>
      <c r="AD15" s="28">
        <f>ROUND((AG14)*(IF('Your Debts'!$G$11=0,0,INDEX('Your Debts'!$C$5:$C$12,'Your Debts'!$G$11)/12)),2)</f>
        <v/>
      </c>
      <c r="AE15" s="28">
        <f>MIN((AG14)+AD15,IF('Your Debts'!$G$11=0,0,INDEX('Your Debts'!$D$5:$D$12,'Your Debts'!$G$11)))</f>
        <v/>
      </c>
      <c r="AF15" s="28">
        <f>AE15+MIN((AG14)+AD15-AE15,MAX(0,$E15-((H15-G15)+(L15-K15)+(P15-O15)+(T15-S15)+(X15-W15)+(AB15-AA15))))</f>
        <v/>
      </c>
      <c r="AG15" s="28">
        <f>ROUND(MAX(0,(AG14)+AD15-AF15),2)</f>
        <v/>
      </c>
      <c r="AH15" s="28">
        <f>ROUND((AK14)*(IF('Your Debts'!$G$12=0,0,INDEX('Your Debts'!$C$5:$C$12,'Your Debts'!$G$12)/12)),2)</f>
        <v/>
      </c>
      <c r="AI15" s="28">
        <f>MIN((AK14)+AH15,IF('Your Debts'!$G$12=0,0,INDEX('Your Debts'!$D$5:$D$12,'Your Debts'!$G$12)))</f>
        <v/>
      </c>
      <c r="AJ15" s="28">
        <f>AI15+MIN((AK14)+AH15-AI15,MAX(0,$E15-((H15-G15)+(L15-K15)+(P15-O15)+(T15-S15)+(X15-W15)+(AB15-AA15)+(AF15-AE15))))</f>
        <v/>
      </c>
      <c r="AK15" s="28">
        <f>ROUND(MAX(0,(AK14)+AH15-AJ15),2)</f>
        <v/>
      </c>
      <c r="AL15" s="18">
        <f>I15+M15+Q15+U15+Y15+AC15+AG15+AK15</f>
        <v/>
      </c>
      <c r="AM15" s="27">
        <f>AM14+F15+J15+N15+R15+V15+Z15+AD15+AH15</f>
        <v/>
      </c>
    </row>
    <row r="16">
      <c r="A16" s="25" t="n">
        <v>11</v>
      </c>
      <c r="B16" s="26">
        <f>EDATE('Your Debts'!$B$19,10)</f>
        <v/>
      </c>
      <c r="C16" s="27">
        <f>'Your Debts'!$B$18</f>
        <v/>
      </c>
      <c r="D16" s="27">
        <f>G16+K16+O16+S16+W16+AA16+AE16+AI16</f>
        <v/>
      </c>
      <c r="E16" s="27">
        <f>MAX(0,C16-D16)</f>
        <v/>
      </c>
      <c r="F16" s="28">
        <f>ROUND((I15)*(IF('Your Debts'!$G$5=0,0,INDEX('Your Debts'!$C$5:$C$12,'Your Debts'!$G$5)/12)),2)</f>
        <v/>
      </c>
      <c r="G16" s="28">
        <f>MIN((I15)+F16,IF('Your Debts'!$G$5=0,0,INDEX('Your Debts'!$D$5:$D$12,'Your Debts'!$G$5)))</f>
        <v/>
      </c>
      <c r="H16" s="28">
        <f>G16+MIN((I15)+F16-G16,MAX(0,$E16-(0)))</f>
        <v/>
      </c>
      <c r="I16" s="28">
        <f>ROUND(MAX(0,(I15)+F16-H16),2)</f>
        <v/>
      </c>
      <c r="J16" s="28">
        <f>ROUND((M15)*(IF('Your Debts'!$G$6=0,0,INDEX('Your Debts'!$C$5:$C$12,'Your Debts'!$G$6)/12)),2)</f>
        <v/>
      </c>
      <c r="K16" s="28">
        <f>MIN((M15)+J16,IF('Your Debts'!$G$6=0,0,INDEX('Your Debts'!$D$5:$D$12,'Your Debts'!$G$6)))</f>
        <v/>
      </c>
      <c r="L16" s="28">
        <f>K16+MIN((M15)+J16-K16,MAX(0,$E16-((H16-G16))))</f>
        <v/>
      </c>
      <c r="M16" s="28">
        <f>ROUND(MAX(0,(M15)+J16-L16),2)</f>
        <v/>
      </c>
      <c r="N16" s="28">
        <f>ROUND((Q15)*(IF('Your Debts'!$G$7=0,0,INDEX('Your Debts'!$C$5:$C$12,'Your Debts'!$G$7)/12)),2)</f>
        <v/>
      </c>
      <c r="O16" s="28">
        <f>MIN((Q15)+N16,IF('Your Debts'!$G$7=0,0,INDEX('Your Debts'!$D$5:$D$12,'Your Debts'!$G$7)))</f>
        <v/>
      </c>
      <c r="P16" s="28">
        <f>O16+MIN((Q15)+N16-O16,MAX(0,$E16-((H16-G16)+(L16-K16))))</f>
        <v/>
      </c>
      <c r="Q16" s="28">
        <f>ROUND(MAX(0,(Q15)+N16-P16),2)</f>
        <v/>
      </c>
      <c r="R16" s="28">
        <f>ROUND((U15)*(IF('Your Debts'!$G$8=0,0,INDEX('Your Debts'!$C$5:$C$12,'Your Debts'!$G$8)/12)),2)</f>
        <v/>
      </c>
      <c r="S16" s="28">
        <f>MIN((U15)+R16,IF('Your Debts'!$G$8=0,0,INDEX('Your Debts'!$D$5:$D$12,'Your Debts'!$G$8)))</f>
        <v/>
      </c>
      <c r="T16" s="28">
        <f>S16+MIN((U15)+R16-S16,MAX(0,$E16-((H16-G16)+(L16-K16)+(P16-O16))))</f>
        <v/>
      </c>
      <c r="U16" s="28">
        <f>ROUND(MAX(0,(U15)+R16-T16),2)</f>
        <v/>
      </c>
      <c r="V16" s="28">
        <f>ROUND((Y15)*(IF('Your Debts'!$G$9=0,0,INDEX('Your Debts'!$C$5:$C$12,'Your Debts'!$G$9)/12)),2)</f>
        <v/>
      </c>
      <c r="W16" s="28">
        <f>MIN((Y15)+V16,IF('Your Debts'!$G$9=0,0,INDEX('Your Debts'!$D$5:$D$12,'Your Debts'!$G$9)))</f>
        <v/>
      </c>
      <c r="X16" s="28">
        <f>W16+MIN((Y15)+V16-W16,MAX(0,$E16-((H16-G16)+(L16-K16)+(P16-O16)+(T16-S16))))</f>
        <v/>
      </c>
      <c r="Y16" s="28">
        <f>ROUND(MAX(0,(Y15)+V16-X16),2)</f>
        <v/>
      </c>
      <c r="Z16" s="28">
        <f>ROUND((AC15)*(IF('Your Debts'!$G$10=0,0,INDEX('Your Debts'!$C$5:$C$12,'Your Debts'!$G$10)/12)),2)</f>
        <v/>
      </c>
      <c r="AA16" s="28">
        <f>MIN((AC15)+Z16,IF('Your Debts'!$G$10=0,0,INDEX('Your Debts'!$D$5:$D$12,'Your Debts'!$G$10)))</f>
        <v/>
      </c>
      <c r="AB16" s="28">
        <f>AA16+MIN((AC15)+Z16-AA16,MAX(0,$E16-((H16-G16)+(L16-K16)+(P16-O16)+(T16-S16)+(X16-W16))))</f>
        <v/>
      </c>
      <c r="AC16" s="28">
        <f>ROUND(MAX(0,(AC15)+Z16-AB16),2)</f>
        <v/>
      </c>
      <c r="AD16" s="28">
        <f>ROUND((AG15)*(IF('Your Debts'!$G$11=0,0,INDEX('Your Debts'!$C$5:$C$12,'Your Debts'!$G$11)/12)),2)</f>
        <v/>
      </c>
      <c r="AE16" s="28">
        <f>MIN((AG15)+AD16,IF('Your Debts'!$G$11=0,0,INDEX('Your Debts'!$D$5:$D$12,'Your Debts'!$G$11)))</f>
        <v/>
      </c>
      <c r="AF16" s="28">
        <f>AE16+MIN((AG15)+AD16-AE16,MAX(0,$E16-((H16-G16)+(L16-K16)+(P16-O16)+(T16-S16)+(X16-W16)+(AB16-AA16))))</f>
        <v/>
      </c>
      <c r="AG16" s="28">
        <f>ROUND(MAX(0,(AG15)+AD16-AF16),2)</f>
        <v/>
      </c>
      <c r="AH16" s="28">
        <f>ROUND((AK15)*(IF('Your Debts'!$G$12=0,0,INDEX('Your Debts'!$C$5:$C$12,'Your Debts'!$G$12)/12)),2)</f>
        <v/>
      </c>
      <c r="AI16" s="28">
        <f>MIN((AK15)+AH16,IF('Your Debts'!$G$12=0,0,INDEX('Your Debts'!$D$5:$D$12,'Your Debts'!$G$12)))</f>
        <v/>
      </c>
      <c r="AJ16" s="28">
        <f>AI16+MIN((AK15)+AH16-AI16,MAX(0,$E16-((H16-G16)+(L16-K16)+(P16-O16)+(T16-S16)+(X16-W16)+(AB16-AA16)+(AF16-AE16))))</f>
        <v/>
      </c>
      <c r="AK16" s="28">
        <f>ROUND(MAX(0,(AK15)+AH16-AJ16),2)</f>
        <v/>
      </c>
      <c r="AL16" s="18">
        <f>I16+M16+Q16+U16+Y16+AC16+AG16+AK16</f>
        <v/>
      </c>
      <c r="AM16" s="27">
        <f>AM15+F16+J16+N16+R16+V16+Z16+AD16+AH16</f>
        <v/>
      </c>
    </row>
    <row r="17">
      <c r="A17" s="25" t="n">
        <v>12</v>
      </c>
      <c r="B17" s="26">
        <f>EDATE('Your Debts'!$B$19,11)</f>
        <v/>
      </c>
      <c r="C17" s="27">
        <f>'Your Debts'!$B$18</f>
        <v/>
      </c>
      <c r="D17" s="27">
        <f>G17+K17+O17+S17+W17+AA17+AE17+AI17</f>
        <v/>
      </c>
      <c r="E17" s="27">
        <f>MAX(0,C17-D17)</f>
        <v/>
      </c>
      <c r="F17" s="28">
        <f>ROUND((I16)*(IF('Your Debts'!$G$5=0,0,INDEX('Your Debts'!$C$5:$C$12,'Your Debts'!$G$5)/12)),2)</f>
        <v/>
      </c>
      <c r="G17" s="28">
        <f>MIN((I16)+F17,IF('Your Debts'!$G$5=0,0,INDEX('Your Debts'!$D$5:$D$12,'Your Debts'!$G$5)))</f>
        <v/>
      </c>
      <c r="H17" s="28">
        <f>G17+MIN((I16)+F17-G17,MAX(0,$E17-(0)))</f>
        <v/>
      </c>
      <c r="I17" s="28">
        <f>ROUND(MAX(0,(I16)+F17-H17),2)</f>
        <v/>
      </c>
      <c r="J17" s="28">
        <f>ROUND((M16)*(IF('Your Debts'!$G$6=0,0,INDEX('Your Debts'!$C$5:$C$12,'Your Debts'!$G$6)/12)),2)</f>
        <v/>
      </c>
      <c r="K17" s="28">
        <f>MIN((M16)+J17,IF('Your Debts'!$G$6=0,0,INDEX('Your Debts'!$D$5:$D$12,'Your Debts'!$G$6)))</f>
        <v/>
      </c>
      <c r="L17" s="28">
        <f>K17+MIN((M16)+J17-K17,MAX(0,$E17-((H17-G17))))</f>
        <v/>
      </c>
      <c r="M17" s="28">
        <f>ROUND(MAX(0,(M16)+J17-L17),2)</f>
        <v/>
      </c>
      <c r="N17" s="28">
        <f>ROUND((Q16)*(IF('Your Debts'!$G$7=0,0,INDEX('Your Debts'!$C$5:$C$12,'Your Debts'!$G$7)/12)),2)</f>
        <v/>
      </c>
      <c r="O17" s="28">
        <f>MIN((Q16)+N17,IF('Your Debts'!$G$7=0,0,INDEX('Your Debts'!$D$5:$D$12,'Your Debts'!$G$7)))</f>
        <v/>
      </c>
      <c r="P17" s="28">
        <f>O17+MIN((Q16)+N17-O17,MAX(0,$E17-((H17-G17)+(L17-K17))))</f>
        <v/>
      </c>
      <c r="Q17" s="28">
        <f>ROUND(MAX(0,(Q16)+N17-P17),2)</f>
        <v/>
      </c>
      <c r="R17" s="28">
        <f>ROUND((U16)*(IF('Your Debts'!$G$8=0,0,INDEX('Your Debts'!$C$5:$C$12,'Your Debts'!$G$8)/12)),2)</f>
        <v/>
      </c>
      <c r="S17" s="28">
        <f>MIN((U16)+R17,IF('Your Debts'!$G$8=0,0,INDEX('Your Debts'!$D$5:$D$12,'Your Debts'!$G$8)))</f>
        <v/>
      </c>
      <c r="T17" s="28">
        <f>S17+MIN((U16)+R17-S17,MAX(0,$E17-((H17-G17)+(L17-K17)+(P17-O17))))</f>
        <v/>
      </c>
      <c r="U17" s="28">
        <f>ROUND(MAX(0,(U16)+R17-T17),2)</f>
        <v/>
      </c>
      <c r="V17" s="28">
        <f>ROUND((Y16)*(IF('Your Debts'!$G$9=0,0,INDEX('Your Debts'!$C$5:$C$12,'Your Debts'!$G$9)/12)),2)</f>
        <v/>
      </c>
      <c r="W17" s="28">
        <f>MIN((Y16)+V17,IF('Your Debts'!$G$9=0,0,INDEX('Your Debts'!$D$5:$D$12,'Your Debts'!$G$9)))</f>
        <v/>
      </c>
      <c r="X17" s="28">
        <f>W17+MIN((Y16)+V17-W17,MAX(0,$E17-((H17-G17)+(L17-K17)+(P17-O17)+(T17-S17))))</f>
        <v/>
      </c>
      <c r="Y17" s="28">
        <f>ROUND(MAX(0,(Y16)+V17-X17),2)</f>
        <v/>
      </c>
      <c r="Z17" s="28">
        <f>ROUND((AC16)*(IF('Your Debts'!$G$10=0,0,INDEX('Your Debts'!$C$5:$C$12,'Your Debts'!$G$10)/12)),2)</f>
        <v/>
      </c>
      <c r="AA17" s="28">
        <f>MIN((AC16)+Z17,IF('Your Debts'!$G$10=0,0,INDEX('Your Debts'!$D$5:$D$12,'Your Debts'!$G$10)))</f>
        <v/>
      </c>
      <c r="AB17" s="28">
        <f>AA17+MIN((AC16)+Z17-AA17,MAX(0,$E17-((H17-G17)+(L17-K17)+(P17-O17)+(T17-S17)+(X17-W17))))</f>
        <v/>
      </c>
      <c r="AC17" s="28">
        <f>ROUND(MAX(0,(AC16)+Z17-AB17),2)</f>
        <v/>
      </c>
      <c r="AD17" s="28">
        <f>ROUND((AG16)*(IF('Your Debts'!$G$11=0,0,INDEX('Your Debts'!$C$5:$C$12,'Your Debts'!$G$11)/12)),2)</f>
        <v/>
      </c>
      <c r="AE17" s="28">
        <f>MIN((AG16)+AD17,IF('Your Debts'!$G$11=0,0,INDEX('Your Debts'!$D$5:$D$12,'Your Debts'!$G$11)))</f>
        <v/>
      </c>
      <c r="AF17" s="28">
        <f>AE17+MIN((AG16)+AD17-AE17,MAX(0,$E17-((H17-G17)+(L17-K17)+(P17-O17)+(T17-S17)+(X17-W17)+(AB17-AA17))))</f>
        <v/>
      </c>
      <c r="AG17" s="28">
        <f>ROUND(MAX(0,(AG16)+AD17-AF17),2)</f>
        <v/>
      </c>
      <c r="AH17" s="28">
        <f>ROUND((AK16)*(IF('Your Debts'!$G$12=0,0,INDEX('Your Debts'!$C$5:$C$12,'Your Debts'!$G$12)/12)),2)</f>
        <v/>
      </c>
      <c r="AI17" s="28">
        <f>MIN((AK16)+AH17,IF('Your Debts'!$G$12=0,0,INDEX('Your Debts'!$D$5:$D$12,'Your Debts'!$G$12)))</f>
        <v/>
      </c>
      <c r="AJ17" s="28">
        <f>AI17+MIN((AK16)+AH17-AI17,MAX(0,$E17-((H17-G17)+(L17-K17)+(P17-O17)+(T17-S17)+(X17-W17)+(AB17-AA17)+(AF17-AE17))))</f>
        <v/>
      </c>
      <c r="AK17" s="28">
        <f>ROUND(MAX(0,(AK16)+AH17-AJ17),2)</f>
        <v/>
      </c>
      <c r="AL17" s="18">
        <f>I17+M17+Q17+U17+Y17+AC17+AG17+AK17</f>
        <v/>
      </c>
      <c r="AM17" s="27">
        <f>AM16+F17+J17+N17+R17+V17+Z17+AD17+AH17</f>
        <v/>
      </c>
    </row>
    <row r="18">
      <c r="A18" s="25" t="n">
        <v>13</v>
      </c>
      <c r="B18" s="26">
        <f>EDATE('Your Debts'!$B$19,12)</f>
        <v/>
      </c>
      <c r="C18" s="27">
        <f>'Your Debts'!$B$18</f>
        <v/>
      </c>
      <c r="D18" s="27">
        <f>G18+K18+O18+S18+W18+AA18+AE18+AI18</f>
        <v/>
      </c>
      <c r="E18" s="27">
        <f>MAX(0,C18-D18)</f>
        <v/>
      </c>
      <c r="F18" s="28">
        <f>ROUND((I17)*(IF('Your Debts'!$G$5=0,0,INDEX('Your Debts'!$C$5:$C$12,'Your Debts'!$G$5)/12)),2)</f>
        <v/>
      </c>
      <c r="G18" s="28">
        <f>MIN((I17)+F18,IF('Your Debts'!$G$5=0,0,INDEX('Your Debts'!$D$5:$D$12,'Your Debts'!$G$5)))</f>
        <v/>
      </c>
      <c r="H18" s="28">
        <f>G18+MIN((I17)+F18-G18,MAX(0,$E18-(0)))</f>
        <v/>
      </c>
      <c r="I18" s="28">
        <f>ROUND(MAX(0,(I17)+F18-H18),2)</f>
        <v/>
      </c>
      <c r="J18" s="28">
        <f>ROUND((M17)*(IF('Your Debts'!$G$6=0,0,INDEX('Your Debts'!$C$5:$C$12,'Your Debts'!$G$6)/12)),2)</f>
        <v/>
      </c>
      <c r="K18" s="28">
        <f>MIN((M17)+J18,IF('Your Debts'!$G$6=0,0,INDEX('Your Debts'!$D$5:$D$12,'Your Debts'!$G$6)))</f>
        <v/>
      </c>
      <c r="L18" s="28">
        <f>K18+MIN((M17)+J18-K18,MAX(0,$E18-((H18-G18))))</f>
        <v/>
      </c>
      <c r="M18" s="28">
        <f>ROUND(MAX(0,(M17)+J18-L18),2)</f>
        <v/>
      </c>
      <c r="N18" s="28">
        <f>ROUND((Q17)*(IF('Your Debts'!$G$7=0,0,INDEX('Your Debts'!$C$5:$C$12,'Your Debts'!$G$7)/12)),2)</f>
        <v/>
      </c>
      <c r="O18" s="28">
        <f>MIN((Q17)+N18,IF('Your Debts'!$G$7=0,0,INDEX('Your Debts'!$D$5:$D$12,'Your Debts'!$G$7)))</f>
        <v/>
      </c>
      <c r="P18" s="28">
        <f>O18+MIN((Q17)+N18-O18,MAX(0,$E18-((H18-G18)+(L18-K18))))</f>
        <v/>
      </c>
      <c r="Q18" s="28">
        <f>ROUND(MAX(0,(Q17)+N18-P18),2)</f>
        <v/>
      </c>
      <c r="R18" s="28">
        <f>ROUND((U17)*(IF('Your Debts'!$G$8=0,0,INDEX('Your Debts'!$C$5:$C$12,'Your Debts'!$G$8)/12)),2)</f>
        <v/>
      </c>
      <c r="S18" s="28">
        <f>MIN((U17)+R18,IF('Your Debts'!$G$8=0,0,INDEX('Your Debts'!$D$5:$D$12,'Your Debts'!$G$8)))</f>
        <v/>
      </c>
      <c r="T18" s="28">
        <f>S18+MIN((U17)+R18-S18,MAX(0,$E18-((H18-G18)+(L18-K18)+(P18-O18))))</f>
        <v/>
      </c>
      <c r="U18" s="28">
        <f>ROUND(MAX(0,(U17)+R18-T18),2)</f>
        <v/>
      </c>
      <c r="V18" s="28">
        <f>ROUND((Y17)*(IF('Your Debts'!$G$9=0,0,INDEX('Your Debts'!$C$5:$C$12,'Your Debts'!$G$9)/12)),2)</f>
        <v/>
      </c>
      <c r="W18" s="28">
        <f>MIN((Y17)+V18,IF('Your Debts'!$G$9=0,0,INDEX('Your Debts'!$D$5:$D$12,'Your Debts'!$G$9)))</f>
        <v/>
      </c>
      <c r="X18" s="28">
        <f>W18+MIN((Y17)+V18-W18,MAX(0,$E18-((H18-G18)+(L18-K18)+(P18-O18)+(T18-S18))))</f>
        <v/>
      </c>
      <c r="Y18" s="28">
        <f>ROUND(MAX(0,(Y17)+V18-X18),2)</f>
        <v/>
      </c>
      <c r="Z18" s="28">
        <f>ROUND((AC17)*(IF('Your Debts'!$G$10=0,0,INDEX('Your Debts'!$C$5:$C$12,'Your Debts'!$G$10)/12)),2)</f>
        <v/>
      </c>
      <c r="AA18" s="28">
        <f>MIN((AC17)+Z18,IF('Your Debts'!$G$10=0,0,INDEX('Your Debts'!$D$5:$D$12,'Your Debts'!$G$10)))</f>
        <v/>
      </c>
      <c r="AB18" s="28">
        <f>AA18+MIN((AC17)+Z18-AA18,MAX(0,$E18-((H18-G18)+(L18-K18)+(P18-O18)+(T18-S18)+(X18-W18))))</f>
        <v/>
      </c>
      <c r="AC18" s="28">
        <f>ROUND(MAX(0,(AC17)+Z18-AB18),2)</f>
        <v/>
      </c>
      <c r="AD18" s="28">
        <f>ROUND((AG17)*(IF('Your Debts'!$G$11=0,0,INDEX('Your Debts'!$C$5:$C$12,'Your Debts'!$G$11)/12)),2)</f>
        <v/>
      </c>
      <c r="AE18" s="28">
        <f>MIN((AG17)+AD18,IF('Your Debts'!$G$11=0,0,INDEX('Your Debts'!$D$5:$D$12,'Your Debts'!$G$11)))</f>
        <v/>
      </c>
      <c r="AF18" s="28">
        <f>AE18+MIN((AG17)+AD18-AE18,MAX(0,$E18-((H18-G18)+(L18-K18)+(P18-O18)+(T18-S18)+(X18-W18)+(AB18-AA18))))</f>
        <v/>
      </c>
      <c r="AG18" s="28">
        <f>ROUND(MAX(0,(AG17)+AD18-AF18),2)</f>
        <v/>
      </c>
      <c r="AH18" s="28">
        <f>ROUND((AK17)*(IF('Your Debts'!$G$12=0,0,INDEX('Your Debts'!$C$5:$C$12,'Your Debts'!$G$12)/12)),2)</f>
        <v/>
      </c>
      <c r="AI18" s="28">
        <f>MIN((AK17)+AH18,IF('Your Debts'!$G$12=0,0,INDEX('Your Debts'!$D$5:$D$12,'Your Debts'!$G$12)))</f>
        <v/>
      </c>
      <c r="AJ18" s="28">
        <f>AI18+MIN((AK17)+AH18-AI18,MAX(0,$E18-((H18-G18)+(L18-K18)+(P18-O18)+(T18-S18)+(X18-W18)+(AB18-AA18)+(AF18-AE18))))</f>
        <v/>
      </c>
      <c r="AK18" s="28">
        <f>ROUND(MAX(0,(AK17)+AH18-AJ18),2)</f>
        <v/>
      </c>
      <c r="AL18" s="18">
        <f>I18+M18+Q18+U18+Y18+AC18+AG18+AK18</f>
        <v/>
      </c>
      <c r="AM18" s="27">
        <f>AM17+F18+J18+N18+R18+V18+Z18+AD18+AH18</f>
        <v/>
      </c>
    </row>
    <row r="19">
      <c r="A19" s="25" t="n">
        <v>14</v>
      </c>
      <c r="B19" s="26">
        <f>EDATE('Your Debts'!$B$19,13)</f>
        <v/>
      </c>
      <c r="C19" s="27">
        <f>'Your Debts'!$B$18</f>
        <v/>
      </c>
      <c r="D19" s="27">
        <f>G19+K19+O19+S19+W19+AA19+AE19+AI19</f>
        <v/>
      </c>
      <c r="E19" s="27">
        <f>MAX(0,C19-D19)</f>
        <v/>
      </c>
      <c r="F19" s="28">
        <f>ROUND((I18)*(IF('Your Debts'!$G$5=0,0,INDEX('Your Debts'!$C$5:$C$12,'Your Debts'!$G$5)/12)),2)</f>
        <v/>
      </c>
      <c r="G19" s="28">
        <f>MIN((I18)+F19,IF('Your Debts'!$G$5=0,0,INDEX('Your Debts'!$D$5:$D$12,'Your Debts'!$G$5)))</f>
        <v/>
      </c>
      <c r="H19" s="28">
        <f>G19+MIN((I18)+F19-G19,MAX(0,$E19-(0)))</f>
        <v/>
      </c>
      <c r="I19" s="28">
        <f>ROUND(MAX(0,(I18)+F19-H19),2)</f>
        <v/>
      </c>
      <c r="J19" s="28">
        <f>ROUND((M18)*(IF('Your Debts'!$G$6=0,0,INDEX('Your Debts'!$C$5:$C$12,'Your Debts'!$G$6)/12)),2)</f>
        <v/>
      </c>
      <c r="K19" s="28">
        <f>MIN((M18)+J19,IF('Your Debts'!$G$6=0,0,INDEX('Your Debts'!$D$5:$D$12,'Your Debts'!$G$6)))</f>
        <v/>
      </c>
      <c r="L19" s="28">
        <f>K19+MIN((M18)+J19-K19,MAX(0,$E19-((H19-G19))))</f>
        <v/>
      </c>
      <c r="M19" s="28">
        <f>ROUND(MAX(0,(M18)+J19-L19),2)</f>
        <v/>
      </c>
      <c r="N19" s="28">
        <f>ROUND((Q18)*(IF('Your Debts'!$G$7=0,0,INDEX('Your Debts'!$C$5:$C$12,'Your Debts'!$G$7)/12)),2)</f>
        <v/>
      </c>
      <c r="O19" s="28">
        <f>MIN((Q18)+N19,IF('Your Debts'!$G$7=0,0,INDEX('Your Debts'!$D$5:$D$12,'Your Debts'!$G$7)))</f>
        <v/>
      </c>
      <c r="P19" s="28">
        <f>O19+MIN((Q18)+N19-O19,MAX(0,$E19-((H19-G19)+(L19-K19))))</f>
        <v/>
      </c>
      <c r="Q19" s="28">
        <f>ROUND(MAX(0,(Q18)+N19-P19),2)</f>
        <v/>
      </c>
      <c r="R19" s="28">
        <f>ROUND((U18)*(IF('Your Debts'!$G$8=0,0,INDEX('Your Debts'!$C$5:$C$12,'Your Debts'!$G$8)/12)),2)</f>
        <v/>
      </c>
      <c r="S19" s="28">
        <f>MIN((U18)+R19,IF('Your Debts'!$G$8=0,0,INDEX('Your Debts'!$D$5:$D$12,'Your Debts'!$G$8)))</f>
        <v/>
      </c>
      <c r="T19" s="28">
        <f>S19+MIN((U18)+R19-S19,MAX(0,$E19-((H19-G19)+(L19-K19)+(P19-O19))))</f>
        <v/>
      </c>
      <c r="U19" s="28">
        <f>ROUND(MAX(0,(U18)+R19-T19),2)</f>
        <v/>
      </c>
      <c r="V19" s="28">
        <f>ROUND((Y18)*(IF('Your Debts'!$G$9=0,0,INDEX('Your Debts'!$C$5:$C$12,'Your Debts'!$G$9)/12)),2)</f>
        <v/>
      </c>
      <c r="W19" s="28">
        <f>MIN((Y18)+V19,IF('Your Debts'!$G$9=0,0,INDEX('Your Debts'!$D$5:$D$12,'Your Debts'!$G$9)))</f>
        <v/>
      </c>
      <c r="X19" s="28">
        <f>W19+MIN((Y18)+V19-W19,MAX(0,$E19-((H19-G19)+(L19-K19)+(P19-O19)+(T19-S19))))</f>
        <v/>
      </c>
      <c r="Y19" s="28">
        <f>ROUND(MAX(0,(Y18)+V19-X19),2)</f>
        <v/>
      </c>
      <c r="Z19" s="28">
        <f>ROUND((AC18)*(IF('Your Debts'!$G$10=0,0,INDEX('Your Debts'!$C$5:$C$12,'Your Debts'!$G$10)/12)),2)</f>
        <v/>
      </c>
      <c r="AA19" s="28">
        <f>MIN((AC18)+Z19,IF('Your Debts'!$G$10=0,0,INDEX('Your Debts'!$D$5:$D$12,'Your Debts'!$G$10)))</f>
        <v/>
      </c>
      <c r="AB19" s="28">
        <f>AA19+MIN((AC18)+Z19-AA19,MAX(0,$E19-((H19-G19)+(L19-K19)+(P19-O19)+(T19-S19)+(X19-W19))))</f>
        <v/>
      </c>
      <c r="AC19" s="28">
        <f>ROUND(MAX(0,(AC18)+Z19-AB19),2)</f>
        <v/>
      </c>
      <c r="AD19" s="28">
        <f>ROUND((AG18)*(IF('Your Debts'!$G$11=0,0,INDEX('Your Debts'!$C$5:$C$12,'Your Debts'!$G$11)/12)),2)</f>
        <v/>
      </c>
      <c r="AE19" s="28">
        <f>MIN((AG18)+AD19,IF('Your Debts'!$G$11=0,0,INDEX('Your Debts'!$D$5:$D$12,'Your Debts'!$G$11)))</f>
        <v/>
      </c>
      <c r="AF19" s="28">
        <f>AE19+MIN((AG18)+AD19-AE19,MAX(0,$E19-((H19-G19)+(L19-K19)+(P19-O19)+(T19-S19)+(X19-W19)+(AB19-AA19))))</f>
        <v/>
      </c>
      <c r="AG19" s="28">
        <f>ROUND(MAX(0,(AG18)+AD19-AF19),2)</f>
        <v/>
      </c>
      <c r="AH19" s="28">
        <f>ROUND((AK18)*(IF('Your Debts'!$G$12=0,0,INDEX('Your Debts'!$C$5:$C$12,'Your Debts'!$G$12)/12)),2)</f>
        <v/>
      </c>
      <c r="AI19" s="28">
        <f>MIN((AK18)+AH19,IF('Your Debts'!$G$12=0,0,INDEX('Your Debts'!$D$5:$D$12,'Your Debts'!$G$12)))</f>
        <v/>
      </c>
      <c r="AJ19" s="28">
        <f>AI19+MIN((AK18)+AH19-AI19,MAX(0,$E19-((H19-G19)+(L19-K19)+(P19-O19)+(T19-S19)+(X19-W19)+(AB19-AA19)+(AF19-AE19))))</f>
        <v/>
      </c>
      <c r="AK19" s="28">
        <f>ROUND(MAX(0,(AK18)+AH19-AJ19),2)</f>
        <v/>
      </c>
      <c r="AL19" s="18">
        <f>I19+M19+Q19+U19+Y19+AC19+AG19+AK19</f>
        <v/>
      </c>
      <c r="AM19" s="27">
        <f>AM18+F19+J19+N19+R19+V19+Z19+AD19+AH19</f>
        <v/>
      </c>
    </row>
    <row r="20">
      <c r="A20" s="25" t="n">
        <v>15</v>
      </c>
      <c r="B20" s="26">
        <f>EDATE('Your Debts'!$B$19,14)</f>
        <v/>
      </c>
      <c r="C20" s="27">
        <f>'Your Debts'!$B$18</f>
        <v/>
      </c>
      <c r="D20" s="27">
        <f>G20+K20+O20+S20+W20+AA20+AE20+AI20</f>
        <v/>
      </c>
      <c r="E20" s="27">
        <f>MAX(0,C20-D20)</f>
        <v/>
      </c>
      <c r="F20" s="28">
        <f>ROUND((I19)*(IF('Your Debts'!$G$5=0,0,INDEX('Your Debts'!$C$5:$C$12,'Your Debts'!$G$5)/12)),2)</f>
        <v/>
      </c>
      <c r="G20" s="28">
        <f>MIN((I19)+F20,IF('Your Debts'!$G$5=0,0,INDEX('Your Debts'!$D$5:$D$12,'Your Debts'!$G$5)))</f>
        <v/>
      </c>
      <c r="H20" s="28">
        <f>G20+MIN((I19)+F20-G20,MAX(0,$E20-(0)))</f>
        <v/>
      </c>
      <c r="I20" s="28">
        <f>ROUND(MAX(0,(I19)+F20-H20),2)</f>
        <v/>
      </c>
      <c r="J20" s="28">
        <f>ROUND((M19)*(IF('Your Debts'!$G$6=0,0,INDEX('Your Debts'!$C$5:$C$12,'Your Debts'!$G$6)/12)),2)</f>
        <v/>
      </c>
      <c r="K20" s="28">
        <f>MIN((M19)+J20,IF('Your Debts'!$G$6=0,0,INDEX('Your Debts'!$D$5:$D$12,'Your Debts'!$G$6)))</f>
        <v/>
      </c>
      <c r="L20" s="28">
        <f>K20+MIN((M19)+J20-K20,MAX(0,$E20-((H20-G20))))</f>
        <v/>
      </c>
      <c r="M20" s="28">
        <f>ROUND(MAX(0,(M19)+J20-L20),2)</f>
        <v/>
      </c>
      <c r="N20" s="28">
        <f>ROUND((Q19)*(IF('Your Debts'!$G$7=0,0,INDEX('Your Debts'!$C$5:$C$12,'Your Debts'!$G$7)/12)),2)</f>
        <v/>
      </c>
      <c r="O20" s="28">
        <f>MIN((Q19)+N20,IF('Your Debts'!$G$7=0,0,INDEX('Your Debts'!$D$5:$D$12,'Your Debts'!$G$7)))</f>
        <v/>
      </c>
      <c r="P20" s="28">
        <f>O20+MIN((Q19)+N20-O20,MAX(0,$E20-((H20-G20)+(L20-K20))))</f>
        <v/>
      </c>
      <c r="Q20" s="28">
        <f>ROUND(MAX(0,(Q19)+N20-P20),2)</f>
        <v/>
      </c>
      <c r="R20" s="28">
        <f>ROUND((U19)*(IF('Your Debts'!$G$8=0,0,INDEX('Your Debts'!$C$5:$C$12,'Your Debts'!$G$8)/12)),2)</f>
        <v/>
      </c>
      <c r="S20" s="28">
        <f>MIN((U19)+R20,IF('Your Debts'!$G$8=0,0,INDEX('Your Debts'!$D$5:$D$12,'Your Debts'!$G$8)))</f>
        <v/>
      </c>
      <c r="T20" s="28">
        <f>S20+MIN((U19)+R20-S20,MAX(0,$E20-((H20-G20)+(L20-K20)+(P20-O20))))</f>
        <v/>
      </c>
      <c r="U20" s="28">
        <f>ROUND(MAX(0,(U19)+R20-T20),2)</f>
        <v/>
      </c>
      <c r="V20" s="28">
        <f>ROUND((Y19)*(IF('Your Debts'!$G$9=0,0,INDEX('Your Debts'!$C$5:$C$12,'Your Debts'!$G$9)/12)),2)</f>
        <v/>
      </c>
      <c r="W20" s="28">
        <f>MIN((Y19)+V20,IF('Your Debts'!$G$9=0,0,INDEX('Your Debts'!$D$5:$D$12,'Your Debts'!$G$9)))</f>
        <v/>
      </c>
      <c r="X20" s="28">
        <f>W20+MIN((Y19)+V20-W20,MAX(0,$E20-((H20-G20)+(L20-K20)+(P20-O20)+(T20-S20))))</f>
        <v/>
      </c>
      <c r="Y20" s="28">
        <f>ROUND(MAX(0,(Y19)+V20-X20),2)</f>
        <v/>
      </c>
      <c r="Z20" s="28">
        <f>ROUND((AC19)*(IF('Your Debts'!$G$10=0,0,INDEX('Your Debts'!$C$5:$C$12,'Your Debts'!$G$10)/12)),2)</f>
        <v/>
      </c>
      <c r="AA20" s="28">
        <f>MIN((AC19)+Z20,IF('Your Debts'!$G$10=0,0,INDEX('Your Debts'!$D$5:$D$12,'Your Debts'!$G$10)))</f>
        <v/>
      </c>
      <c r="AB20" s="28">
        <f>AA20+MIN((AC19)+Z20-AA20,MAX(0,$E20-((H20-G20)+(L20-K20)+(P20-O20)+(T20-S20)+(X20-W20))))</f>
        <v/>
      </c>
      <c r="AC20" s="28">
        <f>ROUND(MAX(0,(AC19)+Z20-AB20),2)</f>
        <v/>
      </c>
      <c r="AD20" s="28">
        <f>ROUND((AG19)*(IF('Your Debts'!$G$11=0,0,INDEX('Your Debts'!$C$5:$C$12,'Your Debts'!$G$11)/12)),2)</f>
        <v/>
      </c>
      <c r="AE20" s="28">
        <f>MIN((AG19)+AD20,IF('Your Debts'!$G$11=0,0,INDEX('Your Debts'!$D$5:$D$12,'Your Debts'!$G$11)))</f>
        <v/>
      </c>
      <c r="AF20" s="28">
        <f>AE20+MIN((AG19)+AD20-AE20,MAX(0,$E20-((H20-G20)+(L20-K20)+(P20-O20)+(T20-S20)+(X20-W20)+(AB20-AA20))))</f>
        <v/>
      </c>
      <c r="AG20" s="28">
        <f>ROUND(MAX(0,(AG19)+AD20-AF20),2)</f>
        <v/>
      </c>
      <c r="AH20" s="28">
        <f>ROUND((AK19)*(IF('Your Debts'!$G$12=0,0,INDEX('Your Debts'!$C$5:$C$12,'Your Debts'!$G$12)/12)),2)</f>
        <v/>
      </c>
      <c r="AI20" s="28">
        <f>MIN((AK19)+AH20,IF('Your Debts'!$G$12=0,0,INDEX('Your Debts'!$D$5:$D$12,'Your Debts'!$G$12)))</f>
        <v/>
      </c>
      <c r="AJ20" s="28">
        <f>AI20+MIN((AK19)+AH20-AI20,MAX(0,$E20-((H20-G20)+(L20-K20)+(P20-O20)+(T20-S20)+(X20-W20)+(AB20-AA20)+(AF20-AE20))))</f>
        <v/>
      </c>
      <c r="AK20" s="28">
        <f>ROUND(MAX(0,(AK19)+AH20-AJ20),2)</f>
        <v/>
      </c>
      <c r="AL20" s="18">
        <f>I20+M20+Q20+U20+Y20+AC20+AG20+AK20</f>
        <v/>
      </c>
      <c r="AM20" s="27">
        <f>AM19+F20+J20+N20+R20+V20+Z20+AD20+AH20</f>
        <v/>
      </c>
    </row>
    <row r="21">
      <c r="A21" s="25" t="n">
        <v>16</v>
      </c>
      <c r="B21" s="26">
        <f>EDATE('Your Debts'!$B$19,15)</f>
        <v/>
      </c>
      <c r="C21" s="27">
        <f>'Your Debts'!$B$18</f>
        <v/>
      </c>
      <c r="D21" s="27">
        <f>G21+K21+O21+S21+W21+AA21+AE21+AI21</f>
        <v/>
      </c>
      <c r="E21" s="27">
        <f>MAX(0,C21-D21)</f>
        <v/>
      </c>
      <c r="F21" s="28">
        <f>ROUND((I20)*(IF('Your Debts'!$G$5=0,0,INDEX('Your Debts'!$C$5:$C$12,'Your Debts'!$G$5)/12)),2)</f>
        <v/>
      </c>
      <c r="G21" s="28">
        <f>MIN((I20)+F21,IF('Your Debts'!$G$5=0,0,INDEX('Your Debts'!$D$5:$D$12,'Your Debts'!$G$5)))</f>
        <v/>
      </c>
      <c r="H21" s="28">
        <f>G21+MIN((I20)+F21-G21,MAX(0,$E21-(0)))</f>
        <v/>
      </c>
      <c r="I21" s="28">
        <f>ROUND(MAX(0,(I20)+F21-H21),2)</f>
        <v/>
      </c>
      <c r="J21" s="28">
        <f>ROUND((M20)*(IF('Your Debts'!$G$6=0,0,INDEX('Your Debts'!$C$5:$C$12,'Your Debts'!$G$6)/12)),2)</f>
        <v/>
      </c>
      <c r="K21" s="28">
        <f>MIN((M20)+J21,IF('Your Debts'!$G$6=0,0,INDEX('Your Debts'!$D$5:$D$12,'Your Debts'!$G$6)))</f>
        <v/>
      </c>
      <c r="L21" s="28">
        <f>K21+MIN((M20)+J21-K21,MAX(0,$E21-((H21-G21))))</f>
        <v/>
      </c>
      <c r="M21" s="28">
        <f>ROUND(MAX(0,(M20)+J21-L21),2)</f>
        <v/>
      </c>
      <c r="N21" s="28">
        <f>ROUND((Q20)*(IF('Your Debts'!$G$7=0,0,INDEX('Your Debts'!$C$5:$C$12,'Your Debts'!$G$7)/12)),2)</f>
        <v/>
      </c>
      <c r="O21" s="28">
        <f>MIN((Q20)+N21,IF('Your Debts'!$G$7=0,0,INDEX('Your Debts'!$D$5:$D$12,'Your Debts'!$G$7)))</f>
        <v/>
      </c>
      <c r="P21" s="28">
        <f>O21+MIN((Q20)+N21-O21,MAX(0,$E21-((H21-G21)+(L21-K21))))</f>
        <v/>
      </c>
      <c r="Q21" s="28">
        <f>ROUND(MAX(0,(Q20)+N21-P21),2)</f>
        <v/>
      </c>
      <c r="R21" s="28">
        <f>ROUND((U20)*(IF('Your Debts'!$G$8=0,0,INDEX('Your Debts'!$C$5:$C$12,'Your Debts'!$G$8)/12)),2)</f>
        <v/>
      </c>
      <c r="S21" s="28">
        <f>MIN((U20)+R21,IF('Your Debts'!$G$8=0,0,INDEX('Your Debts'!$D$5:$D$12,'Your Debts'!$G$8)))</f>
        <v/>
      </c>
      <c r="T21" s="28">
        <f>S21+MIN((U20)+R21-S21,MAX(0,$E21-((H21-G21)+(L21-K21)+(P21-O21))))</f>
        <v/>
      </c>
      <c r="U21" s="28">
        <f>ROUND(MAX(0,(U20)+R21-T21),2)</f>
        <v/>
      </c>
      <c r="V21" s="28">
        <f>ROUND((Y20)*(IF('Your Debts'!$G$9=0,0,INDEX('Your Debts'!$C$5:$C$12,'Your Debts'!$G$9)/12)),2)</f>
        <v/>
      </c>
      <c r="W21" s="28">
        <f>MIN((Y20)+V21,IF('Your Debts'!$G$9=0,0,INDEX('Your Debts'!$D$5:$D$12,'Your Debts'!$G$9)))</f>
        <v/>
      </c>
      <c r="X21" s="28">
        <f>W21+MIN((Y20)+V21-W21,MAX(0,$E21-((H21-G21)+(L21-K21)+(P21-O21)+(T21-S21))))</f>
        <v/>
      </c>
      <c r="Y21" s="28">
        <f>ROUND(MAX(0,(Y20)+V21-X21),2)</f>
        <v/>
      </c>
      <c r="Z21" s="28">
        <f>ROUND((AC20)*(IF('Your Debts'!$G$10=0,0,INDEX('Your Debts'!$C$5:$C$12,'Your Debts'!$G$10)/12)),2)</f>
        <v/>
      </c>
      <c r="AA21" s="28">
        <f>MIN((AC20)+Z21,IF('Your Debts'!$G$10=0,0,INDEX('Your Debts'!$D$5:$D$12,'Your Debts'!$G$10)))</f>
        <v/>
      </c>
      <c r="AB21" s="28">
        <f>AA21+MIN((AC20)+Z21-AA21,MAX(0,$E21-((H21-G21)+(L21-K21)+(P21-O21)+(T21-S21)+(X21-W21))))</f>
        <v/>
      </c>
      <c r="AC21" s="28">
        <f>ROUND(MAX(0,(AC20)+Z21-AB21),2)</f>
        <v/>
      </c>
      <c r="AD21" s="28">
        <f>ROUND((AG20)*(IF('Your Debts'!$G$11=0,0,INDEX('Your Debts'!$C$5:$C$12,'Your Debts'!$G$11)/12)),2)</f>
        <v/>
      </c>
      <c r="AE21" s="28">
        <f>MIN((AG20)+AD21,IF('Your Debts'!$G$11=0,0,INDEX('Your Debts'!$D$5:$D$12,'Your Debts'!$G$11)))</f>
        <v/>
      </c>
      <c r="AF21" s="28">
        <f>AE21+MIN((AG20)+AD21-AE21,MAX(0,$E21-((H21-G21)+(L21-K21)+(P21-O21)+(T21-S21)+(X21-W21)+(AB21-AA21))))</f>
        <v/>
      </c>
      <c r="AG21" s="28">
        <f>ROUND(MAX(0,(AG20)+AD21-AF21),2)</f>
        <v/>
      </c>
      <c r="AH21" s="28">
        <f>ROUND((AK20)*(IF('Your Debts'!$G$12=0,0,INDEX('Your Debts'!$C$5:$C$12,'Your Debts'!$G$12)/12)),2)</f>
        <v/>
      </c>
      <c r="AI21" s="28">
        <f>MIN((AK20)+AH21,IF('Your Debts'!$G$12=0,0,INDEX('Your Debts'!$D$5:$D$12,'Your Debts'!$G$12)))</f>
        <v/>
      </c>
      <c r="AJ21" s="28">
        <f>AI21+MIN((AK20)+AH21-AI21,MAX(0,$E21-((H21-G21)+(L21-K21)+(P21-O21)+(T21-S21)+(X21-W21)+(AB21-AA21)+(AF21-AE21))))</f>
        <v/>
      </c>
      <c r="AK21" s="28">
        <f>ROUND(MAX(0,(AK20)+AH21-AJ21),2)</f>
        <v/>
      </c>
      <c r="AL21" s="18">
        <f>I21+M21+Q21+U21+Y21+AC21+AG21+AK21</f>
        <v/>
      </c>
      <c r="AM21" s="27">
        <f>AM20+F21+J21+N21+R21+V21+Z21+AD21+AH21</f>
        <v/>
      </c>
    </row>
    <row r="22">
      <c r="A22" s="25" t="n">
        <v>17</v>
      </c>
      <c r="B22" s="26">
        <f>EDATE('Your Debts'!$B$19,16)</f>
        <v/>
      </c>
      <c r="C22" s="27">
        <f>'Your Debts'!$B$18</f>
        <v/>
      </c>
      <c r="D22" s="27">
        <f>G22+K22+O22+S22+W22+AA22+AE22+AI22</f>
        <v/>
      </c>
      <c r="E22" s="27">
        <f>MAX(0,C22-D22)</f>
        <v/>
      </c>
      <c r="F22" s="28">
        <f>ROUND((I21)*(IF('Your Debts'!$G$5=0,0,INDEX('Your Debts'!$C$5:$C$12,'Your Debts'!$G$5)/12)),2)</f>
        <v/>
      </c>
      <c r="G22" s="28">
        <f>MIN((I21)+F22,IF('Your Debts'!$G$5=0,0,INDEX('Your Debts'!$D$5:$D$12,'Your Debts'!$G$5)))</f>
        <v/>
      </c>
      <c r="H22" s="28">
        <f>G22+MIN((I21)+F22-G22,MAX(0,$E22-(0)))</f>
        <v/>
      </c>
      <c r="I22" s="28">
        <f>ROUND(MAX(0,(I21)+F22-H22),2)</f>
        <v/>
      </c>
      <c r="J22" s="28">
        <f>ROUND((M21)*(IF('Your Debts'!$G$6=0,0,INDEX('Your Debts'!$C$5:$C$12,'Your Debts'!$G$6)/12)),2)</f>
        <v/>
      </c>
      <c r="K22" s="28">
        <f>MIN((M21)+J22,IF('Your Debts'!$G$6=0,0,INDEX('Your Debts'!$D$5:$D$12,'Your Debts'!$G$6)))</f>
        <v/>
      </c>
      <c r="L22" s="28">
        <f>K22+MIN((M21)+J22-K22,MAX(0,$E22-((H22-G22))))</f>
        <v/>
      </c>
      <c r="M22" s="28">
        <f>ROUND(MAX(0,(M21)+J22-L22),2)</f>
        <v/>
      </c>
      <c r="N22" s="28">
        <f>ROUND((Q21)*(IF('Your Debts'!$G$7=0,0,INDEX('Your Debts'!$C$5:$C$12,'Your Debts'!$G$7)/12)),2)</f>
        <v/>
      </c>
      <c r="O22" s="28">
        <f>MIN((Q21)+N22,IF('Your Debts'!$G$7=0,0,INDEX('Your Debts'!$D$5:$D$12,'Your Debts'!$G$7)))</f>
        <v/>
      </c>
      <c r="P22" s="28">
        <f>O22+MIN((Q21)+N22-O22,MAX(0,$E22-((H22-G22)+(L22-K22))))</f>
        <v/>
      </c>
      <c r="Q22" s="28">
        <f>ROUND(MAX(0,(Q21)+N22-P22),2)</f>
        <v/>
      </c>
      <c r="R22" s="28">
        <f>ROUND((U21)*(IF('Your Debts'!$G$8=0,0,INDEX('Your Debts'!$C$5:$C$12,'Your Debts'!$G$8)/12)),2)</f>
        <v/>
      </c>
      <c r="S22" s="28">
        <f>MIN((U21)+R22,IF('Your Debts'!$G$8=0,0,INDEX('Your Debts'!$D$5:$D$12,'Your Debts'!$G$8)))</f>
        <v/>
      </c>
      <c r="T22" s="28">
        <f>S22+MIN((U21)+R22-S22,MAX(0,$E22-((H22-G22)+(L22-K22)+(P22-O22))))</f>
        <v/>
      </c>
      <c r="U22" s="28">
        <f>ROUND(MAX(0,(U21)+R22-T22),2)</f>
        <v/>
      </c>
      <c r="V22" s="28">
        <f>ROUND((Y21)*(IF('Your Debts'!$G$9=0,0,INDEX('Your Debts'!$C$5:$C$12,'Your Debts'!$G$9)/12)),2)</f>
        <v/>
      </c>
      <c r="W22" s="28">
        <f>MIN((Y21)+V22,IF('Your Debts'!$G$9=0,0,INDEX('Your Debts'!$D$5:$D$12,'Your Debts'!$G$9)))</f>
        <v/>
      </c>
      <c r="X22" s="28">
        <f>W22+MIN((Y21)+V22-W22,MAX(0,$E22-((H22-G22)+(L22-K22)+(P22-O22)+(T22-S22))))</f>
        <v/>
      </c>
      <c r="Y22" s="28">
        <f>ROUND(MAX(0,(Y21)+V22-X22),2)</f>
        <v/>
      </c>
      <c r="Z22" s="28">
        <f>ROUND((AC21)*(IF('Your Debts'!$G$10=0,0,INDEX('Your Debts'!$C$5:$C$12,'Your Debts'!$G$10)/12)),2)</f>
        <v/>
      </c>
      <c r="AA22" s="28">
        <f>MIN((AC21)+Z22,IF('Your Debts'!$G$10=0,0,INDEX('Your Debts'!$D$5:$D$12,'Your Debts'!$G$10)))</f>
        <v/>
      </c>
      <c r="AB22" s="28">
        <f>AA22+MIN((AC21)+Z22-AA22,MAX(0,$E22-((H22-G22)+(L22-K22)+(P22-O22)+(T22-S22)+(X22-W22))))</f>
        <v/>
      </c>
      <c r="AC22" s="28">
        <f>ROUND(MAX(0,(AC21)+Z22-AB22),2)</f>
        <v/>
      </c>
      <c r="AD22" s="28">
        <f>ROUND((AG21)*(IF('Your Debts'!$G$11=0,0,INDEX('Your Debts'!$C$5:$C$12,'Your Debts'!$G$11)/12)),2)</f>
        <v/>
      </c>
      <c r="AE22" s="28">
        <f>MIN((AG21)+AD22,IF('Your Debts'!$G$11=0,0,INDEX('Your Debts'!$D$5:$D$12,'Your Debts'!$G$11)))</f>
        <v/>
      </c>
      <c r="AF22" s="28">
        <f>AE22+MIN((AG21)+AD22-AE22,MAX(0,$E22-((H22-G22)+(L22-K22)+(P22-O22)+(T22-S22)+(X22-W22)+(AB22-AA22))))</f>
        <v/>
      </c>
      <c r="AG22" s="28">
        <f>ROUND(MAX(0,(AG21)+AD22-AF22),2)</f>
        <v/>
      </c>
      <c r="AH22" s="28">
        <f>ROUND((AK21)*(IF('Your Debts'!$G$12=0,0,INDEX('Your Debts'!$C$5:$C$12,'Your Debts'!$G$12)/12)),2)</f>
        <v/>
      </c>
      <c r="AI22" s="28">
        <f>MIN((AK21)+AH22,IF('Your Debts'!$G$12=0,0,INDEX('Your Debts'!$D$5:$D$12,'Your Debts'!$G$12)))</f>
        <v/>
      </c>
      <c r="AJ22" s="28">
        <f>AI22+MIN((AK21)+AH22-AI22,MAX(0,$E22-((H22-G22)+(L22-K22)+(P22-O22)+(T22-S22)+(X22-W22)+(AB22-AA22)+(AF22-AE22))))</f>
        <v/>
      </c>
      <c r="AK22" s="28">
        <f>ROUND(MAX(0,(AK21)+AH22-AJ22),2)</f>
        <v/>
      </c>
      <c r="AL22" s="18">
        <f>I22+M22+Q22+U22+Y22+AC22+AG22+AK22</f>
        <v/>
      </c>
      <c r="AM22" s="27">
        <f>AM21+F22+J22+N22+R22+V22+Z22+AD22+AH22</f>
        <v/>
      </c>
    </row>
    <row r="23">
      <c r="A23" s="25" t="n">
        <v>18</v>
      </c>
      <c r="B23" s="26">
        <f>EDATE('Your Debts'!$B$19,17)</f>
        <v/>
      </c>
      <c r="C23" s="27">
        <f>'Your Debts'!$B$18</f>
        <v/>
      </c>
      <c r="D23" s="27">
        <f>G23+K23+O23+S23+W23+AA23+AE23+AI23</f>
        <v/>
      </c>
      <c r="E23" s="27">
        <f>MAX(0,C23-D23)</f>
        <v/>
      </c>
      <c r="F23" s="28">
        <f>ROUND((I22)*(IF('Your Debts'!$G$5=0,0,INDEX('Your Debts'!$C$5:$C$12,'Your Debts'!$G$5)/12)),2)</f>
        <v/>
      </c>
      <c r="G23" s="28">
        <f>MIN((I22)+F23,IF('Your Debts'!$G$5=0,0,INDEX('Your Debts'!$D$5:$D$12,'Your Debts'!$G$5)))</f>
        <v/>
      </c>
      <c r="H23" s="28">
        <f>G23+MIN((I22)+F23-G23,MAX(0,$E23-(0)))</f>
        <v/>
      </c>
      <c r="I23" s="28">
        <f>ROUND(MAX(0,(I22)+F23-H23),2)</f>
        <v/>
      </c>
      <c r="J23" s="28">
        <f>ROUND((M22)*(IF('Your Debts'!$G$6=0,0,INDEX('Your Debts'!$C$5:$C$12,'Your Debts'!$G$6)/12)),2)</f>
        <v/>
      </c>
      <c r="K23" s="28">
        <f>MIN((M22)+J23,IF('Your Debts'!$G$6=0,0,INDEX('Your Debts'!$D$5:$D$12,'Your Debts'!$G$6)))</f>
        <v/>
      </c>
      <c r="L23" s="28">
        <f>K23+MIN((M22)+J23-K23,MAX(0,$E23-((H23-G23))))</f>
        <v/>
      </c>
      <c r="M23" s="28">
        <f>ROUND(MAX(0,(M22)+J23-L23),2)</f>
        <v/>
      </c>
      <c r="N23" s="28">
        <f>ROUND((Q22)*(IF('Your Debts'!$G$7=0,0,INDEX('Your Debts'!$C$5:$C$12,'Your Debts'!$G$7)/12)),2)</f>
        <v/>
      </c>
      <c r="O23" s="28">
        <f>MIN((Q22)+N23,IF('Your Debts'!$G$7=0,0,INDEX('Your Debts'!$D$5:$D$12,'Your Debts'!$G$7)))</f>
        <v/>
      </c>
      <c r="P23" s="28">
        <f>O23+MIN((Q22)+N23-O23,MAX(0,$E23-((H23-G23)+(L23-K23))))</f>
        <v/>
      </c>
      <c r="Q23" s="28">
        <f>ROUND(MAX(0,(Q22)+N23-P23),2)</f>
        <v/>
      </c>
      <c r="R23" s="28">
        <f>ROUND((U22)*(IF('Your Debts'!$G$8=0,0,INDEX('Your Debts'!$C$5:$C$12,'Your Debts'!$G$8)/12)),2)</f>
        <v/>
      </c>
      <c r="S23" s="28">
        <f>MIN((U22)+R23,IF('Your Debts'!$G$8=0,0,INDEX('Your Debts'!$D$5:$D$12,'Your Debts'!$G$8)))</f>
        <v/>
      </c>
      <c r="T23" s="28">
        <f>S23+MIN((U22)+R23-S23,MAX(0,$E23-((H23-G23)+(L23-K23)+(P23-O23))))</f>
        <v/>
      </c>
      <c r="U23" s="28">
        <f>ROUND(MAX(0,(U22)+R23-T23),2)</f>
        <v/>
      </c>
      <c r="V23" s="28">
        <f>ROUND((Y22)*(IF('Your Debts'!$G$9=0,0,INDEX('Your Debts'!$C$5:$C$12,'Your Debts'!$G$9)/12)),2)</f>
        <v/>
      </c>
      <c r="W23" s="28">
        <f>MIN((Y22)+V23,IF('Your Debts'!$G$9=0,0,INDEX('Your Debts'!$D$5:$D$12,'Your Debts'!$G$9)))</f>
        <v/>
      </c>
      <c r="X23" s="28">
        <f>W23+MIN((Y22)+V23-W23,MAX(0,$E23-((H23-G23)+(L23-K23)+(P23-O23)+(T23-S23))))</f>
        <v/>
      </c>
      <c r="Y23" s="28">
        <f>ROUND(MAX(0,(Y22)+V23-X23),2)</f>
        <v/>
      </c>
      <c r="Z23" s="28">
        <f>ROUND((AC22)*(IF('Your Debts'!$G$10=0,0,INDEX('Your Debts'!$C$5:$C$12,'Your Debts'!$G$10)/12)),2)</f>
        <v/>
      </c>
      <c r="AA23" s="28">
        <f>MIN((AC22)+Z23,IF('Your Debts'!$G$10=0,0,INDEX('Your Debts'!$D$5:$D$12,'Your Debts'!$G$10)))</f>
        <v/>
      </c>
      <c r="AB23" s="28">
        <f>AA23+MIN((AC22)+Z23-AA23,MAX(0,$E23-((H23-G23)+(L23-K23)+(P23-O23)+(T23-S23)+(X23-W23))))</f>
        <v/>
      </c>
      <c r="AC23" s="28">
        <f>ROUND(MAX(0,(AC22)+Z23-AB23),2)</f>
        <v/>
      </c>
      <c r="AD23" s="28">
        <f>ROUND((AG22)*(IF('Your Debts'!$G$11=0,0,INDEX('Your Debts'!$C$5:$C$12,'Your Debts'!$G$11)/12)),2)</f>
        <v/>
      </c>
      <c r="AE23" s="28">
        <f>MIN((AG22)+AD23,IF('Your Debts'!$G$11=0,0,INDEX('Your Debts'!$D$5:$D$12,'Your Debts'!$G$11)))</f>
        <v/>
      </c>
      <c r="AF23" s="28">
        <f>AE23+MIN((AG22)+AD23-AE23,MAX(0,$E23-((H23-G23)+(L23-K23)+(P23-O23)+(T23-S23)+(X23-W23)+(AB23-AA23))))</f>
        <v/>
      </c>
      <c r="AG23" s="28">
        <f>ROUND(MAX(0,(AG22)+AD23-AF23),2)</f>
        <v/>
      </c>
      <c r="AH23" s="28">
        <f>ROUND((AK22)*(IF('Your Debts'!$G$12=0,0,INDEX('Your Debts'!$C$5:$C$12,'Your Debts'!$G$12)/12)),2)</f>
        <v/>
      </c>
      <c r="AI23" s="28">
        <f>MIN((AK22)+AH23,IF('Your Debts'!$G$12=0,0,INDEX('Your Debts'!$D$5:$D$12,'Your Debts'!$G$12)))</f>
        <v/>
      </c>
      <c r="AJ23" s="28">
        <f>AI23+MIN((AK22)+AH23-AI23,MAX(0,$E23-((H23-G23)+(L23-K23)+(P23-O23)+(T23-S23)+(X23-W23)+(AB23-AA23)+(AF23-AE23))))</f>
        <v/>
      </c>
      <c r="AK23" s="28">
        <f>ROUND(MAX(0,(AK22)+AH23-AJ23),2)</f>
        <v/>
      </c>
      <c r="AL23" s="18">
        <f>I23+M23+Q23+U23+Y23+AC23+AG23+AK23</f>
        <v/>
      </c>
      <c r="AM23" s="27">
        <f>AM22+F23+J23+N23+R23+V23+Z23+AD23+AH23</f>
        <v/>
      </c>
    </row>
    <row r="24">
      <c r="A24" s="25" t="n">
        <v>19</v>
      </c>
      <c r="B24" s="26">
        <f>EDATE('Your Debts'!$B$19,18)</f>
        <v/>
      </c>
      <c r="C24" s="27">
        <f>'Your Debts'!$B$18</f>
        <v/>
      </c>
      <c r="D24" s="27">
        <f>G24+K24+O24+S24+W24+AA24+AE24+AI24</f>
        <v/>
      </c>
      <c r="E24" s="27">
        <f>MAX(0,C24-D24)</f>
        <v/>
      </c>
      <c r="F24" s="28">
        <f>ROUND((I23)*(IF('Your Debts'!$G$5=0,0,INDEX('Your Debts'!$C$5:$C$12,'Your Debts'!$G$5)/12)),2)</f>
        <v/>
      </c>
      <c r="G24" s="28">
        <f>MIN((I23)+F24,IF('Your Debts'!$G$5=0,0,INDEX('Your Debts'!$D$5:$D$12,'Your Debts'!$G$5)))</f>
        <v/>
      </c>
      <c r="H24" s="28">
        <f>G24+MIN((I23)+F24-G24,MAX(0,$E24-(0)))</f>
        <v/>
      </c>
      <c r="I24" s="28">
        <f>ROUND(MAX(0,(I23)+F24-H24),2)</f>
        <v/>
      </c>
      <c r="J24" s="28">
        <f>ROUND((M23)*(IF('Your Debts'!$G$6=0,0,INDEX('Your Debts'!$C$5:$C$12,'Your Debts'!$G$6)/12)),2)</f>
        <v/>
      </c>
      <c r="K24" s="28">
        <f>MIN((M23)+J24,IF('Your Debts'!$G$6=0,0,INDEX('Your Debts'!$D$5:$D$12,'Your Debts'!$G$6)))</f>
        <v/>
      </c>
      <c r="L24" s="28">
        <f>K24+MIN((M23)+J24-K24,MAX(0,$E24-((H24-G24))))</f>
        <v/>
      </c>
      <c r="M24" s="28">
        <f>ROUND(MAX(0,(M23)+J24-L24),2)</f>
        <v/>
      </c>
      <c r="N24" s="28">
        <f>ROUND((Q23)*(IF('Your Debts'!$G$7=0,0,INDEX('Your Debts'!$C$5:$C$12,'Your Debts'!$G$7)/12)),2)</f>
        <v/>
      </c>
      <c r="O24" s="28">
        <f>MIN((Q23)+N24,IF('Your Debts'!$G$7=0,0,INDEX('Your Debts'!$D$5:$D$12,'Your Debts'!$G$7)))</f>
        <v/>
      </c>
      <c r="P24" s="28">
        <f>O24+MIN((Q23)+N24-O24,MAX(0,$E24-((H24-G24)+(L24-K24))))</f>
        <v/>
      </c>
      <c r="Q24" s="28">
        <f>ROUND(MAX(0,(Q23)+N24-P24),2)</f>
        <v/>
      </c>
      <c r="R24" s="28">
        <f>ROUND((U23)*(IF('Your Debts'!$G$8=0,0,INDEX('Your Debts'!$C$5:$C$12,'Your Debts'!$G$8)/12)),2)</f>
        <v/>
      </c>
      <c r="S24" s="28">
        <f>MIN((U23)+R24,IF('Your Debts'!$G$8=0,0,INDEX('Your Debts'!$D$5:$D$12,'Your Debts'!$G$8)))</f>
        <v/>
      </c>
      <c r="T24" s="28">
        <f>S24+MIN((U23)+R24-S24,MAX(0,$E24-((H24-G24)+(L24-K24)+(P24-O24))))</f>
        <v/>
      </c>
      <c r="U24" s="28">
        <f>ROUND(MAX(0,(U23)+R24-T24),2)</f>
        <v/>
      </c>
      <c r="V24" s="28">
        <f>ROUND((Y23)*(IF('Your Debts'!$G$9=0,0,INDEX('Your Debts'!$C$5:$C$12,'Your Debts'!$G$9)/12)),2)</f>
        <v/>
      </c>
      <c r="W24" s="28">
        <f>MIN((Y23)+V24,IF('Your Debts'!$G$9=0,0,INDEX('Your Debts'!$D$5:$D$12,'Your Debts'!$G$9)))</f>
        <v/>
      </c>
      <c r="X24" s="28">
        <f>W24+MIN((Y23)+V24-W24,MAX(0,$E24-((H24-G24)+(L24-K24)+(P24-O24)+(T24-S24))))</f>
        <v/>
      </c>
      <c r="Y24" s="28">
        <f>ROUND(MAX(0,(Y23)+V24-X24),2)</f>
        <v/>
      </c>
      <c r="Z24" s="28">
        <f>ROUND((AC23)*(IF('Your Debts'!$G$10=0,0,INDEX('Your Debts'!$C$5:$C$12,'Your Debts'!$G$10)/12)),2)</f>
        <v/>
      </c>
      <c r="AA24" s="28">
        <f>MIN((AC23)+Z24,IF('Your Debts'!$G$10=0,0,INDEX('Your Debts'!$D$5:$D$12,'Your Debts'!$G$10)))</f>
        <v/>
      </c>
      <c r="AB24" s="28">
        <f>AA24+MIN((AC23)+Z24-AA24,MAX(0,$E24-((H24-G24)+(L24-K24)+(P24-O24)+(T24-S24)+(X24-W24))))</f>
        <v/>
      </c>
      <c r="AC24" s="28">
        <f>ROUND(MAX(0,(AC23)+Z24-AB24),2)</f>
        <v/>
      </c>
      <c r="AD24" s="28">
        <f>ROUND((AG23)*(IF('Your Debts'!$G$11=0,0,INDEX('Your Debts'!$C$5:$C$12,'Your Debts'!$G$11)/12)),2)</f>
        <v/>
      </c>
      <c r="AE24" s="28">
        <f>MIN((AG23)+AD24,IF('Your Debts'!$G$11=0,0,INDEX('Your Debts'!$D$5:$D$12,'Your Debts'!$G$11)))</f>
        <v/>
      </c>
      <c r="AF24" s="28">
        <f>AE24+MIN((AG23)+AD24-AE24,MAX(0,$E24-((H24-G24)+(L24-K24)+(P24-O24)+(T24-S24)+(X24-W24)+(AB24-AA24))))</f>
        <v/>
      </c>
      <c r="AG24" s="28">
        <f>ROUND(MAX(0,(AG23)+AD24-AF24),2)</f>
        <v/>
      </c>
      <c r="AH24" s="28">
        <f>ROUND((AK23)*(IF('Your Debts'!$G$12=0,0,INDEX('Your Debts'!$C$5:$C$12,'Your Debts'!$G$12)/12)),2)</f>
        <v/>
      </c>
      <c r="AI24" s="28">
        <f>MIN((AK23)+AH24,IF('Your Debts'!$G$12=0,0,INDEX('Your Debts'!$D$5:$D$12,'Your Debts'!$G$12)))</f>
        <v/>
      </c>
      <c r="AJ24" s="28">
        <f>AI24+MIN((AK23)+AH24-AI24,MAX(0,$E24-((H24-G24)+(L24-K24)+(P24-O24)+(T24-S24)+(X24-W24)+(AB24-AA24)+(AF24-AE24))))</f>
        <v/>
      </c>
      <c r="AK24" s="28">
        <f>ROUND(MAX(0,(AK23)+AH24-AJ24),2)</f>
        <v/>
      </c>
      <c r="AL24" s="18">
        <f>I24+M24+Q24+U24+Y24+AC24+AG24+AK24</f>
        <v/>
      </c>
      <c r="AM24" s="27">
        <f>AM23+F24+J24+N24+R24+V24+Z24+AD24+AH24</f>
        <v/>
      </c>
    </row>
    <row r="25">
      <c r="A25" s="25" t="n">
        <v>20</v>
      </c>
      <c r="B25" s="26">
        <f>EDATE('Your Debts'!$B$19,19)</f>
        <v/>
      </c>
      <c r="C25" s="27">
        <f>'Your Debts'!$B$18</f>
        <v/>
      </c>
      <c r="D25" s="27">
        <f>G25+K25+O25+S25+W25+AA25+AE25+AI25</f>
        <v/>
      </c>
      <c r="E25" s="27">
        <f>MAX(0,C25-D25)</f>
        <v/>
      </c>
      <c r="F25" s="28">
        <f>ROUND((I24)*(IF('Your Debts'!$G$5=0,0,INDEX('Your Debts'!$C$5:$C$12,'Your Debts'!$G$5)/12)),2)</f>
        <v/>
      </c>
      <c r="G25" s="28">
        <f>MIN((I24)+F25,IF('Your Debts'!$G$5=0,0,INDEX('Your Debts'!$D$5:$D$12,'Your Debts'!$G$5)))</f>
        <v/>
      </c>
      <c r="H25" s="28">
        <f>G25+MIN((I24)+F25-G25,MAX(0,$E25-(0)))</f>
        <v/>
      </c>
      <c r="I25" s="28">
        <f>ROUND(MAX(0,(I24)+F25-H25),2)</f>
        <v/>
      </c>
      <c r="J25" s="28">
        <f>ROUND((M24)*(IF('Your Debts'!$G$6=0,0,INDEX('Your Debts'!$C$5:$C$12,'Your Debts'!$G$6)/12)),2)</f>
        <v/>
      </c>
      <c r="K25" s="28">
        <f>MIN((M24)+J25,IF('Your Debts'!$G$6=0,0,INDEX('Your Debts'!$D$5:$D$12,'Your Debts'!$G$6)))</f>
        <v/>
      </c>
      <c r="L25" s="28">
        <f>K25+MIN((M24)+J25-K25,MAX(0,$E25-((H25-G25))))</f>
        <v/>
      </c>
      <c r="M25" s="28">
        <f>ROUND(MAX(0,(M24)+J25-L25),2)</f>
        <v/>
      </c>
      <c r="N25" s="28">
        <f>ROUND((Q24)*(IF('Your Debts'!$G$7=0,0,INDEX('Your Debts'!$C$5:$C$12,'Your Debts'!$G$7)/12)),2)</f>
        <v/>
      </c>
      <c r="O25" s="28">
        <f>MIN((Q24)+N25,IF('Your Debts'!$G$7=0,0,INDEX('Your Debts'!$D$5:$D$12,'Your Debts'!$G$7)))</f>
        <v/>
      </c>
      <c r="P25" s="28">
        <f>O25+MIN((Q24)+N25-O25,MAX(0,$E25-((H25-G25)+(L25-K25))))</f>
        <v/>
      </c>
      <c r="Q25" s="28">
        <f>ROUND(MAX(0,(Q24)+N25-P25),2)</f>
        <v/>
      </c>
      <c r="R25" s="28">
        <f>ROUND((U24)*(IF('Your Debts'!$G$8=0,0,INDEX('Your Debts'!$C$5:$C$12,'Your Debts'!$G$8)/12)),2)</f>
        <v/>
      </c>
      <c r="S25" s="28">
        <f>MIN((U24)+R25,IF('Your Debts'!$G$8=0,0,INDEX('Your Debts'!$D$5:$D$12,'Your Debts'!$G$8)))</f>
        <v/>
      </c>
      <c r="T25" s="28">
        <f>S25+MIN((U24)+R25-S25,MAX(0,$E25-((H25-G25)+(L25-K25)+(P25-O25))))</f>
        <v/>
      </c>
      <c r="U25" s="28">
        <f>ROUND(MAX(0,(U24)+R25-T25),2)</f>
        <v/>
      </c>
      <c r="V25" s="28">
        <f>ROUND((Y24)*(IF('Your Debts'!$G$9=0,0,INDEX('Your Debts'!$C$5:$C$12,'Your Debts'!$G$9)/12)),2)</f>
        <v/>
      </c>
      <c r="W25" s="28">
        <f>MIN((Y24)+V25,IF('Your Debts'!$G$9=0,0,INDEX('Your Debts'!$D$5:$D$12,'Your Debts'!$G$9)))</f>
        <v/>
      </c>
      <c r="X25" s="28">
        <f>W25+MIN((Y24)+V25-W25,MAX(0,$E25-((H25-G25)+(L25-K25)+(P25-O25)+(T25-S25))))</f>
        <v/>
      </c>
      <c r="Y25" s="28">
        <f>ROUND(MAX(0,(Y24)+V25-X25),2)</f>
        <v/>
      </c>
      <c r="Z25" s="28">
        <f>ROUND((AC24)*(IF('Your Debts'!$G$10=0,0,INDEX('Your Debts'!$C$5:$C$12,'Your Debts'!$G$10)/12)),2)</f>
        <v/>
      </c>
      <c r="AA25" s="28">
        <f>MIN((AC24)+Z25,IF('Your Debts'!$G$10=0,0,INDEX('Your Debts'!$D$5:$D$12,'Your Debts'!$G$10)))</f>
        <v/>
      </c>
      <c r="AB25" s="28">
        <f>AA25+MIN((AC24)+Z25-AA25,MAX(0,$E25-((H25-G25)+(L25-K25)+(P25-O25)+(T25-S25)+(X25-W25))))</f>
        <v/>
      </c>
      <c r="AC25" s="28">
        <f>ROUND(MAX(0,(AC24)+Z25-AB25),2)</f>
        <v/>
      </c>
      <c r="AD25" s="28">
        <f>ROUND((AG24)*(IF('Your Debts'!$G$11=0,0,INDEX('Your Debts'!$C$5:$C$12,'Your Debts'!$G$11)/12)),2)</f>
        <v/>
      </c>
      <c r="AE25" s="28">
        <f>MIN((AG24)+AD25,IF('Your Debts'!$G$11=0,0,INDEX('Your Debts'!$D$5:$D$12,'Your Debts'!$G$11)))</f>
        <v/>
      </c>
      <c r="AF25" s="28">
        <f>AE25+MIN((AG24)+AD25-AE25,MAX(0,$E25-((H25-G25)+(L25-K25)+(P25-O25)+(T25-S25)+(X25-W25)+(AB25-AA25))))</f>
        <v/>
      </c>
      <c r="AG25" s="28">
        <f>ROUND(MAX(0,(AG24)+AD25-AF25),2)</f>
        <v/>
      </c>
      <c r="AH25" s="28">
        <f>ROUND((AK24)*(IF('Your Debts'!$G$12=0,0,INDEX('Your Debts'!$C$5:$C$12,'Your Debts'!$G$12)/12)),2)</f>
        <v/>
      </c>
      <c r="AI25" s="28">
        <f>MIN((AK24)+AH25,IF('Your Debts'!$G$12=0,0,INDEX('Your Debts'!$D$5:$D$12,'Your Debts'!$G$12)))</f>
        <v/>
      </c>
      <c r="AJ25" s="28">
        <f>AI25+MIN((AK24)+AH25-AI25,MAX(0,$E25-((H25-G25)+(L25-K25)+(P25-O25)+(T25-S25)+(X25-W25)+(AB25-AA25)+(AF25-AE25))))</f>
        <v/>
      </c>
      <c r="AK25" s="28">
        <f>ROUND(MAX(0,(AK24)+AH25-AJ25),2)</f>
        <v/>
      </c>
      <c r="AL25" s="18">
        <f>I25+M25+Q25+U25+Y25+AC25+AG25+AK25</f>
        <v/>
      </c>
      <c r="AM25" s="27">
        <f>AM24+F25+J25+N25+R25+V25+Z25+AD25+AH25</f>
        <v/>
      </c>
    </row>
    <row r="26">
      <c r="A26" s="25" t="n">
        <v>21</v>
      </c>
      <c r="B26" s="26">
        <f>EDATE('Your Debts'!$B$19,20)</f>
        <v/>
      </c>
      <c r="C26" s="27">
        <f>'Your Debts'!$B$18</f>
        <v/>
      </c>
      <c r="D26" s="27">
        <f>G26+K26+O26+S26+W26+AA26+AE26+AI26</f>
        <v/>
      </c>
      <c r="E26" s="27">
        <f>MAX(0,C26-D26)</f>
        <v/>
      </c>
      <c r="F26" s="28">
        <f>ROUND((I25)*(IF('Your Debts'!$G$5=0,0,INDEX('Your Debts'!$C$5:$C$12,'Your Debts'!$G$5)/12)),2)</f>
        <v/>
      </c>
      <c r="G26" s="28">
        <f>MIN((I25)+F26,IF('Your Debts'!$G$5=0,0,INDEX('Your Debts'!$D$5:$D$12,'Your Debts'!$G$5)))</f>
        <v/>
      </c>
      <c r="H26" s="28">
        <f>G26+MIN((I25)+F26-G26,MAX(0,$E26-(0)))</f>
        <v/>
      </c>
      <c r="I26" s="28">
        <f>ROUND(MAX(0,(I25)+F26-H26),2)</f>
        <v/>
      </c>
      <c r="J26" s="28">
        <f>ROUND((M25)*(IF('Your Debts'!$G$6=0,0,INDEX('Your Debts'!$C$5:$C$12,'Your Debts'!$G$6)/12)),2)</f>
        <v/>
      </c>
      <c r="K26" s="28">
        <f>MIN((M25)+J26,IF('Your Debts'!$G$6=0,0,INDEX('Your Debts'!$D$5:$D$12,'Your Debts'!$G$6)))</f>
        <v/>
      </c>
      <c r="L26" s="28">
        <f>K26+MIN((M25)+J26-K26,MAX(0,$E26-((H26-G26))))</f>
        <v/>
      </c>
      <c r="M26" s="28">
        <f>ROUND(MAX(0,(M25)+J26-L26),2)</f>
        <v/>
      </c>
      <c r="N26" s="28">
        <f>ROUND((Q25)*(IF('Your Debts'!$G$7=0,0,INDEX('Your Debts'!$C$5:$C$12,'Your Debts'!$G$7)/12)),2)</f>
        <v/>
      </c>
      <c r="O26" s="28">
        <f>MIN((Q25)+N26,IF('Your Debts'!$G$7=0,0,INDEX('Your Debts'!$D$5:$D$12,'Your Debts'!$G$7)))</f>
        <v/>
      </c>
      <c r="P26" s="28">
        <f>O26+MIN((Q25)+N26-O26,MAX(0,$E26-((H26-G26)+(L26-K26))))</f>
        <v/>
      </c>
      <c r="Q26" s="28">
        <f>ROUND(MAX(0,(Q25)+N26-P26),2)</f>
        <v/>
      </c>
      <c r="R26" s="28">
        <f>ROUND((U25)*(IF('Your Debts'!$G$8=0,0,INDEX('Your Debts'!$C$5:$C$12,'Your Debts'!$G$8)/12)),2)</f>
        <v/>
      </c>
      <c r="S26" s="28">
        <f>MIN((U25)+R26,IF('Your Debts'!$G$8=0,0,INDEX('Your Debts'!$D$5:$D$12,'Your Debts'!$G$8)))</f>
        <v/>
      </c>
      <c r="T26" s="28">
        <f>S26+MIN((U25)+R26-S26,MAX(0,$E26-((H26-G26)+(L26-K26)+(P26-O26))))</f>
        <v/>
      </c>
      <c r="U26" s="28">
        <f>ROUND(MAX(0,(U25)+R26-T26),2)</f>
        <v/>
      </c>
      <c r="V26" s="28">
        <f>ROUND((Y25)*(IF('Your Debts'!$G$9=0,0,INDEX('Your Debts'!$C$5:$C$12,'Your Debts'!$G$9)/12)),2)</f>
        <v/>
      </c>
      <c r="W26" s="28">
        <f>MIN((Y25)+V26,IF('Your Debts'!$G$9=0,0,INDEX('Your Debts'!$D$5:$D$12,'Your Debts'!$G$9)))</f>
        <v/>
      </c>
      <c r="X26" s="28">
        <f>W26+MIN((Y25)+V26-W26,MAX(0,$E26-((H26-G26)+(L26-K26)+(P26-O26)+(T26-S26))))</f>
        <v/>
      </c>
      <c r="Y26" s="28">
        <f>ROUND(MAX(0,(Y25)+V26-X26),2)</f>
        <v/>
      </c>
      <c r="Z26" s="28">
        <f>ROUND((AC25)*(IF('Your Debts'!$G$10=0,0,INDEX('Your Debts'!$C$5:$C$12,'Your Debts'!$G$10)/12)),2)</f>
        <v/>
      </c>
      <c r="AA26" s="28">
        <f>MIN((AC25)+Z26,IF('Your Debts'!$G$10=0,0,INDEX('Your Debts'!$D$5:$D$12,'Your Debts'!$G$10)))</f>
        <v/>
      </c>
      <c r="AB26" s="28">
        <f>AA26+MIN((AC25)+Z26-AA26,MAX(0,$E26-((H26-G26)+(L26-K26)+(P26-O26)+(T26-S26)+(X26-W26))))</f>
        <v/>
      </c>
      <c r="AC26" s="28">
        <f>ROUND(MAX(0,(AC25)+Z26-AB26),2)</f>
        <v/>
      </c>
      <c r="AD26" s="28">
        <f>ROUND((AG25)*(IF('Your Debts'!$G$11=0,0,INDEX('Your Debts'!$C$5:$C$12,'Your Debts'!$G$11)/12)),2)</f>
        <v/>
      </c>
      <c r="AE26" s="28">
        <f>MIN((AG25)+AD26,IF('Your Debts'!$G$11=0,0,INDEX('Your Debts'!$D$5:$D$12,'Your Debts'!$G$11)))</f>
        <v/>
      </c>
      <c r="AF26" s="28">
        <f>AE26+MIN((AG25)+AD26-AE26,MAX(0,$E26-((H26-G26)+(L26-K26)+(P26-O26)+(T26-S26)+(X26-W26)+(AB26-AA26))))</f>
        <v/>
      </c>
      <c r="AG26" s="28">
        <f>ROUND(MAX(0,(AG25)+AD26-AF26),2)</f>
        <v/>
      </c>
      <c r="AH26" s="28">
        <f>ROUND((AK25)*(IF('Your Debts'!$G$12=0,0,INDEX('Your Debts'!$C$5:$C$12,'Your Debts'!$G$12)/12)),2)</f>
        <v/>
      </c>
      <c r="AI26" s="28">
        <f>MIN((AK25)+AH26,IF('Your Debts'!$G$12=0,0,INDEX('Your Debts'!$D$5:$D$12,'Your Debts'!$G$12)))</f>
        <v/>
      </c>
      <c r="AJ26" s="28">
        <f>AI26+MIN((AK25)+AH26-AI26,MAX(0,$E26-((H26-G26)+(L26-K26)+(P26-O26)+(T26-S26)+(X26-W26)+(AB26-AA26)+(AF26-AE26))))</f>
        <v/>
      </c>
      <c r="AK26" s="28">
        <f>ROUND(MAX(0,(AK25)+AH26-AJ26),2)</f>
        <v/>
      </c>
      <c r="AL26" s="18">
        <f>I26+M26+Q26+U26+Y26+AC26+AG26+AK26</f>
        <v/>
      </c>
      <c r="AM26" s="27">
        <f>AM25+F26+J26+N26+R26+V26+Z26+AD26+AH26</f>
        <v/>
      </c>
    </row>
    <row r="27">
      <c r="A27" s="25" t="n">
        <v>22</v>
      </c>
      <c r="B27" s="26">
        <f>EDATE('Your Debts'!$B$19,21)</f>
        <v/>
      </c>
      <c r="C27" s="27">
        <f>'Your Debts'!$B$18</f>
        <v/>
      </c>
      <c r="D27" s="27">
        <f>G27+K27+O27+S27+W27+AA27+AE27+AI27</f>
        <v/>
      </c>
      <c r="E27" s="27">
        <f>MAX(0,C27-D27)</f>
        <v/>
      </c>
      <c r="F27" s="28">
        <f>ROUND((I26)*(IF('Your Debts'!$G$5=0,0,INDEX('Your Debts'!$C$5:$C$12,'Your Debts'!$G$5)/12)),2)</f>
        <v/>
      </c>
      <c r="G27" s="28">
        <f>MIN((I26)+F27,IF('Your Debts'!$G$5=0,0,INDEX('Your Debts'!$D$5:$D$12,'Your Debts'!$G$5)))</f>
        <v/>
      </c>
      <c r="H27" s="28">
        <f>G27+MIN((I26)+F27-G27,MAX(0,$E27-(0)))</f>
        <v/>
      </c>
      <c r="I27" s="28">
        <f>ROUND(MAX(0,(I26)+F27-H27),2)</f>
        <v/>
      </c>
      <c r="J27" s="28">
        <f>ROUND((M26)*(IF('Your Debts'!$G$6=0,0,INDEX('Your Debts'!$C$5:$C$12,'Your Debts'!$G$6)/12)),2)</f>
        <v/>
      </c>
      <c r="K27" s="28">
        <f>MIN((M26)+J27,IF('Your Debts'!$G$6=0,0,INDEX('Your Debts'!$D$5:$D$12,'Your Debts'!$G$6)))</f>
        <v/>
      </c>
      <c r="L27" s="28">
        <f>K27+MIN((M26)+J27-K27,MAX(0,$E27-((H27-G27))))</f>
        <v/>
      </c>
      <c r="M27" s="28">
        <f>ROUND(MAX(0,(M26)+J27-L27),2)</f>
        <v/>
      </c>
      <c r="N27" s="28">
        <f>ROUND((Q26)*(IF('Your Debts'!$G$7=0,0,INDEX('Your Debts'!$C$5:$C$12,'Your Debts'!$G$7)/12)),2)</f>
        <v/>
      </c>
      <c r="O27" s="28">
        <f>MIN((Q26)+N27,IF('Your Debts'!$G$7=0,0,INDEX('Your Debts'!$D$5:$D$12,'Your Debts'!$G$7)))</f>
        <v/>
      </c>
      <c r="P27" s="28">
        <f>O27+MIN((Q26)+N27-O27,MAX(0,$E27-((H27-G27)+(L27-K27))))</f>
        <v/>
      </c>
      <c r="Q27" s="28">
        <f>ROUND(MAX(0,(Q26)+N27-P27),2)</f>
        <v/>
      </c>
      <c r="R27" s="28">
        <f>ROUND((U26)*(IF('Your Debts'!$G$8=0,0,INDEX('Your Debts'!$C$5:$C$12,'Your Debts'!$G$8)/12)),2)</f>
        <v/>
      </c>
      <c r="S27" s="28">
        <f>MIN((U26)+R27,IF('Your Debts'!$G$8=0,0,INDEX('Your Debts'!$D$5:$D$12,'Your Debts'!$G$8)))</f>
        <v/>
      </c>
      <c r="T27" s="28">
        <f>S27+MIN((U26)+R27-S27,MAX(0,$E27-((H27-G27)+(L27-K27)+(P27-O27))))</f>
        <v/>
      </c>
      <c r="U27" s="28">
        <f>ROUND(MAX(0,(U26)+R27-T27),2)</f>
        <v/>
      </c>
      <c r="V27" s="28">
        <f>ROUND((Y26)*(IF('Your Debts'!$G$9=0,0,INDEX('Your Debts'!$C$5:$C$12,'Your Debts'!$G$9)/12)),2)</f>
        <v/>
      </c>
      <c r="W27" s="28">
        <f>MIN((Y26)+V27,IF('Your Debts'!$G$9=0,0,INDEX('Your Debts'!$D$5:$D$12,'Your Debts'!$G$9)))</f>
        <v/>
      </c>
      <c r="X27" s="28">
        <f>W27+MIN((Y26)+V27-W27,MAX(0,$E27-((H27-G27)+(L27-K27)+(P27-O27)+(T27-S27))))</f>
        <v/>
      </c>
      <c r="Y27" s="28">
        <f>ROUND(MAX(0,(Y26)+V27-X27),2)</f>
        <v/>
      </c>
      <c r="Z27" s="28">
        <f>ROUND((AC26)*(IF('Your Debts'!$G$10=0,0,INDEX('Your Debts'!$C$5:$C$12,'Your Debts'!$G$10)/12)),2)</f>
        <v/>
      </c>
      <c r="AA27" s="28">
        <f>MIN((AC26)+Z27,IF('Your Debts'!$G$10=0,0,INDEX('Your Debts'!$D$5:$D$12,'Your Debts'!$G$10)))</f>
        <v/>
      </c>
      <c r="AB27" s="28">
        <f>AA27+MIN((AC26)+Z27-AA27,MAX(0,$E27-((H27-G27)+(L27-K27)+(P27-O27)+(T27-S27)+(X27-W27))))</f>
        <v/>
      </c>
      <c r="AC27" s="28">
        <f>ROUND(MAX(0,(AC26)+Z27-AB27),2)</f>
        <v/>
      </c>
      <c r="AD27" s="28">
        <f>ROUND((AG26)*(IF('Your Debts'!$G$11=0,0,INDEX('Your Debts'!$C$5:$C$12,'Your Debts'!$G$11)/12)),2)</f>
        <v/>
      </c>
      <c r="AE27" s="28">
        <f>MIN((AG26)+AD27,IF('Your Debts'!$G$11=0,0,INDEX('Your Debts'!$D$5:$D$12,'Your Debts'!$G$11)))</f>
        <v/>
      </c>
      <c r="AF27" s="28">
        <f>AE27+MIN((AG26)+AD27-AE27,MAX(0,$E27-((H27-G27)+(L27-K27)+(P27-O27)+(T27-S27)+(X27-W27)+(AB27-AA27))))</f>
        <v/>
      </c>
      <c r="AG27" s="28">
        <f>ROUND(MAX(0,(AG26)+AD27-AF27),2)</f>
        <v/>
      </c>
      <c r="AH27" s="28">
        <f>ROUND((AK26)*(IF('Your Debts'!$G$12=0,0,INDEX('Your Debts'!$C$5:$C$12,'Your Debts'!$G$12)/12)),2)</f>
        <v/>
      </c>
      <c r="AI27" s="28">
        <f>MIN((AK26)+AH27,IF('Your Debts'!$G$12=0,0,INDEX('Your Debts'!$D$5:$D$12,'Your Debts'!$G$12)))</f>
        <v/>
      </c>
      <c r="AJ27" s="28">
        <f>AI27+MIN((AK26)+AH27-AI27,MAX(0,$E27-((H27-G27)+(L27-K27)+(P27-O27)+(T27-S27)+(X27-W27)+(AB27-AA27)+(AF27-AE27))))</f>
        <v/>
      </c>
      <c r="AK27" s="28">
        <f>ROUND(MAX(0,(AK26)+AH27-AJ27),2)</f>
        <v/>
      </c>
      <c r="AL27" s="18">
        <f>I27+M27+Q27+U27+Y27+AC27+AG27+AK27</f>
        <v/>
      </c>
      <c r="AM27" s="27">
        <f>AM26+F27+J27+N27+R27+V27+Z27+AD27+AH27</f>
        <v/>
      </c>
    </row>
    <row r="28">
      <c r="A28" s="25" t="n">
        <v>23</v>
      </c>
      <c r="B28" s="26">
        <f>EDATE('Your Debts'!$B$19,22)</f>
        <v/>
      </c>
      <c r="C28" s="27">
        <f>'Your Debts'!$B$18</f>
        <v/>
      </c>
      <c r="D28" s="27">
        <f>G28+K28+O28+S28+W28+AA28+AE28+AI28</f>
        <v/>
      </c>
      <c r="E28" s="27">
        <f>MAX(0,C28-D28)</f>
        <v/>
      </c>
      <c r="F28" s="28">
        <f>ROUND((I27)*(IF('Your Debts'!$G$5=0,0,INDEX('Your Debts'!$C$5:$C$12,'Your Debts'!$G$5)/12)),2)</f>
        <v/>
      </c>
      <c r="G28" s="28">
        <f>MIN((I27)+F28,IF('Your Debts'!$G$5=0,0,INDEX('Your Debts'!$D$5:$D$12,'Your Debts'!$G$5)))</f>
        <v/>
      </c>
      <c r="H28" s="28">
        <f>G28+MIN((I27)+F28-G28,MAX(0,$E28-(0)))</f>
        <v/>
      </c>
      <c r="I28" s="28">
        <f>ROUND(MAX(0,(I27)+F28-H28),2)</f>
        <v/>
      </c>
      <c r="J28" s="28">
        <f>ROUND((M27)*(IF('Your Debts'!$G$6=0,0,INDEX('Your Debts'!$C$5:$C$12,'Your Debts'!$G$6)/12)),2)</f>
        <v/>
      </c>
      <c r="K28" s="28">
        <f>MIN((M27)+J28,IF('Your Debts'!$G$6=0,0,INDEX('Your Debts'!$D$5:$D$12,'Your Debts'!$G$6)))</f>
        <v/>
      </c>
      <c r="L28" s="28">
        <f>K28+MIN((M27)+J28-K28,MAX(0,$E28-((H28-G28))))</f>
        <v/>
      </c>
      <c r="M28" s="28">
        <f>ROUND(MAX(0,(M27)+J28-L28),2)</f>
        <v/>
      </c>
      <c r="N28" s="28">
        <f>ROUND((Q27)*(IF('Your Debts'!$G$7=0,0,INDEX('Your Debts'!$C$5:$C$12,'Your Debts'!$G$7)/12)),2)</f>
        <v/>
      </c>
      <c r="O28" s="28">
        <f>MIN((Q27)+N28,IF('Your Debts'!$G$7=0,0,INDEX('Your Debts'!$D$5:$D$12,'Your Debts'!$G$7)))</f>
        <v/>
      </c>
      <c r="P28" s="28">
        <f>O28+MIN((Q27)+N28-O28,MAX(0,$E28-((H28-G28)+(L28-K28))))</f>
        <v/>
      </c>
      <c r="Q28" s="28">
        <f>ROUND(MAX(0,(Q27)+N28-P28),2)</f>
        <v/>
      </c>
      <c r="R28" s="28">
        <f>ROUND((U27)*(IF('Your Debts'!$G$8=0,0,INDEX('Your Debts'!$C$5:$C$12,'Your Debts'!$G$8)/12)),2)</f>
        <v/>
      </c>
      <c r="S28" s="28">
        <f>MIN((U27)+R28,IF('Your Debts'!$G$8=0,0,INDEX('Your Debts'!$D$5:$D$12,'Your Debts'!$G$8)))</f>
        <v/>
      </c>
      <c r="T28" s="28">
        <f>S28+MIN((U27)+R28-S28,MAX(0,$E28-((H28-G28)+(L28-K28)+(P28-O28))))</f>
        <v/>
      </c>
      <c r="U28" s="28">
        <f>ROUND(MAX(0,(U27)+R28-T28),2)</f>
        <v/>
      </c>
      <c r="V28" s="28">
        <f>ROUND((Y27)*(IF('Your Debts'!$G$9=0,0,INDEX('Your Debts'!$C$5:$C$12,'Your Debts'!$G$9)/12)),2)</f>
        <v/>
      </c>
      <c r="W28" s="28">
        <f>MIN((Y27)+V28,IF('Your Debts'!$G$9=0,0,INDEX('Your Debts'!$D$5:$D$12,'Your Debts'!$G$9)))</f>
        <v/>
      </c>
      <c r="X28" s="28">
        <f>W28+MIN((Y27)+V28-W28,MAX(0,$E28-((H28-G28)+(L28-K28)+(P28-O28)+(T28-S28))))</f>
        <v/>
      </c>
      <c r="Y28" s="28">
        <f>ROUND(MAX(0,(Y27)+V28-X28),2)</f>
        <v/>
      </c>
      <c r="Z28" s="28">
        <f>ROUND((AC27)*(IF('Your Debts'!$G$10=0,0,INDEX('Your Debts'!$C$5:$C$12,'Your Debts'!$G$10)/12)),2)</f>
        <v/>
      </c>
      <c r="AA28" s="28">
        <f>MIN((AC27)+Z28,IF('Your Debts'!$G$10=0,0,INDEX('Your Debts'!$D$5:$D$12,'Your Debts'!$G$10)))</f>
        <v/>
      </c>
      <c r="AB28" s="28">
        <f>AA28+MIN((AC27)+Z28-AA28,MAX(0,$E28-((H28-G28)+(L28-K28)+(P28-O28)+(T28-S28)+(X28-W28))))</f>
        <v/>
      </c>
      <c r="AC28" s="28">
        <f>ROUND(MAX(0,(AC27)+Z28-AB28),2)</f>
        <v/>
      </c>
      <c r="AD28" s="28">
        <f>ROUND((AG27)*(IF('Your Debts'!$G$11=0,0,INDEX('Your Debts'!$C$5:$C$12,'Your Debts'!$G$11)/12)),2)</f>
        <v/>
      </c>
      <c r="AE28" s="28">
        <f>MIN((AG27)+AD28,IF('Your Debts'!$G$11=0,0,INDEX('Your Debts'!$D$5:$D$12,'Your Debts'!$G$11)))</f>
        <v/>
      </c>
      <c r="AF28" s="28">
        <f>AE28+MIN((AG27)+AD28-AE28,MAX(0,$E28-((H28-G28)+(L28-K28)+(P28-O28)+(T28-S28)+(X28-W28)+(AB28-AA28))))</f>
        <v/>
      </c>
      <c r="AG28" s="28">
        <f>ROUND(MAX(0,(AG27)+AD28-AF28),2)</f>
        <v/>
      </c>
      <c r="AH28" s="28">
        <f>ROUND((AK27)*(IF('Your Debts'!$G$12=0,0,INDEX('Your Debts'!$C$5:$C$12,'Your Debts'!$G$12)/12)),2)</f>
        <v/>
      </c>
      <c r="AI28" s="28">
        <f>MIN((AK27)+AH28,IF('Your Debts'!$G$12=0,0,INDEX('Your Debts'!$D$5:$D$12,'Your Debts'!$G$12)))</f>
        <v/>
      </c>
      <c r="AJ28" s="28">
        <f>AI28+MIN((AK27)+AH28-AI28,MAX(0,$E28-((H28-G28)+(L28-K28)+(P28-O28)+(T28-S28)+(X28-W28)+(AB28-AA28)+(AF28-AE28))))</f>
        <v/>
      </c>
      <c r="AK28" s="28">
        <f>ROUND(MAX(0,(AK27)+AH28-AJ28),2)</f>
        <v/>
      </c>
      <c r="AL28" s="18">
        <f>I28+M28+Q28+U28+Y28+AC28+AG28+AK28</f>
        <v/>
      </c>
      <c r="AM28" s="27">
        <f>AM27+F28+J28+N28+R28+V28+Z28+AD28+AH28</f>
        <v/>
      </c>
    </row>
    <row r="29">
      <c r="A29" s="25" t="n">
        <v>24</v>
      </c>
      <c r="B29" s="26">
        <f>EDATE('Your Debts'!$B$19,23)</f>
        <v/>
      </c>
      <c r="C29" s="27">
        <f>'Your Debts'!$B$18</f>
        <v/>
      </c>
      <c r="D29" s="27">
        <f>G29+K29+O29+S29+W29+AA29+AE29+AI29</f>
        <v/>
      </c>
      <c r="E29" s="27">
        <f>MAX(0,C29-D29)</f>
        <v/>
      </c>
      <c r="F29" s="28">
        <f>ROUND((I28)*(IF('Your Debts'!$G$5=0,0,INDEX('Your Debts'!$C$5:$C$12,'Your Debts'!$G$5)/12)),2)</f>
        <v/>
      </c>
      <c r="G29" s="28">
        <f>MIN((I28)+F29,IF('Your Debts'!$G$5=0,0,INDEX('Your Debts'!$D$5:$D$12,'Your Debts'!$G$5)))</f>
        <v/>
      </c>
      <c r="H29" s="28">
        <f>G29+MIN((I28)+F29-G29,MAX(0,$E29-(0)))</f>
        <v/>
      </c>
      <c r="I29" s="28">
        <f>ROUND(MAX(0,(I28)+F29-H29),2)</f>
        <v/>
      </c>
      <c r="J29" s="28">
        <f>ROUND((M28)*(IF('Your Debts'!$G$6=0,0,INDEX('Your Debts'!$C$5:$C$12,'Your Debts'!$G$6)/12)),2)</f>
        <v/>
      </c>
      <c r="K29" s="28">
        <f>MIN((M28)+J29,IF('Your Debts'!$G$6=0,0,INDEX('Your Debts'!$D$5:$D$12,'Your Debts'!$G$6)))</f>
        <v/>
      </c>
      <c r="L29" s="28">
        <f>K29+MIN((M28)+J29-K29,MAX(0,$E29-((H29-G29))))</f>
        <v/>
      </c>
      <c r="M29" s="28">
        <f>ROUND(MAX(0,(M28)+J29-L29),2)</f>
        <v/>
      </c>
      <c r="N29" s="28">
        <f>ROUND((Q28)*(IF('Your Debts'!$G$7=0,0,INDEX('Your Debts'!$C$5:$C$12,'Your Debts'!$G$7)/12)),2)</f>
        <v/>
      </c>
      <c r="O29" s="28">
        <f>MIN((Q28)+N29,IF('Your Debts'!$G$7=0,0,INDEX('Your Debts'!$D$5:$D$12,'Your Debts'!$G$7)))</f>
        <v/>
      </c>
      <c r="P29" s="28">
        <f>O29+MIN((Q28)+N29-O29,MAX(0,$E29-((H29-G29)+(L29-K29))))</f>
        <v/>
      </c>
      <c r="Q29" s="28">
        <f>ROUND(MAX(0,(Q28)+N29-P29),2)</f>
        <v/>
      </c>
      <c r="R29" s="28">
        <f>ROUND((U28)*(IF('Your Debts'!$G$8=0,0,INDEX('Your Debts'!$C$5:$C$12,'Your Debts'!$G$8)/12)),2)</f>
        <v/>
      </c>
      <c r="S29" s="28">
        <f>MIN((U28)+R29,IF('Your Debts'!$G$8=0,0,INDEX('Your Debts'!$D$5:$D$12,'Your Debts'!$G$8)))</f>
        <v/>
      </c>
      <c r="T29" s="28">
        <f>S29+MIN((U28)+R29-S29,MAX(0,$E29-((H29-G29)+(L29-K29)+(P29-O29))))</f>
        <v/>
      </c>
      <c r="U29" s="28">
        <f>ROUND(MAX(0,(U28)+R29-T29),2)</f>
        <v/>
      </c>
      <c r="V29" s="28">
        <f>ROUND((Y28)*(IF('Your Debts'!$G$9=0,0,INDEX('Your Debts'!$C$5:$C$12,'Your Debts'!$G$9)/12)),2)</f>
        <v/>
      </c>
      <c r="W29" s="28">
        <f>MIN((Y28)+V29,IF('Your Debts'!$G$9=0,0,INDEX('Your Debts'!$D$5:$D$12,'Your Debts'!$G$9)))</f>
        <v/>
      </c>
      <c r="X29" s="28">
        <f>W29+MIN((Y28)+V29-W29,MAX(0,$E29-((H29-G29)+(L29-K29)+(P29-O29)+(T29-S29))))</f>
        <v/>
      </c>
      <c r="Y29" s="28">
        <f>ROUND(MAX(0,(Y28)+V29-X29),2)</f>
        <v/>
      </c>
      <c r="Z29" s="28">
        <f>ROUND((AC28)*(IF('Your Debts'!$G$10=0,0,INDEX('Your Debts'!$C$5:$C$12,'Your Debts'!$G$10)/12)),2)</f>
        <v/>
      </c>
      <c r="AA29" s="28">
        <f>MIN((AC28)+Z29,IF('Your Debts'!$G$10=0,0,INDEX('Your Debts'!$D$5:$D$12,'Your Debts'!$G$10)))</f>
        <v/>
      </c>
      <c r="AB29" s="28">
        <f>AA29+MIN((AC28)+Z29-AA29,MAX(0,$E29-((H29-G29)+(L29-K29)+(P29-O29)+(T29-S29)+(X29-W29))))</f>
        <v/>
      </c>
      <c r="AC29" s="28">
        <f>ROUND(MAX(0,(AC28)+Z29-AB29),2)</f>
        <v/>
      </c>
      <c r="AD29" s="28">
        <f>ROUND((AG28)*(IF('Your Debts'!$G$11=0,0,INDEX('Your Debts'!$C$5:$C$12,'Your Debts'!$G$11)/12)),2)</f>
        <v/>
      </c>
      <c r="AE29" s="28">
        <f>MIN((AG28)+AD29,IF('Your Debts'!$G$11=0,0,INDEX('Your Debts'!$D$5:$D$12,'Your Debts'!$G$11)))</f>
        <v/>
      </c>
      <c r="AF29" s="28">
        <f>AE29+MIN((AG28)+AD29-AE29,MAX(0,$E29-((H29-G29)+(L29-K29)+(P29-O29)+(T29-S29)+(X29-W29)+(AB29-AA29))))</f>
        <v/>
      </c>
      <c r="AG29" s="28">
        <f>ROUND(MAX(0,(AG28)+AD29-AF29),2)</f>
        <v/>
      </c>
      <c r="AH29" s="28">
        <f>ROUND((AK28)*(IF('Your Debts'!$G$12=0,0,INDEX('Your Debts'!$C$5:$C$12,'Your Debts'!$G$12)/12)),2)</f>
        <v/>
      </c>
      <c r="AI29" s="28">
        <f>MIN((AK28)+AH29,IF('Your Debts'!$G$12=0,0,INDEX('Your Debts'!$D$5:$D$12,'Your Debts'!$G$12)))</f>
        <v/>
      </c>
      <c r="AJ29" s="28">
        <f>AI29+MIN((AK28)+AH29-AI29,MAX(0,$E29-((H29-G29)+(L29-K29)+(P29-O29)+(T29-S29)+(X29-W29)+(AB29-AA29)+(AF29-AE29))))</f>
        <v/>
      </c>
      <c r="AK29" s="28">
        <f>ROUND(MAX(0,(AK28)+AH29-AJ29),2)</f>
        <v/>
      </c>
      <c r="AL29" s="18">
        <f>I29+M29+Q29+U29+Y29+AC29+AG29+AK29</f>
        <v/>
      </c>
      <c r="AM29" s="27">
        <f>AM28+F29+J29+N29+R29+V29+Z29+AD29+AH29</f>
        <v/>
      </c>
    </row>
    <row r="30">
      <c r="A30" s="25" t="n">
        <v>25</v>
      </c>
      <c r="B30" s="26">
        <f>EDATE('Your Debts'!$B$19,24)</f>
        <v/>
      </c>
      <c r="C30" s="27">
        <f>'Your Debts'!$B$18</f>
        <v/>
      </c>
      <c r="D30" s="27">
        <f>G30+K30+O30+S30+W30+AA30+AE30+AI30</f>
        <v/>
      </c>
      <c r="E30" s="27">
        <f>MAX(0,C30-D30)</f>
        <v/>
      </c>
      <c r="F30" s="28">
        <f>ROUND((I29)*(IF('Your Debts'!$G$5=0,0,INDEX('Your Debts'!$C$5:$C$12,'Your Debts'!$G$5)/12)),2)</f>
        <v/>
      </c>
      <c r="G30" s="28">
        <f>MIN((I29)+F30,IF('Your Debts'!$G$5=0,0,INDEX('Your Debts'!$D$5:$D$12,'Your Debts'!$G$5)))</f>
        <v/>
      </c>
      <c r="H30" s="28">
        <f>G30+MIN((I29)+F30-G30,MAX(0,$E30-(0)))</f>
        <v/>
      </c>
      <c r="I30" s="28">
        <f>ROUND(MAX(0,(I29)+F30-H30),2)</f>
        <v/>
      </c>
      <c r="J30" s="28">
        <f>ROUND((M29)*(IF('Your Debts'!$G$6=0,0,INDEX('Your Debts'!$C$5:$C$12,'Your Debts'!$G$6)/12)),2)</f>
        <v/>
      </c>
      <c r="K30" s="28">
        <f>MIN((M29)+J30,IF('Your Debts'!$G$6=0,0,INDEX('Your Debts'!$D$5:$D$12,'Your Debts'!$G$6)))</f>
        <v/>
      </c>
      <c r="L30" s="28">
        <f>K30+MIN((M29)+J30-K30,MAX(0,$E30-((H30-G30))))</f>
        <v/>
      </c>
      <c r="M30" s="28">
        <f>ROUND(MAX(0,(M29)+J30-L30),2)</f>
        <v/>
      </c>
      <c r="N30" s="28">
        <f>ROUND((Q29)*(IF('Your Debts'!$G$7=0,0,INDEX('Your Debts'!$C$5:$C$12,'Your Debts'!$G$7)/12)),2)</f>
        <v/>
      </c>
      <c r="O30" s="28">
        <f>MIN((Q29)+N30,IF('Your Debts'!$G$7=0,0,INDEX('Your Debts'!$D$5:$D$12,'Your Debts'!$G$7)))</f>
        <v/>
      </c>
      <c r="P30" s="28">
        <f>O30+MIN((Q29)+N30-O30,MAX(0,$E30-((H30-G30)+(L30-K30))))</f>
        <v/>
      </c>
      <c r="Q30" s="28">
        <f>ROUND(MAX(0,(Q29)+N30-P30),2)</f>
        <v/>
      </c>
      <c r="R30" s="28">
        <f>ROUND((U29)*(IF('Your Debts'!$G$8=0,0,INDEX('Your Debts'!$C$5:$C$12,'Your Debts'!$G$8)/12)),2)</f>
        <v/>
      </c>
      <c r="S30" s="28">
        <f>MIN((U29)+R30,IF('Your Debts'!$G$8=0,0,INDEX('Your Debts'!$D$5:$D$12,'Your Debts'!$G$8)))</f>
        <v/>
      </c>
      <c r="T30" s="28">
        <f>S30+MIN((U29)+R30-S30,MAX(0,$E30-((H30-G30)+(L30-K30)+(P30-O30))))</f>
        <v/>
      </c>
      <c r="U30" s="28">
        <f>ROUND(MAX(0,(U29)+R30-T30),2)</f>
        <v/>
      </c>
      <c r="V30" s="28">
        <f>ROUND((Y29)*(IF('Your Debts'!$G$9=0,0,INDEX('Your Debts'!$C$5:$C$12,'Your Debts'!$G$9)/12)),2)</f>
        <v/>
      </c>
      <c r="W30" s="28">
        <f>MIN((Y29)+V30,IF('Your Debts'!$G$9=0,0,INDEX('Your Debts'!$D$5:$D$12,'Your Debts'!$G$9)))</f>
        <v/>
      </c>
      <c r="X30" s="28">
        <f>W30+MIN((Y29)+V30-W30,MAX(0,$E30-((H30-G30)+(L30-K30)+(P30-O30)+(T30-S30))))</f>
        <v/>
      </c>
      <c r="Y30" s="28">
        <f>ROUND(MAX(0,(Y29)+V30-X30),2)</f>
        <v/>
      </c>
      <c r="Z30" s="28">
        <f>ROUND((AC29)*(IF('Your Debts'!$G$10=0,0,INDEX('Your Debts'!$C$5:$C$12,'Your Debts'!$G$10)/12)),2)</f>
        <v/>
      </c>
      <c r="AA30" s="28">
        <f>MIN((AC29)+Z30,IF('Your Debts'!$G$10=0,0,INDEX('Your Debts'!$D$5:$D$12,'Your Debts'!$G$10)))</f>
        <v/>
      </c>
      <c r="AB30" s="28">
        <f>AA30+MIN((AC29)+Z30-AA30,MAX(0,$E30-((H30-G30)+(L30-K30)+(P30-O30)+(T30-S30)+(X30-W30))))</f>
        <v/>
      </c>
      <c r="AC30" s="28">
        <f>ROUND(MAX(0,(AC29)+Z30-AB30),2)</f>
        <v/>
      </c>
      <c r="AD30" s="28">
        <f>ROUND((AG29)*(IF('Your Debts'!$G$11=0,0,INDEX('Your Debts'!$C$5:$C$12,'Your Debts'!$G$11)/12)),2)</f>
        <v/>
      </c>
      <c r="AE30" s="28">
        <f>MIN((AG29)+AD30,IF('Your Debts'!$G$11=0,0,INDEX('Your Debts'!$D$5:$D$12,'Your Debts'!$G$11)))</f>
        <v/>
      </c>
      <c r="AF30" s="28">
        <f>AE30+MIN((AG29)+AD30-AE30,MAX(0,$E30-((H30-G30)+(L30-K30)+(P30-O30)+(T30-S30)+(X30-W30)+(AB30-AA30))))</f>
        <v/>
      </c>
      <c r="AG30" s="28">
        <f>ROUND(MAX(0,(AG29)+AD30-AF30),2)</f>
        <v/>
      </c>
      <c r="AH30" s="28">
        <f>ROUND((AK29)*(IF('Your Debts'!$G$12=0,0,INDEX('Your Debts'!$C$5:$C$12,'Your Debts'!$G$12)/12)),2)</f>
        <v/>
      </c>
      <c r="AI30" s="28">
        <f>MIN((AK29)+AH30,IF('Your Debts'!$G$12=0,0,INDEX('Your Debts'!$D$5:$D$12,'Your Debts'!$G$12)))</f>
        <v/>
      </c>
      <c r="AJ30" s="28">
        <f>AI30+MIN((AK29)+AH30-AI30,MAX(0,$E30-((H30-G30)+(L30-K30)+(P30-O30)+(T30-S30)+(X30-W30)+(AB30-AA30)+(AF30-AE30))))</f>
        <v/>
      </c>
      <c r="AK30" s="28">
        <f>ROUND(MAX(0,(AK29)+AH30-AJ30),2)</f>
        <v/>
      </c>
      <c r="AL30" s="18">
        <f>I30+M30+Q30+U30+Y30+AC30+AG30+AK30</f>
        <v/>
      </c>
      <c r="AM30" s="27">
        <f>AM29+F30+J30+N30+R30+V30+Z30+AD30+AH30</f>
        <v/>
      </c>
    </row>
    <row r="31">
      <c r="A31" s="25" t="n">
        <v>26</v>
      </c>
      <c r="B31" s="26">
        <f>EDATE('Your Debts'!$B$19,25)</f>
        <v/>
      </c>
      <c r="C31" s="27">
        <f>'Your Debts'!$B$18</f>
        <v/>
      </c>
      <c r="D31" s="27">
        <f>G31+K31+O31+S31+W31+AA31+AE31+AI31</f>
        <v/>
      </c>
      <c r="E31" s="27">
        <f>MAX(0,C31-D31)</f>
        <v/>
      </c>
      <c r="F31" s="28">
        <f>ROUND((I30)*(IF('Your Debts'!$G$5=0,0,INDEX('Your Debts'!$C$5:$C$12,'Your Debts'!$G$5)/12)),2)</f>
        <v/>
      </c>
      <c r="G31" s="28">
        <f>MIN((I30)+F31,IF('Your Debts'!$G$5=0,0,INDEX('Your Debts'!$D$5:$D$12,'Your Debts'!$G$5)))</f>
        <v/>
      </c>
      <c r="H31" s="28">
        <f>G31+MIN((I30)+F31-G31,MAX(0,$E31-(0)))</f>
        <v/>
      </c>
      <c r="I31" s="28">
        <f>ROUND(MAX(0,(I30)+F31-H31),2)</f>
        <v/>
      </c>
      <c r="J31" s="28">
        <f>ROUND((M30)*(IF('Your Debts'!$G$6=0,0,INDEX('Your Debts'!$C$5:$C$12,'Your Debts'!$G$6)/12)),2)</f>
        <v/>
      </c>
      <c r="K31" s="28">
        <f>MIN((M30)+J31,IF('Your Debts'!$G$6=0,0,INDEX('Your Debts'!$D$5:$D$12,'Your Debts'!$G$6)))</f>
        <v/>
      </c>
      <c r="L31" s="28">
        <f>K31+MIN((M30)+J31-K31,MAX(0,$E31-((H31-G31))))</f>
        <v/>
      </c>
      <c r="M31" s="28">
        <f>ROUND(MAX(0,(M30)+J31-L31),2)</f>
        <v/>
      </c>
      <c r="N31" s="28">
        <f>ROUND((Q30)*(IF('Your Debts'!$G$7=0,0,INDEX('Your Debts'!$C$5:$C$12,'Your Debts'!$G$7)/12)),2)</f>
        <v/>
      </c>
      <c r="O31" s="28">
        <f>MIN((Q30)+N31,IF('Your Debts'!$G$7=0,0,INDEX('Your Debts'!$D$5:$D$12,'Your Debts'!$G$7)))</f>
        <v/>
      </c>
      <c r="P31" s="28">
        <f>O31+MIN((Q30)+N31-O31,MAX(0,$E31-((H31-G31)+(L31-K31))))</f>
        <v/>
      </c>
      <c r="Q31" s="28">
        <f>ROUND(MAX(0,(Q30)+N31-P31),2)</f>
        <v/>
      </c>
      <c r="R31" s="28">
        <f>ROUND((U30)*(IF('Your Debts'!$G$8=0,0,INDEX('Your Debts'!$C$5:$C$12,'Your Debts'!$G$8)/12)),2)</f>
        <v/>
      </c>
      <c r="S31" s="28">
        <f>MIN((U30)+R31,IF('Your Debts'!$G$8=0,0,INDEX('Your Debts'!$D$5:$D$12,'Your Debts'!$G$8)))</f>
        <v/>
      </c>
      <c r="T31" s="28">
        <f>S31+MIN((U30)+R31-S31,MAX(0,$E31-((H31-G31)+(L31-K31)+(P31-O31))))</f>
        <v/>
      </c>
      <c r="U31" s="28">
        <f>ROUND(MAX(0,(U30)+R31-T31),2)</f>
        <v/>
      </c>
      <c r="V31" s="28">
        <f>ROUND((Y30)*(IF('Your Debts'!$G$9=0,0,INDEX('Your Debts'!$C$5:$C$12,'Your Debts'!$G$9)/12)),2)</f>
        <v/>
      </c>
      <c r="W31" s="28">
        <f>MIN((Y30)+V31,IF('Your Debts'!$G$9=0,0,INDEX('Your Debts'!$D$5:$D$12,'Your Debts'!$G$9)))</f>
        <v/>
      </c>
      <c r="X31" s="28">
        <f>W31+MIN((Y30)+V31-W31,MAX(0,$E31-((H31-G31)+(L31-K31)+(P31-O31)+(T31-S31))))</f>
        <v/>
      </c>
      <c r="Y31" s="28">
        <f>ROUND(MAX(0,(Y30)+V31-X31),2)</f>
        <v/>
      </c>
      <c r="Z31" s="28">
        <f>ROUND((AC30)*(IF('Your Debts'!$G$10=0,0,INDEX('Your Debts'!$C$5:$C$12,'Your Debts'!$G$10)/12)),2)</f>
        <v/>
      </c>
      <c r="AA31" s="28">
        <f>MIN((AC30)+Z31,IF('Your Debts'!$G$10=0,0,INDEX('Your Debts'!$D$5:$D$12,'Your Debts'!$G$10)))</f>
        <v/>
      </c>
      <c r="AB31" s="28">
        <f>AA31+MIN((AC30)+Z31-AA31,MAX(0,$E31-((H31-G31)+(L31-K31)+(P31-O31)+(T31-S31)+(X31-W31))))</f>
        <v/>
      </c>
      <c r="AC31" s="28">
        <f>ROUND(MAX(0,(AC30)+Z31-AB31),2)</f>
        <v/>
      </c>
      <c r="AD31" s="28">
        <f>ROUND((AG30)*(IF('Your Debts'!$G$11=0,0,INDEX('Your Debts'!$C$5:$C$12,'Your Debts'!$G$11)/12)),2)</f>
        <v/>
      </c>
      <c r="AE31" s="28">
        <f>MIN((AG30)+AD31,IF('Your Debts'!$G$11=0,0,INDEX('Your Debts'!$D$5:$D$12,'Your Debts'!$G$11)))</f>
        <v/>
      </c>
      <c r="AF31" s="28">
        <f>AE31+MIN((AG30)+AD31-AE31,MAX(0,$E31-((H31-G31)+(L31-K31)+(P31-O31)+(T31-S31)+(X31-W31)+(AB31-AA31))))</f>
        <v/>
      </c>
      <c r="AG31" s="28">
        <f>ROUND(MAX(0,(AG30)+AD31-AF31),2)</f>
        <v/>
      </c>
      <c r="AH31" s="28">
        <f>ROUND((AK30)*(IF('Your Debts'!$G$12=0,0,INDEX('Your Debts'!$C$5:$C$12,'Your Debts'!$G$12)/12)),2)</f>
        <v/>
      </c>
      <c r="AI31" s="28">
        <f>MIN((AK30)+AH31,IF('Your Debts'!$G$12=0,0,INDEX('Your Debts'!$D$5:$D$12,'Your Debts'!$G$12)))</f>
        <v/>
      </c>
      <c r="AJ31" s="28">
        <f>AI31+MIN((AK30)+AH31-AI31,MAX(0,$E31-((H31-G31)+(L31-K31)+(P31-O31)+(T31-S31)+(X31-W31)+(AB31-AA31)+(AF31-AE31))))</f>
        <v/>
      </c>
      <c r="AK31" s="28">
        <f>ROUND(MAX(0,(AK30)+AH31-AJ31),2)</f>
        <v/>
      </c>
      <c r="AL31" s="18">
        <f>I31+M31+Q31+U31+Y31+AC31+AG31+AK31</f>
        <v/>
      </c>
      <c r="AM31" s="27">
        <f>AM30+F31+J31+N31+R31+V31+Z31+AD31+AH31</f>
        <v/>
      </c>
    </row>
    <row r="32">
      <c r="A32" s="25" t="n">
        <v>27</v>
      </c>
      <c r="B32" s="26">
        <f>EDATE('Your Debts'!$B$19,26)</f>
        <v/>
      </c>
      <c r="C32" s="27">
        <f>'Your Debts'!$B$18</f>
        <v/>
      </c>
      <c r="D32" s="27">
        <f>G32+K32+O32+S32+W32+AA32+AE32+AI32</f>
        <v/>
      </c>
      <c r="E32" s="27">
        <f>MAX(0,C32-D32)</f>
        <v/>
      </c>
      <c r="F32" s="28">
        <f>ROUND((I31)*(IF('Your Debts'!$G$5=0,0,INDEX('Your Debts'!$C$5:$C$12,'Your Debts'!$G$5)/12)),2)</f>
        <v/>
      </c>
      <c r="G32" s="28">
        <f>MIN((I31)+F32,IF('Your Debts'!$G$5=0,0,INDEX('Your Debts'!$D$5:$D$12,'Your Debts'!$G$5)))</f>
        <v/>
      </c>
      <c r="H32" s="28">
        <f>G32+MIN((I31)+F32-G32,MAX(0,$E32-(0)))</f>
        <v/>
      </c>
      <c r="I32" s="28">
        <f>ROUND(MAX(0,(I31)+F32-H32),2)</f>
        <v/>
      </c>
      <c r="J32" s="28">
        <f>ROUND((M31)*(IF('Your Debts'!$G$6=0,0,INDEX('Your Debts'!$C$5:$C$12,'Your Debts'!$G$6)/12)),2)</f>
        <v/>
      </c>
      <c r="K32" s="28">
        <f>MIN((M31)+J32,IF('Your Debts'!$G$6=0,0,INDEX('Your Debts'!$D$5:$D$12,'Your Debts'!$G$6)))</f>
        <v/>
      </c>
      <c r="L32" s="28">
        <f>K32+MIN((M31)+J32-K32,MAX(0,$E32-((H32-G32))))</f>
        <v/>
      </c>
      <c r="M32" s="28">
        <f>ROUND(MAX(0,(M31)+J32-L32),2)</f>
        <v/>
      </c>
      <c r="N32" s="28">
        <f>ROUND((Q31)*(IF('Your Debts'!$G$7=0,0,INDEX('Your Debts'!$C$5:$C$12,'Your Debts'!$G$7)/12)),2)</f>
        <v/>
      </c>
      <c r="O32" s="28">
        <f>MIN((Q31)+N32,IF('Your Debts'!$G$7=0,0,INDEX('Your Debts'!$D$5:$D$12,'Your Debts'!$G$7)))</f>
        <v/>
      </c>
      <c r="P32" s="28">
        <f>O32+MIN((Q31)+N32-O32,MAX(0,$E32-((H32-G32)+(L32-K32))))</f>
        <v/>
      </c>
      <c r="Q32" s="28">
        <f>ROUND(MAX(0,(Q31)+N32-P32),2)</f>
        <v/>
      </c>
      <c r="R32" s="28">
        <f>ROUND((U31)*(IF('Your Debts'!$G$8=0,0,INDEX('Your Debts'!$C$5:$C$12,'Your Debts'!$G$8)/12)),2)</f>
        <v/>
      </c>
      <c r="S32" s="28">
        <f>MIN((U31)+R32,IF('Your Debts'!$G$8=0,0,INDEX('Your Debts'!$D$5:$D$12,'Your Debts'!$G$8)))</f>
        <v/>
      </c>
      <c r="T32" s="28">
        <f>S32+MIN((U31)+R32-S32,MAX(0,$E32-((H32-G32)+(L32-K32)+(P32-O32))))</f>
        <v/>
      </c>
      <c r="U32" s="28">
        <f>ROUND(MAX(0,(U31)+R32-T32),2)</f>
        <v/>
      </c>
      <c r="V32" s="28">
        <f>ROUND((Y31)*(IF('Your Debts'!$G$9=0,0,INDEX('Your Debts'!$C$5:$C$12,'Your Debts'!$G$9)/12)),2)</f>
        <v/>
      </c>
      <c r="W32" s="28">
        <f>MIN((Y31)+V32,IF('Your Debts'!$G$9=0,0,INDEX('Your Debts'!$D$5:$D$12,'Your Debts'!$G$9)))</f>
        <v/>
      </c>
      <c r="X32" s="28">
        <f>W32+MIN((Y31)+V32-W32,MAX(0,$E32-((H32-G32)+(L32-K32)+(P32-O32)+(T32-S32))))</f>
        <v/>
      </c>
      <c r="Y32" s="28">
        <f>ROUND(MAX(0,(Y31)+V32-X32),2)</f>
        <v/>
      </c>
      <c r="Z32" s="28">
        <f>ROUND((AC31)*(IF('Your Debts'!$G$10=0,0,INDEX('Your Debts'!$C$5:$C$12,'Your Debts'!$G$10)/12)),2)</f>
        <v/>
      </c>
      <c r="AA32" s="28">
        <f>MIN((AC31)+Z32,IF('Your Debts'!$G$10=0,0,INDEX('Your Debts'!$D$5:$D$12,'Your Debts'!$G$10)))</f>
        <v/>
      </c>
      <c r="AB32" s="28">
        <f>AA32+MIN((AC31)+Z32-AA32,MAX(0,$E32-((H32-G32)+(L32-K32)+(P32-O32)+(T32-S32)+(X32-W32))))</f>
        <v/>
      </c>
      <c r="AC32" s="28">
        <f>ROUND(MAX(0,(AC31)+Z32-AB32),2)</f>
        <v/>
      </c>
      <c r="AD32" s="28">
        <f>ROUND((AG31)*(IF('Your Debts'!$G$11=0,0,INDEX('Your Debts'!$C$5:$C$12,'Your Debts'!$G$11)/12)),2)</f>
        <v/>
      </c>
      <c r="AE32" s="28">
        <f>MIN((AG31)+AD32,IF('Your Debts'!$G$11=0,0,INDEX('Your Debts'!$D$5:$D$12,'Your Debts'!$G$11)))</f>
        <v/>
      </c>
      <c r="AF32" s="28">
        <f>AE32+MIN((AG31)+AD32-AE32,MAX(0,$E32-((H32-G32)+(L32-K32)+(P32-O32)+(T32-S32)+(X32-W32)+(AB32-AA32))))</f>
        <v/>
      </c>
      <c r="AG32" s="28">
        <f>ROUND(MAX(0,(AG31)+AD32-AF32),2)</f>
        <v/>
      </c>
      <c r="AH32" s="28">
        <f>ROUND((AK31)*(IF('Your Debts'!$G$12=0,0,INDEX('Your Debts'!$C$5:$C$12,'Your Debts'!$G$12)/12)),2)</f>
        <v/>
      </c>
      <c r="AI32" s="28">
        <f>MIN((AK31)+AH32,IF('Your Debts'!$G$12=0,0,INDEX('Your Debts'!$D$5:$D$12,'Your Debts'!$G$12)))</f>
        <v/>
      </c>
      <c r="AJ32" s="28">
        <f>AI32+MIN((AK31)+AH32-AI32,MAX(0,$E32-((H32-G32)+(L32-K32)+(P32-O32)+(T32-S32)+(X32-W32)+(AB32-AA32)+(AF32-AE32))))</f>
        <v/>
      </c>
      <c r="AK32" s="28">
        <f>ROUND(MAX(0,(AK31)+AH32-AJ32),2)</f>
        <v/>
      </c>
      <c r="AL32" s="18">
        <f>I32+M32+Q32+U32+Y32+AC32+AG32+AK32</f>
        <v/>
      </c>
      <c r="AM32" s="27">
        <f>AM31+F32+J32+N32+R32+V32+Z32+AD32+AH32</f>
        <v/>
      </c>
    </row>
    <row r="33">
      <c r="A33" s="25" t="n">
        <v>28</v>
      </c>
      <c r="B33" s="26">
        <f>EDATE('Your Debts'!$B$19,27)</f>
        <v/>
      </c>
      <c r="C33" s="27">
        <f>'Your Debts'!$B$18</f>
        <v/>
      </c>
      <c r="D33" s="27">
        <f>G33+K33+O33+S33+W33+AA33+AE33+AI33</f>
        <v/>
      </c>
      <c r="E33" s="27">
        <f>MAX(0,C33-D33)</f>
        <v/>
      </c>
      <c r="F33" s="28">
        <f>ROUND((I32)*(IF('Your Debts'!$G$5=0,0,INDEX('Your Debts'!$C$5:$C$12,'Your Debts'!$G$5)/12)),2)</f>
        <v/>
      </c>
      <c r="G33" s="28">
        <f>MIN((I32)+F33,IF('Your Debts'!$G$5=0,0,INDEX('Your Debts'!$D$5:$D$12,'Your Debts'!$G$5)))</f>
        <v/>
      </c>
      <c r="H33" s="28">
        <f>G33+MIN((I32)+F33-G33,MAX(0,$E33-(0)))</f>
        <v/>
      </c>
      <c r="I33" s="28">
        <f>ROUND(MAX(0,(I32)+F33-H33),2)</f>
        <v/>
      </c>
      <c r="J33" s="28">
        <f>ROUND((M32)*(IF('Your Debts'!$G$6=0,0,INDEX('Your Debts'!$C$5:$C$12,'Your Debts'!$G$6)/12)),2)</f>
        <v/>
      </c>
      <c r="K33" s="28">
        <f>MIN((M32)+J33,IF('Your Debts'!$G$6=0,0,INDEX('Your Debts'!$D$5:$D$12,'Your Debts'!$G$6)))</f>
        <v/>
      </c>
      <c r="L33" s="28">
        <f>K33+MIN((M32)+J33-K33,MAX(0,$E33-((H33-G33))))</f>
        <v/>
      </c>
      <c r="M33" s="28">
        <f>ROUND(MAX(0,(M32)+J33-L33),2)</f>
        <v/>
      </c>
      <c r="N33" s="28">
        <f>ROUND((Q32)*(IF('Your Debts'!$G$7=0,0,INDEX('Your Debts'!$C$5:$C$12,'Your Debts'!$G$7)/12)),2)</f>
        <v/>
      </c>
      <c r="O33" s="28">
        <f>MIN((Q32)+N33,IF('Your Debts'!$G$7=0,0,INDEX('Your Debts'!$D$5:$D$12,'Your Debts'!$G$7)))</f>
        <v/>
      </c>
      <c r="P33" s="28">
        <f>O33+MIN((Q32)+N33-O33,MAX(0,$E33-((H33-G33)+(L33-K33))))</f>
        <v/>
      </c>
      <c r="Q33" s="28">
        <f>ROUND(MAX(0,(Q32)+N33-P33),2)</f>
        <v/>
      </c>
      <c r="R33" s="28">
        <f>ROUND((U32)*(IF('Your Debts'!$G$8=0,0,INDEX('Your Debts'!$C$5:$C$12,'Your Debts'!$G$8)/12)),2)</f>
        <v/>
      </c>
      <c r="S33" s="28">
        <f>MIN((U32)+R33,IF('Your Debts'!$G$8=0,0,INDEX('Your Debts'!$D$5:$D$12,'Your Debts'!$G$8)))</f>
        <v/>
      </c>
      <c r="T33" s="28">
        <f>S33+MIN((U32)+R33-S33,MAX(0,$E33-((H33-G33)+(L33-K33)+(P33-O33))))</f>
        <v/>
      </c>
      <c r="U33" s="28">
        <f>ROUND(MAX(0,(U32)+R33-T33),2)</f>
        <v/>
      </c>
      <c r="V33" s="28">
        <f>ROUND((Y32)*(IF('Your Debts'!$G$9=0,0,INDEX('Your Debts'!$C$5:$C$12,'Your Debts'!$G$9)/12)),2)</f>
        <v/>
      </c>
      <c r="W33" s="28">
        <f>MIN((Y32)+V33,IF('Your Debts'!$G$9=0,0,INDEX('Your Debts'!$D$5:$D$12,'Your Debts'!$G$9)))</f>
        <v/>
      </c>
      <c r="X33" s="28">
        <f>W33+MIN((Y32)+V33-W33,MAX(0,$E33-((H33-G33)+(L33-K33)+(P33-O33)+(T33-S33))))</f>
        <v/>
      </c>
      <c r="Y33" s="28">
        <f>ROUND(MAX(0,(Y32)+V33-X33),2)</f>
        <v/>
      </c>
      <c r="Z33" s="28">
        <f>ROUND((AC32)*(IF('Your Debts'!$G$10=0,0,INDEX('Your Debts'!$C$5:$C$12,'Your Debts'!$G$10)/12)),2)</f>
        <v/>
      </c>
      <c r="AA33" s="28">
        <f>MIN((AC32)+Z33,IF('Your Debts'!$G$10=0,0,INDEX('Your Debts'!$D$5:$D$12,'Your Debts'!$G$10)))</f>
        <v/>
      </c>
      <c r="AB33" s="28">
        <f>AA33+MIN((AC32)+Z33-AA33,MAX(0,$E33-((H33-G33)+(L33-K33)+(P33-O33)+(T33-S33)+(X33-W33))))</f>
        <v/>
      </c>
      <c r="AC33" s="28">
        <f>ROUND(MAX(0,(AC32)+Z33-AB33),2)</f>
        <v/>
      </c>
      <c r="AD33" s="28">
        <f>ROUND((AG32)*(IF('Your Debts'!$G$11=0,0,INDEX('Your Debts'!$C$5:$C$12,'Your Debts'!$G$11)/12)),2)</f>
        <v/>
      </c>
      <c r="AE33" s="28">
        <f>MIN((AG32)+AD33,IF('Your Debts'!$G$11=0,0,INDEX('Your Debts'!$D$5:$D$12,'Your Debts'!$G$11)))</f>
        <v/>
      </c>
      <c r="AF33" s="28">
        <f>AE33+MIN((AG32)+AD33-AE33,MAX(0,$E33-((H33-G33)+(L33-K33)+(P33-O33)+(T33-S33)+(X33-W33)+(AB33-AA33))))</f>
        <v/>
      </c>
      <c r="AG33" s="28">
        <f>ROUND(MAX(0,(AG32)+AD33-AF33),2)</f>
        <v/>
      </c>
      <c r="AH33" s="28">
        <f>ROUND((AK32)*(IF('Your Debts'!$G$12=0,0,INDEX('Your Debts'!$C$5:$C$12,'Your Debts'!$G$12)/12)),2)</f>
        <v/>
      </c>
      <c r="AI33" s="28">
        <f>MIN((AK32)+AH33,IF('Your Debts'!$G$12=0,0,INDEX('Your Debts'!$D$5:$D$12,'Your Debts'!$G$12)))</f>
        <v/>
      </c>
      <c r="AJ33" s="28">
        <f>AI33+MIN((AK32)+AH33-AI33,MAX(0,$E33-((H33-G33)+(L33-K33)+(P33-O33)+(T33-S33)+(X33-W33)+(AB33-AA33)+(AF33-AE33))))</f>
        <v/>
      </c>
      <c r="AK33" s="28">
        <f>ROUND(MAX(0,(AK32)+AH33-AJ33),2)</f>
        <v/>
      </c>
      <c r="AL33" s="18">
        <f>I33+M33+Q33+U33+Y33+AC33+AG33+AK33</f>
        <v/>
      </c>
      <c r="AM33" s="27">
        <f>AM32+F33+J33+N33+R33+V33+Z33+AD33+AH33</f>
        <v/>
      </c>
    </row>
    <row r="34">
      <c r="A34" s="25" t="n">
        <v>29</v>
      </c>
      <c r="B34" s="26">
        <f>EDATE('Your Debts'!$B$19,28)</f>
        <v/>
      </c>
      <c r="C34" s="27">
        <f>'Your Debts'!$B$18</f>
        <v/>
      </c>
      <c r="D34" s="27">
        <f>G34+K34+O34+S34+W34+AA34+AE34+AI34</f>
        <v/>
      </c>
      <c r="E34" s="27">
        <f>MAX(0,C34-D34)</f>
        <v/>
      </c>
      <c r="F34" s="28">
        <f>ROUND((I33)*(IF('Your Debts'!$G$5=0,0,INDEX('Your Debts'!$C$5:$C$12,'Your Debts'!$G$5)/12)),2)</f>
        <v/>
      </c>
      <c r="G34" s="28">
        <f>MIN((I33)+F34,IF('Your Debts'!$G$5=0,0,INDEX('Your Debts'!$D$5:$D$12,'Your Debts'!$G$5)))</f>
        <v/>
      </c>
      <c r="H34" s="28">
        <f>G34+MIN((I33)+F34-G34,MAX(0,$E34-(0)))</f>
        <v/>
      </c>
      <c r="I34" s="28">
        <f>ROUND(MAX(0,(I33)+F34-H34),2)</f>
        <v/>
      </c>
      <c r="J34" s="28">
        <f>ROUND((M33)*(IF('Your Debts'!$G$6=0,0,INDEX('Your Debts'!$C$5:$C$12,'Your Debts'!$G$6)/12)),2)</f>
        <v/>
      </c>
      <c r="K34" s="28">
        <f>MIN((M33)+J34,IF('Your Debts'!$G$6=0,0,INDEX('Your Debts'!$D$5:$D$12,'Your Debts'!$G$6)))</f>
        <v/>
      </c>
      <c r="L34" s="28">
        <f>K34+MIN((M33)+J34-K34,MAX(0,$E34-((H34-G34))))</f>
        <v/>
      </c>
      <c r="M34" s="28">
        <f>ROUND(MAX(0,(M33)+J34-L34),2)</f>
        <v/>
      </c>
      <c r="N34" s="28">
        <f>ROUND((Q33)*(IF('Your Debts'!$G$7=0,0,INDEX('Your Debts'!$C$5:$C$12,'Your Debts'!$G$7)/12)),2)</f>
        <v/>
      </c>
      <c r="O34" s="28">
        <f>MIN((Q33)+N34,IF('Your Debts'!$G$7=0,0,INDEX('Your Debts'!$D$5:$D$12,'Your Debts'!$G$7)))</f>
        <v/>
      </c>
      <c r="P34" s="28">
        <f>O34+MIN((Q33)+N34-O34,MAX(0,$E34-((H34-G34)+(L34-K34))))</f>
        <v/>
      </c>
      <c r="Q34" s="28">
        <f>ROUND(MAX(0,(Q33)+N34-P34),2)</f>
        <v/>
      </c>
      <c r="R34" s="28">
        <f>ROUND((U33)*(IF('Your Debts'!$G$8=0,0,INDEX('Your Debts'!$C$5:$C$12,'Your Debts'!$G$8)/12)),2)</f>
        <v/>
      </c>
      <c r="S34" s="28">
        <f>MIN((U33)+R34,IF('Your Debts'!$G$8=0,0,INDEX('Your Debts'!$D$5:$D$12,'Your Debts'!$G$8)))</f>
        <v/>
      </c>
      <c r="T34" s="28">
        <f>S34+MIN((U33)+R34-S34,MAX(0,$E34-((H34-G34)+(L34-K34)+(P34-O34))))</f>
        <v/>
      </c>
      <c r="U34" s="28">
        <f>ROUND(MAX(0,(U33)+R34-T34),2)</f>
        <v/>
      </c>
      <c r="V34" s="28">
        <f>ROUND((Y33)*(IF('Your Debts'!$G$9=0,0,INDEX('Your Debts'!$C$5:$C$12,'Your Debts'!$G$9)/12)),2)</f>
        <v/>
      </c>
      <c r="W34" s="28">
        <f>MIN((Y33)+V34,IF('Your Debts'!$G$9=0,0,INDEX('Your Debts'!$D$5:$D$12,'Your Debts'!$G$9)))</f>
        <v/>
      </c>
      <c r="X34" s="28">
        <f>W34+MIN((Y33)+V34-W34,MAX(0,$E34-((H34-G34)+(L34-K34)+(P34-O34)+(T34-S34))))</f>
        <v/>
      </c>
      <c r="Y34" s="28">
        <f>ROUND(MAX(0,(Y33)+V34-X34),2)</f>
        <v/>
      </c>
      <c r="Z34" s="28">
        <f>ROUND((AC33)*(IF('Your Debts'!$G$10=0,0,INDEX('Your Debts'!$C$5:$C$12,'Your Debts'!$G$10)/12)),2)</f>
        <v/>
      </c>
      <c r="AA34" s="28">
        <f>MIN((AC33)+Z34,IF('Your Debts'!$G$10=0,0,INDEX('Your Debts'!$D$5:$D$12,'Your Debts'!$G$10)))</f>
        <v/>
      </c>
      <c r="AB34" s="28">
        <f>AA34+MIN((AC33)+Z34-AA34,MAX(0,$E34-((H34-G34)+(L34-K34)+(P34-O34)+(T34-S34)+(X34-W34))))</f>
        <v/>
      </c>
      <c r="AC34" s="28">
        <f>ROUND(MAX(0,(AC33)+Z34-AB34),2)</f>
        <v/>
      </c>
      <c r="AD34" s="28">
        <f>ROUND((AG33)*(IF('Your Debts'!$G$11=0,0,INDEX('Your Debts'!$C$5:$C$12,'Your Debts'!$G$11)/12)),2)</f>
        <v/>
      </c>
      <c r="AE34" s="28">
        <f>MIN((AG33)+AD34,IF('Your Debts'!$G$11=0,0,INDEX('Your Debts'!$D$5:$D$12,'Your Debts'!$G$11)))</f>
        <v/>
      </c>
      <c r="AF34" s="28">
        <f>AE34+MIN((AG33)+AD34-AE34,MAX(0,$E34-((H34-G34)+(L34-K34)+(P34-O34)+(T34-S34)+(X34-W34)+(AB34-AA34))))</f>
        <v/>
      </c>
      <c r="AG34" s="28">
        <f>ROUND(MAX(0,(AG33)+AD34-AF34),2)</f>
        <v/>
      </c>
      <c r="AH34" s="28">
        <f>ROUND((AK33)*(IF('Your Debts'!$G$12=0,0,INDEX('Your Debts'!$C$5:$C$12,'Your Debts'!$G$12)/12)),2)</f>
        <v/>
      </c>
      <c r="AI34" s="28">
        <f>MIN((AK33)+AH34,IF('Your Debts'!$G$12=0,0,INDEX('Your Debts'!$D$5:$D$12,'Your Debts'!$G$12)))</f>
        <v/>
      </c>
      <c r="AJ34" s="28">
        <f>AI34+MIN((AK33)+AH34-AI34,MAX(0,$E34-((H34-G34)+(L34-K34)+(P34-O34)+(T34-S34)+(X34-W34)+(AB34-AA34)+(AF34-AE34))))</f>
        <v/>
      </c>
      <c r="AK34" s="28">
        <f>ROUND(MAX(0,(AK33)+AH34-AJ34),2)</f>
        <v/>
      </c>
      <c r="AL34" s="18">
        <f>I34+M34+Q34+U34+Y34+AC34+AG34+AK34</f>
        <v/>
      </c>
      <c r="AM34" s="27">
        <f>AM33+F34+J34+N34+R34+V34+Z34+AD34+AH34</f>
        <v/>
      </c>
    </row>
    <row r="35">
      <c r="A35" s="25" t="n">
        <v>30</v>
      </c>
      <c r="B35" s="26">
        <f>EDATE('Your Debts'!$B$19,29)</f>
        <v/>
      </c>
      <c r="C35" s="27">
        <f>'Your Debts'!$B$18</f>
        <v/>
      </c>
      <c r="D35" s="27">
        <f>G35+K35+O35+S35+W35+AA35+AE35+AI35</f>
        <v/>
      </c>
      <c r="E35" s="27">
        <f>MAX(0,C35-D35)</f>
        <v/>
      </c>
      <c r="F35" s="28">
        <f>ROUND((I34)*(IF('Your Debts'!$G$5=0,0,INDEX('Your Debts'!$C$5:$C$12,'Your Debts'!$G$5)/12)),2)</f>
        <v/>
      </c>
      <c r="G35" s="28">
        <f>MIN((I34)+F35,IF('Your Debts'!$G$5=0,0,INDEX('Your Debts'!$D$5:$D$12,'Your Debts'!$G$5)))</f>
        <v/>
      </c>
      <c r="H35" s="28">
        <f>G35+MIN((I34)+F35-G35,MAX(0,$E35-(0)))</f>
        <v/>
      </c>
      <c r="I35" s="28">
        <f>ROUND(MAX(0,(I34)+F35-H35),2)</f>
        <v/>
      </c>
      <c r="J35" s="28">
        <f>ROUND((M34)*(IF('Your Debts'!$G$6=0,0,INDEX('Your Debts'!$C$5:$C$12,'Your Debts'!$G$6)/12)),2)</f>
        <v/>
      </c>
      <c r="K35" s="28">
        <f>MIN((M34)+J35,IF('Your Debts'!$G$6=0,0,INDEX('Your Debts'!$D$5:$D$12,'Your Debts'!$G$6)))</f>
        <v/>
      </c>
      <c r="L35" s="28">
        <f>K35+MIN((M34)+J35-K35,MAX(0,$E35-((H35-G35))))</f>
        <v/>
      </c>
      <c r="M35" s="28">
        <f>ROUND(MAX(0,(M34)+J35-L35),2)</f>
        <v/>
      </c>
      <c r="N35" s="28">
        <f>ROUND((Q34)*(IF('Your Debts'!$G$7=0,0,INDEX('Your Debts'!$C$5:$C$12,'Your Debts'!$G$7)/12)),2)</f>
        <v/>
      </c>
      <c r="O35" s="28">
        <f>MIN((Q34)+N35,IF('Your Debts'!$G$7=0,0,INDEX('Your Debts'!$D$5:$D$12,'Your Debts'!$G$7)))</f>
        <v/>
      </c>
      <c r="P35" s="28">
        <f>O35+MIN((Q34)+N35-O35,MAX(0,$E35-((H35-G35)+(L35-K35))))</f>
        <v/>
      </c>
      <c r="Q35" s="28">
        <f>ROUND(MAX(0,(Q34)+N35-P35),2)</f>
        <v/>
      </c>
      <c r="R35" s="28">
        <f>ROUND((U34)*(IF('Your Debts'!$G$8=0,0,INDEX('Your Debts'!$C$5:$C$12,'Your Debts'!$G$8)/12)),2)</f>
        <v/>
      </c>
      <c r="S35" s="28">
        <f>MIN((U34)+R35,IF('Your Debts'!$G$8=0,0,INDEX('Your Debts'!$D$5:$D$12,'Your Debts'!$G$8)))</f>
        <v/>
      </c>
      <c r="T35" s="28">
        <f>S35+MIN((U34)+R35-S35,MAX(0,$E35-((H35-G35)+(L35-K35)+(P35-O35))))</f>
        <v/>
      </c>
      <c r="U35" s="28">
        <f>ROUND(MAX(0,(U34)+R35-T35),2)</f>
        <v/>
      </c>
      <c r="V35" s="28">
        <f>ROUND((Y34)*(IF('Your Debts'!$G$9=0,0,INDEX('Your Debts'!$C$5:$C$12,'Your Debts'!$G$9)/12)),2)</f>
        <v/>
      </c>
      <c r="W35" s="28">
        <f>MIN((Y34)+V35,IF('Your Debts'!$G$9=0,0,INDEX('Your Debts'!$D$5:$D$12,'Your Debts'!$G$9)))</f>
        <v/>
      </c>
      <c r="X35" s="28">
        <f>W35+MIN((Y34)+V35-W35,MAX(0,$E35-((H35-G35)+(L35-K35)+(P35-O35)+(T35-S35))))</f>
        <v/>
      </c>
      <c r="Y35" s="28">
        <f>ROUND(MAX(0,(Y34)+V35-X35),2)</f>
        <v/>
      </c>
      <c r="Z35" s="28">
        <f>ROUND((AC34)*(IF('Your Debts'!$G$10=0,0,INDEX('Your Debts'!$C$5:$C$12,'Your Debts'!$G$10)/12)),2)</f>
        <v/>
      </c>
      <c r="AA35" s="28">
        <f>MIN((AC34)+Z35,IF('Your Debts'!$G$10=0,0,INDEX('Your Debts'!$D$5:$D$12,'Your Debts'!$G$10)))</f>
        <v/>
      </c>
      <c r="AB35" s="28">
        <f>AA35+MIN((AC34)+Z35-AA35,MAX(0,$E35-((H35-G35)+(L35-K35)+(P35-O35)+(T35-S35)+(X35-W35))))</f>
        <v/>
      </c>
      <c r="AC35" s="28">
        <f>ROUND(MAX(0,(AC34)+Z35-AB35),2)</f>
        <v/>
      </c>
      <c r="AD35" s="28">
        <f>ROUND((AG34)*(IF('Your Debts'!$G$11=0,0,INDEX('Your Debts'!$C$5:$C$12,'Your Debts'!$G$11)/12)),2)</f>
        <v/>
      </c>
      <c r="AE35" s="28">
        <f>MIN((AG34)+AD35,IF('Your Debts'!$G$11=0,0,INDEX('Your Debts'!$D$5:$D$12,'Your Debts'!$G$11)))</f>
        <v/>
      </c>
      <c r="AF35" s="28">
        <f>AE35+MIN((AG34)+AD35-AE35,MAX(0,$E35-((H35-G35)+(L35-K35)+(P35-O35)+(T35-S35)+(X35-W35)+(AB35-AA35))))</f>
        <v/>
      </c>
      <c r="AG35" s="28">
        <f>ROUND(MAX(0,(AG34)+AD35-AF35),2)</f>
        <v/>
      </c>
      <c r="AH35" s="28">
        <f>ROUND((AK34)*(IF('Your Debts'!$G$12=0,0,INDEX('Your Debts'!$C$5:$C$12,'Your Debts'!$G$12)/12)),2)</f>
        <v/>
      </c>
      <c r="AI35" s="28">
        <f>MIN((AK34)+AH35,IF('Your Debts'!$G$12=0,0,INDEX('Your Debts'!$D$5:$D$12,'Your Debts'!$G$12)))</f>
        <v/>
      </c>
      <c r="AJ35" s="28">
        <f>AI35+MIN((AK34)+AH35-AI35,MAX(0,$E35-((H35-G35)+(L35-K35)+(P35-O35)+(T35-S35)+(X35-W35)+(AB35-AA35)+(AF35-AE35))))</f>
        <v/>
      </c>
      <c r="AK35" s="28">
        <f>ROUND(MAX(0,(AK34)+AH35-AJ35),2)</f>
        <v/>
      </c>
      <c r="AL35" s="18">
        <f>I35+M35+Q35+U35+Y35+AC35+AG35+AK35</f>
        <v/>
      </c>
      <c r="AM35" s="27">
        <f>AM34+F35+J35+N35+R35+V35+Z35+AD35+AH35</f>
        <v/>
      </c>
    </row>
    <row r="36">
      <c r="A36" s="25" t="n">
        <v>31</v>
      </c>
      <c r="B36" s="26">
        <f>EDATE('Your Debts'!$B$19,30)</f>
        <v/>
      </c>
      <c r="C36" s="27">
        <f>'Your Debts'!$B$18</f>
        <v/>
      </c>
      <c r="D36" s="27">
        <f>G36+K36+O36+S36+W36+AA36+AE36+AI36</f>
        <v/>
      </c>
      <c r="E36" s="27">
        <f>MAX(0,C36-D36)</f>
        <v/>
      </c>
      <c r="F36" s="28">
        <f>ROUND((I35)*(IF('Your Debts'!$G$5=0,0,INDEX('Your Debts'!$C$5:$C$12,'Your Debts'!$G$5)/12)),2)</f>
        <v/>
      </c>
      <c r="G36" s="28">
        <f>MIN((I35)+F36,IF('Your Debts'!$G$5=0,0,INDEX('Your Debts'!$D$5:$D$12,'Your Debts'!$G$5)))</f>
        <v/>
      </c>
      <c r="H36" s="28">
        <f>G36+MIN((I35)+F36-G36,MAX(0,$E36-(0)))</f>
        <v/>
      </c>
      <c r="I36" s="28">
        <f>ROUND(MAX(0,(I35)+F36-H36),2)</f>
        <v/>
      </c>
      <c r="J36" s="28">
        <f>ROUND((M35)*(IF('Your Debts'!$G$6=0,0,INDEX('Your Debts'!$C$5:$C$12,'Your Debts'!$G$6)/12)),2)</f>
        <v/>
      </c>
      <c r="K36" s="28">
        <f>MIN((M35)+J36,IF('Your Debts'!$G$6=0,0,INDEX('Your Debts'!$D$5:$D$12,'Your Debts'!$G$6)))</f>
        <v/>
      </c>
      <c r="L36" s="28">
        <f>K36+MIN((M35)+J36-K36,MAX(0,$E36-((H36-G36))))</f>
        <v/>
      </c>
      <c r="M36" s="28">
        <f>ROUND(MAX(0,(M35)+J36-L36),2)</f>
        <v/>
      </c>
      <c r="N36" s="28">
        <f>ROUND((Q35)*(IF('Your Debts'!$G$7=0,0,INDEX('Your Debts'!$C$5:$C$12,'Your Debts'!$G$7)/12)),2)</f>
        <v/>
      </c>
      <c r="O36" s="28">
        <f>MIN((Q35)+N36,IF('Your Debts'!$G$7=0,0,INDEX('Your Debts'!$D$5:$D$12,'Your Debts'!$G$7)))</f>
        <v/>
      </c>
      <c r="P36" s="28">
        <f>O36+MIN((Q35)+N36-O36,MAX(0,$E36-((H36-G36)+(L36-K36))))</f>
        <v/>
      </c>
      <c r="Q36" s="28">
        <f>ROUND(MAX(0,(Q35)+N36-P36),2)</f>
        <v/>
      </c>
      <c r="R36" s="28">
        <f>ROUND((U35)*(IF('Your Debts'!$G$8=0,0,INDEX('Your Debts'!$C$5:$C$12,'Your Debts'!$G$8)/12)),2)</f>
        <v/>
      </c>
      <c r="S36" s="28">
        <f>MIN((U35)+R36,IF('Your Debts'!$G$8=0,0,INDEX('Your Debts'!$D$5:$D$12,'Your Debts'!$G$8)))</f>
        <v/>
      </c>
      <c r="T36" s="28">
        <f>S36+MIN((U35)+R36-S36,MAX(0,$E36-((H36-G36)+(L36-K36)+(P36-O36))))</f>
        <v/>
      </c>
      <c r="U36" s="28">
        <f>ROUND(MAX(0,(U35)+R36-T36),2)</f>
        <v/>
      </c>
      <c r="V36" s="28">
        <f>ROUND((Y35)*(IF('Your Debts'!$G$9=0,0,INDEX('Your Debts'!$C$5:$C$12,'Your Debts'!$G$9)/12)),2)</f>
        <v/>
      </c>
      <c r="W36" s="28">
        <f>MIN((Y35)+V36,IF('Your Debts'!$G$9=0,0,INDEX('Your Debts'!$D$5:$D$12,'Your Debts'!$G$9)))</f>
        <v/>
      </c>
      <c r="X36" s="28">
        <f>W36+MIN((Y35)+V36-W36,MAX(0,$E36-((H36-G36)+(L36-K36)+(P36-O36)+(T36-S36))))</f>
        <v/>
      </c>
      <c r="Y36" s="28">
        <f>ROUND(MAX(0,(Y35)+V36-X36),2)</f>
        <v/>
      </c>
      <c r="Z36" s="28">
        <f>ROUND((AC35)*(IF('Your Debts'!$G$10=0,0,INDEX('Your Debts'!$C$5:$C$12,'Your Debts'!$G$10)/12)),2)</f>
        <v/>
      </c>
      <c r="AA36" s="28">
        <f>MIN((AC35)+Z36,IF('Your Debts'!$G$10=0,0,INDEX('Your Debts'!$D$5:$D$12,'Your Debts'!$G$10)))</f>
        <v/>
      </c>
      <c r="AB36" s="28">
        <f>AA36+MIN((AC35)+Z36-AA36,MAX(0,$E36-((H36-G36)+(L36-K36)+(P36-O36)+(T36-S36)+(X36-W36))))</f>
        <v/>
      </c>
      <c r="AC36" s="28">
        <f>ROUND(MAX(0,(AC35)+Z36-AB36),2)</f>
        <v/>
      </c>
      <c r="AD36" s="28">
        <f>ROUND((AG35)*(IF('Your Debts'!$G$11=0,0,INDEX('Your Debts'!$C$5:$C$12,'Your Debts'!$G$11)/12)),2)</f>
        <v/>
      </c>
      <c r="AE36" s="28">
        <f>MIN((AG35)+AD36,IF('Your Debts'!$G$11=0,0,INDEX('Your Debts'!$D$5:$D$12,'Your Debts'!$G$11)))</f>
        <v/>
      </c>
      <c r="AF36" s="28">
        <f>AE36+MIN((AG35)+AD36-AE36,MAX(0,$E36-((H36-G36)+(L36-K36)+(P36-O36)+(T36-S36)+(X36-W36)+(AB36-AA36))))</f>
        <v/>
      </c>
      <c r="AG36" s="28">
        <f>ROUND(MAX(0,(AG35)+AD36-AF36),2)</f>
        <v/>
      </c>
      <c r="AH36" s="28">
        <f>ROUND((AK35)*(IF('Your Debts'!$G$12=0,0,INDEX('Your Debts'!$C$5:$C$12,'Your Debts'!$G$12)/12)),2)</f>
        <v/>
      </c>
      <c r="AI36" s="28">
        <f>MIN((AK35)+AH36,IF('Your Debts'!$G$12=0,0,INDEX('Your Debts'!$D$5:$D$12,'Your Debts'!$G$12)))</f>
        <v/>
      </c>
      <c r="AJ36" s="28">
        <f>AI36+MIN((AK35)+AH36-AI36,MAX(0,$E36-((H36-G36)+(L36-K36)+(P36-O36)+(T36-S36)+(X36-W36)+(AB36-AA36)+(AF36-AE36))))</f>
        <v/>
      </c>
      <c r="AK36" s="28">
        <f>ROUND(MAX(0,(AK35)+AH36-AJ36),2)</f>
        <v/>
      </c>
      <c r="AL36" s="18">
        <f>I36+M36+Q36+U36+Y36+AC36+AG36+AK36</f>
        <v/>
      </c>
      <c r="AM36" s="27">
        <f>AM35+F36+J36+N36+R36+V36+Z36+AD36+AH36</f>
        <v/>
      </c>
    </row>
    <row r="37">
      <c r="A37" s="25" t="n">
        <v>32</v>
      </c>
      <c r="B37" s="26">
        <f>EDATE('Your Debts'!$B$19,31)</f>
        <v/>
      </c>
      <c r="C37" s="27">
        <f>'Your Debts'!$B$18</f>
        <v/>
      </c>
      <c r="D37" s="27">
        <f>G37+K37+O37+S37+W37+AA37+AE37+AI37</f>
        <v/>
      </c>
      <c r="E37" s="27">
        <f>MAX(0,C37-D37)</f>
        <v/>
      </c>
      <c r="F37" s="28">
        <f>ROUND((I36)*(IF('Your Debts'!$G$5=0,0,INDEX('Your Debts'!$C$5:$C$12,'Your Debts'!$G$5)/12)),2)</f>
        <v/>
      </c>
      <c r="G37" s="28">
        <f>MIN((I36)+F37,IF('Your Debts'!$G$5=0,0,INDEX('Your Debts'!$D$5:$D$12,'Your Debts'!$G$5)))</f>
        <v/>
      </c>
      <c r="H37" s="28">
        <f>G37+MIN((I36)+F37-G37,MAX(0,$E37-(0)))</f>
        <v/>
      </c>
      <c r="I37" s="28">
        <f>ROUND(MAX(0,(I36)+F37-H37),2)</f>
        <v/>
      </c>
      <c r="J37" s="28">
        <f>ROUND((M36)*(IF('Your Debts'!$G$6=0,0,INDEX('Your Debts'!$C$5:$C$12,'Your Debts'!$G$6)/12)),2)</f>
        <v/>
      </c>
      <c r="K37" s="28">
        <f>MIN((M36)+J37,IF('Your Debts'!$G$6=0,0,INDEX('Your Debts'!$D$5:$D$12,'Your Debts'!$G$6)))</f>
        <v/>
      </c>
      <c r="L37" s="28">
        <f>K37+MIN((M36)+J37-K37,MAX(0,$E37-((H37-G37))))</f>
        <v/>
      </c>
      <c r="M37" s="28">
        <f>ROUND(MAX(0,(M36)+J37-L37),2)</f>
        <v/>
      </c>
      <c r="N37" s="28">
        <f>ROUND((Q36)*(IF('Your Debts'!$G$7=0,0,INDEX('Your Debts'!$C$5:$C$12,'Your Debts'!$G$7)/12)),2)</f>
        <v/>
      </c>
      <c r="O37" s="28">
        <f>MIN((Q36)+N37,IF('Your Debts'!$G$7=0,0,INDEX('Your Debts'!$D$5:$D$12,'Your Debts'!$G$7)))</f>
        <v/>
      </c>
      <c r="P37" s="28">
        <f>O37+MIN((Q36)+N37-O37,MAX(0,$E37-((H37-G37)+(L37-K37))))</f>
        <v/>
      </c>
      <c r="Q37" s="28">
        <f>ROUND(MAX(0,(Q36)+N37-P37),2)</f>
        <v/>
      </c>
      <c r="R37" s="28">
        <f>ROUND((U36)*(IF('Your Debts'!$G$8=0,0,INDEX('Your Debts'!$C$5:$C$12,'Your Debts'!$G$8)/12)),2)</f>
        <v/>
      </c>
      <c r="S37" s="28">
        <f>MIN((U36)+R37,IF('Your Debts'!$G$8=0,0,INDEX('Your Debts'!$D$5:$D$12,'Your Debts'!$G$8)))</f>
        <v/>
      </c>
      <c r="T37" s="28">
        <f>S37+MIN((U36)+R37-S37,MAX(0,$E37-((H37-G37)+(L37-K37)+(P37-O37))))</f>
        <v/>
      </c>
      <c r="U37" s="28">
        <f>ROUND(MAX(0,(U36)+R37-T37),2)</f>
        <v/>
      </c>
      <c r="V37" s="28">
        <f>ROUND((Y36)*(IF('Your Debts'!$G$9=0,0,INDEX('Your Debts'!$C$5:$C$12,'Your Debts'!$G$9)/12)),2)</f>
        <v/>
      </c>
      <c r="W37" s="28">
        <f>MIN((Y36)+V37,IF('Your Debts'!$G$9=0,0,INDEX('Your Debts'!$D$5:$D$12,'Your Debts'!$G$9)))</f>
        <v/>
      </c>
      <c r="X37" s="28">
        <f>W37+MIN((Y36)+V37-W37,MAX(0,$E37-((H37-G37)+(L37-K37)+(P37-O37)+(T37-S37))))</f>
        <v/>
      </c>
      <c r="Y37" s="28">
        <f>ROUND(MAX(0,(Y36)+V37-X37),2)</f>
        <v/>
      </c>
      <c r="Z37" s="28">
        <f>ROUND((AC36)*(IF('Your Debts'!$G$10=0,0,INDEX('Your Debts'!$C$5:$C$12,'Your Debts'!$G$10)/12)),2)</f>
        <v/>
      </c>
      <c r="AA37" s="28">
        <f>MIN((AC36)+Z37,IF('Your Debts'!$G$10=0,0,INDEX('Your Debts'!$D$5:$D$12,'Your Debts'!$G$10)))</f>
        <v/>
      </c>
      <c r="AB37" s="28">
        <f>AA37+MIN((AC36)+Z37-AA37,MAX(0,$E37-((H37-G37)+(L37-K37)+(P37-O37)+(T37-S37)+(X37-W37))))</f>
        <v/>
      </c>
      <c r="AC37" s="28">
        <f>ROUND(MAX(0,(AC36)+Z37-AB37),2)</f>
        <v/>
      </c>
      <c r="AD37" s="28">
        <f>ROUND((AG36)*(IF('Your Debts'!$G$11=0,0,INDEX('Your Debts'!$C$5:$C$12,'Your Debts'!$G$11)/12)),2)</f>
        <v/>
      </c>
      <c r="AE37" s="28">
        <f>MIN((AG36)+AD37,IF('Your Debts'!$G$11=0,0,INDEX('Your Debts'!$D$5:$D$12,'Your Debts'!$G$11)))</f>
        <v/>
      </c>
      <c r="AF37" s="28">
        <f>AE37+MIN((AG36)+AD37-AE37,MAX(0,$E37-((H37-G37)+(L37-K37)+(P37-O37)+(T37-S37)+(X37-W37)+(AB37-AA37))))</f>
        <v/>
      </c>
      <c r="AG37" s="28">
        <f>ROUND(MAX(0,(AG36)+AD37-AF37),2)</f>
        <v/>
      </c>
      <c r="AH37" s="28">
        <f>ROUND((AK36)*(IF('Your Debts'!$G$12=0,0,INDEX('Your Debts'!$C$5:$C$12,'Your Debts'!$G$12)/12)),2)</f>
        <v/>
      </c>
      <c r="AI37" s="28">
        <f>MIN((AK36)+AH37,IF('Your Debts'!$G$12=0,0,INDEX('Your Debts'!$D$5:$D$12,'Your Debts'!$G$12)))</f>
        <v/>
      </c>
      <c r="AJ37" s="28">
        <f>AI37+MIN((AK36)+AH37-AI37,MAX(0,$E37-((H37-G37)+(L37-K37)+(P37-O37)+(T37-S37)+(X37-W37)+(AB37-AA37)+(AF37-AE37))))</f>
        <v/>
      </c>
      <c r="AK37" s="28">
        <f>ROUND(MAX(0,(AK36)+AH37-AJ37),2)</f>
        <v/>
      </c>
      <c r="AL37" s="18">
        <f>I37+M37+Q37+U37+Y37+AC37+AG37+AK37</f>
        <v/>
      </c>
      <c r="AM37" s="27">
        <f>AM36+F37+J37+N37+R37+V37+Z37+AD37+AH37</f>
        <v/>
      </c>
    </row>
    <row r="38">
      <c r="A38" s="25" t="n">
        <v>33</v>
      </c>
      <c r="B38" s="26">
        <f>EDATE('Your Debts'!$B$19,32)</f>
        <v/>
      </c>
      <c r="C38" s="27">
        <f>'Your Debts'!$B$18</f>
        <v/>
      </c>
      <c r="D38" s="27">
        <f>G38+K38+O38+S38+W38+AA38+AE38+AI38</f>
        <v/>
      </c>
      <c r="E38" s="27">
        <f>MAX(0,C38-D38)</f>
        <v/>
      </c>
      <c r="F38" s="28">
        <f>ROUND((I37)*(IF('Your Debts'!$G$5=0,0,INDEX('Your Debts'!$C$5:$C$12,'Your Debts'!$G$5)/12)),2)</f>
        <v/>
      </c>
      <c r="G38" s="28">
        <f>MIN((I37)+F38,IF('Your Debts'!$G$5=0,0,INDEX('Your Debts'!$D$5:$D$12,'Your Debts'!$G$5)))</f>
        <v/>
      </c>
      <c r="H38" s="28">
        <f>G38+MIN((I37)+F38-G38,MAX(0,$E38-(0)))</f>
        <v/>
      </c>
      <c r="I38" s="28">
        <f>ROUND(MAX(0,(I37)+F38-H38),2)</f>
        <v/>
      </c>
      <c r="J38" s="28">
        <f>ROUND((M37)*(IF('Your Debts'!$G$6=0,0,INDEX('Your Debts'!$C$5:$C$12,'Your Debts'!$G$6)/12)),2)</f>
        <v/>
      </c>
      <c r="K38" s="28">
        <f>MIN((M37)+J38,IF('Your Debts'!$G$6=0,0,INDEX('Your Debts'!$D$5:$D$12,'Your Debts'!$G$6)))</f>
        <v/>
      </c>
      <c r="L38" s="28">
        <f>K38+MIN((M37)+J38-K38,MAX(0,$E38-((H38-G38))))</f>
        <v/>
      </c>
      <c r="M38" s="28">
        <f>ROUND(MAX(0,(M37)+J38-L38),2)</f>
        <v/>
      </c>
      <c r="N38" s="28">
        <f>ROUND((Q37)*(IF('Your Debts'!$G$7=0,0,INDEX('Your Debts'!$C$5:$C$12,'Your Debts'!$G$7)/12)),2)</f>
        <v/>
      </c>
      <c r="O38" s="28">
        <f>MIN((Q37)+N38,IF('Your Debts'!$G$7=0,0,INDEX('Your Debts'!$D$5:$D$12,'Your Debts'!$G$7)))</f>
        <v/>
      </c>
      <c r="P38" s="28">
        <f>O38+MIN((Q37)+N38-O38,MAX(0,$E38-((H38-G38)+(L38-K38))))</f>
        <v/>
      </c>
      <c r="Q38" s="28">
        <f>ROUND(MAX(0,(Q37)+N38-P38),2)</f>
        <v/>
      </c>
      <c r="R38" s="28">
        <f>ROUND((U37)*(IF('Your Debts'!$G$8=0,0,INDEX('Your Debts'!$C$5:$C$12,'Your Debts'!$G$8)/12)),2)</f>
        <v/>
      </c>
      <c r="S38" s="28">
        <f>MIN((U37)+R38,IF('Your Debts'!$G$8=0,0,INDEX('Your Debts'!$D$5:$D$12,'Your Debts'!$G$8)))</f>
        <v/>
      </c>
      <c r="T38" s="28">
        <f>S38+MIN((U37)+R38-S38,MAX(0,$E38-((H38-G38)+(L38-K38)+(P38-O38))))</f>
        <v/>
      </c>
      <c r="U38" s="28">
        <f>ROUND(MAX(0,(U37)+R38-T38),2)</f>
        <v/>
      </c>
      <c r="V38" s="28">
        <f>ROUND((Y37)*(IF('Your Debts'!$G$9=0,0,INDEX('Your Debts'!$C$5:$C$12,'Your Debts'!$G$9)/12)),2)</f>
        <v/>
      </c>
      <c r="W38" s="28">
        <f>MIN((Y37)+V38,IF('Your Debts'!$G$9=0,0,INDEX('Your Debts'!$D$5:$D$12,'Your Debts'!$G$9)))</f>
        <v/>
      </c>
      <c r="X38" s="28">
        <f>W38+MIN((Y37)+V38-W38,MAX(0,$E38-((H38-G38)+(L38-K38)+(P38-O38)+(T38-S38))))</f>
        <v/>
      </c>
      <c r="Y38" s="28">
        <f>ROUND(MAX(0,(Y37)+V38-X38),2)</f>
        <v/>
      </c>
      <c r="Z38" s="28">
        <f>ROUND((AC37)*(IF('Your Debts'!$G$10=0,0,INDEX('Your Debts'!$C$5:$C$12,'Your Debts'!$G$10)/12)),2)</f>
        <v/>
      </c>
      <c r="AA38" s="28">
        <f>MIN((AC37)+Z38,IF('Your Debts'!$G$10=0,0,INDEX('Your Debts'!$D$5:$D$12,'Your Debts'!$G$10)))</f>
        <v/>
      </c>
      <c r="AB38" s="28">
        <f>AA38+MIN((AC37)+Z38-AA38,MAX(0,$E38-((H38-G38)+(L38-K38)+(P38-O38)+(T38-S38)+(X38-W38))))</f>
        <v/>
      </c>
      <c r="AC38" s="28">
        <f>ROUND(MAX(0,(AC37)+Z38-AB38),2)</f>
        <v/>
      </c>
      <c r="AD38" s="28">
        <f>ROUND((AG37)*(IF('Your Debts'!$G$11=0,0,INDEX('Your Debts'!$C$5:$C$12,'Your Debts'!$G$11)/12)),2)</f>
        <v/>
      </c>
      <c r="AE38" s="28">
        <f>MIN((AG37)+AD38,IF('Your Debts'!$G$11=0,0,INDEX('Your Debts'!$D$5:$D$12,'Your Debts'!$G$11)))</f>
        <v/>
      </c>
      <c r="AF38" s="28">
        <f>AE38+MIN((AG37)+AD38-AE38,MAX(0,$E38-((H38-G38)+(L38-K38)+(P38-O38)+(T38-S38)+(X38-W38)+(AB38-AA38))))</f>
        <v/>
      </c>
      <c r="AG38" s="28">
        <f>ROUND(MAX(0,(AG37)+AD38-AF38),2)</f>
        <v/>
      </c>
      <c r="AH38" s="28">
        <f>ROUND((AK37)*(IF('Your Debts'!$G$12=0,0,INDEX('Your Debts'!$C$5:$C$12,'Your Debts'!$G$12)/12)),2)</f>
        <v/>
      </c>
      <c r="AI38" s="28">
        <f>MIN((AK37)+AH38,IF('Your Debts'!$G$12=0,0,INDEX('Your Debts'!$D$5:$D$12,'Your Debts'!$G$12)))</f>
        <v/>
      </c>
      <c r="AJ38" s="28">
        <f>AI38+MIN((AK37)+AH38-AI38,MAX(0,$E38-((H38-G38)+(L38-K38)+(P38-O38)+(T38-S38)+(X38-W38)+(AB38-AA38)+(AF38-AE38))))</f>
        <v/>
      </c>
      <c r="AK38" s="28">
        <f>ROUND(MAX(0,(AK37)+AH38-AJ38),2)</f>
        <v/>
      </c>
      <c r="AL38" s="18">
        <f>I38+M38+Q38+U38+Y38+AC38+AG38+AK38</f>
        <v/>
      </c>
      <c r="AM38" s="27">
        <f>AM37+F38+J38+N38+R38+V38+Z38+AD38+AH38</f>
        <v/>
      </c>
    </row>
    <row r="39">
      <c r="A39" s="25" t="n">
        <v>34</v>
      </c>
      <c r="B39" s="26">
        <f>EDATE('Your Debts'!$B$19,33)</f>
        <v/>
      </c>
      <c r="C39" s="27">
        <f>'Your Debts'!$B$18</f>
        <v/>
      </c>
      <c r="D39" s="27">
        <f>G39+K39+O39+S39+W39+AA39+AE39+AI39</f>
        <v/>
      </c>
      <c r="E39" s="27">
        <f>MAX(0,C39-D39)</f>
        <v/>
      </c>
      <c r="F39" s="28">
        <f>ROUND((I38)*(IF('Your Debts'!$G$5=0,0,INDEX('Your Debts'!$C$5:$C$12,'Your Debts'!$G$5)/12)),2)</f>
        <v/>
      </c>
      <c r="G39" s="28">
        <f>MIN((I38)+F39,IF('Your Debts'!$G$5=0,0,INDEX('Your Debts'!$D$5:$D$12,'Your Debts'!$G$5)))</f>
        <v/>
      </c>
      <c r="H39" s="28">
        <f>G39+MIN((I38)+F39-G39,MAX(0,$E39-(0)))</f>
        <v/>
      </c>
      <c r="I39" s="28">
        <f>ROUND(MAX(0,(I38)+F39-H39),2)</f>
        <v/>
      </c>
      <c r="J39" s="28">
        <f>ROUND((M38)*(IF('Your Debts'!$G$6=0,0,INDEX('Your Debts'!$C$5:$C$12,'Your Debts'!$G$6)/12)),2)</f>
        <v/>
      </c>
      <c r="K39" s="28">
        <f>MIN((M38)+J39,IF('Your Debts'!$G$6=0,0,INDEX('Your Debts'!$D$5:$D$12,'Your Debts'!$G$6)))</f>
        <v/>
      </c>
      <c r="L39" s="28">
        <f>K39+MIN((M38)+J39-K39,MAX(0,$E39-((H39-G39))))</f>
        <v/>
      </c>
      <c r="M39" s="28">
        <f>ROUND(MAX(0,(M38)+J39-L39),2)</f>
        <v/>
      </c>
      <c r="N39" s="28">
        <f>ROUND((Q38)*(IF('Your Debts'!$G$7=0,0,INDEX('Your Debts'!$C$5:$C$12,'Your Debts'!$G$7)/12)),2)</f>
        <v/>
      </c>
      <c r="O39" s="28">
        <f>MIN((Q38)+N39,IF('Your Debts'!$G$7=0,0,INDEX('Your Debts'!$D$5:$D$12,'Your Debts'!$G$7)))</f>
        <v/>
      </c>
      <c r="P39" s="28">
        <f>O39+MIN((Q38)+N39-O39,MAX(0,$E39-((H39-G39)+(L39-K39))))</f>
        <v/>
      </c>
      <c r="Q39" s="28">
        <f>ROUND(MAX(0,(Q38)+N39-P39),2)</f>
        <v/>
      </c>
      <c r="R39" s="28">
        <f>ROUND((U38)*(IF('Your Debts'!$G$8=0,0,INDEX('Your Debts'!$C$5:$C$12,'Your Debts'!$G$8)/12)),2)</f>
        <v/>
      </c>
      <c r="S39" s="28">
        <f>MIN((U38)+R39,IF('Your Debts'!$G$8=0,0,INDEX('Your Debts'!$D$5:$D$12,'Your Debts'!$G$8)))</f>
        <v/>
      </c>
      <c r="T39" s="28">
        <f>S39+MIN((U38)+R39-S39,MAX(0,$E39-((H39-G39)+(L39-K39)+(P39-O39))))</f>
        <v/>
      </c>
      <c r="U39" s="28">
        <f>ROUND(MAX(0,(U38)+R39-T39),2)</f>
        <v/>
      </c>
      <c r="V39" s="28">
        <f>ROUND((Y38)*(IF('Your Debts'!$G$9=0,0,INDEX('Your Debts'!$C$5:$C$12,'Your Debts'!$G$9)/12)),2)</f>
        <v/>
      </c>
      <c r="W39" s="28">
        <f>MIN((Y38)+V39,IF('Your Debts'!$G$9=0,0,INDEX('Your Debts'!$D$5:$D$12,'Your Debts'!$G$9)))</f>
        <v/>
      </c>
      <c r="X39" s="28">
        <f>W39+MIN((Y38)+V39-W39,MAX(0,$E39-((H39-G39)+(L39-K39)+(P39-O39)+(T39-S39))))</f>
        <v/>
      </c>
      <c r="Y39" s="28">
        <f>ROUND(MAX(0,(Y38)+V39-X39),2)</f>
        <v/>
      </c>
      <c r="Z39" s="28">
        <f>ROUND((AC38)*(IF('Your Debts'!$G$10=0,0,INDEX('Your Debts'!$C$5:$C$12,'Your Debts'!$G$10)/12)),2)</f>
        <v/>
      </c>
      <c r="AA39" s="28">
        <f>MIN((AC38)+Z39,IF('Your Debts'!$G$10=0,0,INDEX('Your Debts'!$D$5:$D$12,'Your Debts'!$G$10)))</f>
        <v/>
      </c>
      <c r="AB39" s="28">
        <f>AA39+MIN((AC38)+Z39-AA39,MAX(0,$E39-((H39-G39)+(L39-K39)+(P39-O39)+(T39-S39)+(X39-W39))))</f>
        <v/>
      </c>
      <c r="AC39" s="28">
        <f>ROUND(MAX(0,(AC38)+Z39-AB39),2)</f>
        <v/>
      </c>
      <c r="AD39" s="28">
        <f>ROUND((AG38)*(IF('Your Debts'!$G$11=0,0,INDEX('Your Debts'!$C$5:$C$12,'Your Debts'!$G$11)/12)),2)</f>
        <v/>
      </c>
      <c r="AE39" s="28">
        <f>MIN((AG38)+AD39,IF('Your Debts'!$G$11=0,0,INDEX('Your Debts'!$D$5:$D$12,'Your Debts'!$G$11)))</f>
        <v/>
      </c>
      <c r="AF39" s="28">
        <f>AE39+MIN((AG38)+AD39-AE39,MAX(0,$E39-((H39-G39)+(L39-K39)+(P39-O39)+(T39-S39)+(X39-W39)+(AB39-AA39))))</f>
        <v/>
      </c>
      <c r="AG39" s="28">
        <f>ROUND(MAX(0,(AG38)+AD39-AF39),2)</f>
        <v/>
      </c>
      <c r="AH39" s="28">
        <f>ROUND((AK38)*(IF('Your Debts'!$G$12=0,0,INDEX('Your Debts'!$C$5:$C$12,'Your Debts'!$G$12)/12)),2)</f>
        <v/>
      </c>
      <c r="AI39" s="28">
        <f>MIN((AK38)+AH39,IF('Your Debts'!$G$12=0,0,INDEX('Your Debts'!$D$5:$D$12,'Your Debts'!$G$12)))</f>
        <v/>
      </c>
      <c r="AJ39" s="28">
        <f>AI39+MIN((AK38)+AH39-AI39,MAX(0,$E39-((H39-G39)+(L39-K39)+(P39-O39)+(T39-S39)+(X39-W39)+(AB39-AA39)+(AF39-AE39))))</f>
        <v/>
      </c>
      <c r="AK39" s="28">
        <f>ROUND(MAX(0,(AK38)+AH39-AJ39),2)</f>
        <v/>
      </c>
      <c r="AL39" s="18">
        <f>I39+M39+Q39+U39+Y39+AC39+AG39+AK39</f>
        <v/>
      </c>
      <c r="AM39" s="27">
        <f>AM38+F39+J39+N39+R39+V39+Z39+AD39+AH39</f>
        <v/>
      </c>
    </row>
    <row r="40">
      <c r="A40" s="25" t="n">
        <v>35</v>
      </c>
      <c r="B40" s="26">
        <f>EDATE('Your Debts'!$B$19,34)</f>
        <v/>
      </c>
      <c r="C40" s="27">
        <f>'Your Debts'!$B$18</f>
        <v/>
      </c>
      <c r="D40" s="27">
        <f>G40+K40+O40+S40+W40+AA40+AE40+AI40</f>
        <v/>
      </c>
      <c r="E40" s="27">
        <f>MAX(0,C40-D40)</f>
        <v/>
      </c>
      <c r="F40" s="28">
        <f>ROUND((I39)*(IF('Your Debts'!$G$5=0,0,INDEX('Your Debts'!$C$5:$C$12,'Your Debts'!$G$5)/12)),2)</f>
        <v/>
      </c>
      <c r="G40" s="28">
        <f>MIN((I39)+F40,IF('Your Debts'!$G$5=0,0,INDEX('Your Debts'!$D$5:$D$12,'Your Debts'!$G$5)))</f>
        <v/>
      </c>
      <c r="H40" s="28">
        <f>G40+MIN((I39)+F40-G40,MAX(0,$E40-(0)))</f>
        <v/>
      </c>
      <c r="I40" s="28">
        <f>ROUND(MAX(0,(I39)+F40-H40),2)</f>
        <v/>
      </c>
      <c r="J40" s="28">
        <f>ROUND((M39)*(IF('Your Debts'!$G$6=0,0,INDEX('Your Debts'!$C$5:$C$12,'Your Debts'!$G$6)/12)),2)</f>
        <v/>
      </c>
      <c r="K40" s="28">
        <f>MIN((M39)+J40,IF('Your Debts'!$G$6=0,0,INDEX('Your Debts'!$D$5:$D$12,'Your Debts'!$G$6)))</f>
        <v/>
      </c>
      <c r="L40" s="28">
        <f>K40+MIN((M39)+J40-K40,MAX(0,$E40-((H40-G40))))</f>
        <v/>
      </c>
      <c r="M40" s="28">
        <f>ROUND(MAX(0,(M39)+J40-L40),2)</f>
        <v/>
      </c>
      <c r="N40" s="28">
        <f>ROUND((Q39)*(IF('Your Debts'!$G$7=0,0,INDEX('Your Debts'!$C$5:$C$12,'Your Debts'!$G$7)/12)),2)</f>
        <v/>
      </c>
      <c r="O40" s="28">
        <f>MIN((Q39)+N40,IF('Your Debts'!$G$7=0,0,INDEX('Your Debts'!$D$5:$D$12,'Your Debts'!$G$7)))</f>
        <v/>
      </c>
      <c r="P40" s="28">
        <f>O40+MIN((Q39)+N40-O40,MAX(0,$E40-((H40-G40)+(L40-K40))))</f>
        <v/>
      </c>
      <c r="Q40" s="28">
        <f>ROUND(MAX(0,(Q39)+N40-P40),2)</f>
        <v/>
      </c>
      <c r="R40" s="28">
        <f>ROUND((U39)*(IF('Your Debts'!$G$8=0,0,INDEX('Your Debts'!$C$5:$C$12,'Your Debts'!$G$8)/12)),2)</f>
        <v/>
      </c>
      <c r="S40" s="28">
        <f>MIN((U39)+R40,IF('Your Debts'!$G$8=0,0,INDEX('Your Debts'!$D$5:$D$12,'Your Debts'!$G$8)))</f>
        <v/>
      </c>
      <c r="T40" s="28">
        <f>S40+MIN((U39)+R40-S40,MAX(0,$E40-((H40-G40)+(L40-K40)+(P40-O40))))</f>
        <v/>
      </c>
      <c r="U40" s="28">
        <f>ROUND(MAX(0,(U39)+R40-T40),2)</f>
        <v/>
      </c>
      <c r="V40" s="28">
        <f>ROUND((Y39)*(IF('Your Debts'!$G$9=0,0,INDEX('Your Debts'!$C$5:$C$12,'Your Debts'!$G$9)/12)),2)</f>
        <v/>
      </c>
      <c r="W40" s="28">
        <f>MIN((Y39)+V40,IF('Your Debts'!$G$9=0,0,INDEX('Your Debts'!$D$5:$D$12,'Your Debts'!$G$9)))</f>
        <v/>
      </c>
      <c r="X40" s="28">
        <f>W40+MIN((Y39)+V40-W40,MAX(0,$E40-((H40-G40)+(L40-K40)+(P40-O40)+(T40-S40))))</f>
        <v/>
      </c>
      <c r="Y40" s="28">
        <f>ROUND(MAX(0,(Y39)+V40-X40),2)</f>
        <v/>
      </c>
      <c r="Z40" s="28">
        <f>ROUND((AC39)*(IF('Your Debts'!$G$10=0,0,INDEX('Your Debts'!$C$5:$C$12,'Your Debts'!$G$10)/12)),2)</f>
        <v/>
      </c>
      <c r="AA40" s="28">
        <f>MIN((AC39)+Z40,IF('Your Debts'!$G$10=0,0,INDEX('Your Debts'!$D$5:$D$12,'Your Debts'!$G$10)))</f>
        <v/>
      </c>
      <c r="AB40" s="28">
        <f>AA40+MIN((AC39)+Z40-AA40,MAX(0,$E40-((H40-G40)+(L40-K40)+(P40-O40)+(T40-S40)+(X40-W40))))</f>
        <v/>
      </c>
      <c r="AC40" s="28">
        <f>ROUND(MAX(0,(AC39)+Z40-AB40),2)</f>
        <v/>
      </c>
      <c r="AD40" s="28">
        <f>ROUND((AG39)*(IF('Your Debts'!$G$11=0,0,INDEX('Your Debts'!$C$5:$C$12,'Your Debts'!$G$11)/12)),2)</f>
        <v/>
      </c>
      <c r="AE40" s="28">
        <f>MIN((AG39)+AD40,IF('Your Debts'!$G$11=0,0,INDEX('Your Debts'!$D$5:$D$12,'Your Debts'!$G$11)))</f>
        <v/>
      </c>
      <c r="AF40" s="28">
        <f>AE40+MIN((AG39)+AD40-AE40,MAX(0,$E40-((H40-G40)+(L40-K40)+(P40-O40)+(T40-S40)+(X40-W40)+(AB40-AA40))))</f>
        <v/>
      </c>
      <c r="AG40" s="28">
        <f>ROUND(MAX(0,(AG39)+AD40-AF40),2)</f>
        <v/>
      </c>
      <c r="AH40" s="28">
        <f>ROUND((AK39)*(IF('Your Debts'!$G$12=0,0,INDEX('Your Debts'!$C$5:$C$12,'Your Debts'!$G$12)/12)),2)</f>
        <v/>
      </c>
      <c r="AI40" s="28">
        <f>MIN((AK39)+AH40,IF('Your Debts'!$G$12=0,0,INDEX('Your Debts'!$D$5:$D$12,'Your Debts'!$G$12)))</f>
        <v/>
      </c>
      <c r="AJ40" s="28">
        <f>AI40+MIN((AK39)+AH40-AI40,MAX(0,$E40-((H40-G40)+(L40-K40)+(P40-O40)+(T40-S40)+(X40-W40)+(AB40-AA40)+(AF40-AE40))))</f>
        <v/>
      </c>
      <c r="AK40" s="28">
        <f>ROUND(MAX(0,(AK39)+AH40-AJ40),2)</f>
        <v/>
      </c>
      <c r="AL40" s="18">
        <f>I40+M40+Q40+U40+Y40+AC40+AG40+AK40</f>
        <v/>
      </c>
      <c r="AM40" s="27">
        <f>AM39+F40+J40+N40+R40+V40+Z40+AD40+AH40</f>
        <v/>
      </c>
    </row>
    <row r="41">
      <c r="A41" s="25" t="n">
        <v>36</v>
      </c>
      <c r="B41" s="26">
        <f>EDATE('Your Debts'!$B$19,35)</f>
        <v/>
      </c>
      <c r="C41" s="27">
        <f>'Your Debts'!$B$18</f>
        <v/>
      </c>
      <c r="D41" s="27">
        <f>G41+K41+O41+S41+W41+AA41+AE41+AI41</f>
        <v/>
      </c>
      <c r="E41" s="27">
        <f>MAX(0,C41-D41)</f>
        <v/>
      </c>
      <c r="F41" s="28">
        <f>ROUND((I40)*(IF('Your Debts'!$G$5=0,0,INDEX('Your Debts'!$C$5:$C$12,'Your Debts'!$G$5)/12)),2)</f>
        <v/>
      </c>
      <c r="G41" s="28">
        <f>MIN((I40)+F41,IF('Your Debts'!$G$5=0,0,INDEX('Your Debts'!$D$5:$D$12,'Your Debts'!$G$5)))</f>
        <v/>
      </c>
      <c r="H41" s="28">
        <f>G41+MIN((I40)+F41-G41,MAX(0,$E41-(0)))</f>
        <v/>
      </c>
      <c r="I41" s="28">
        <f>ROUND(MAX(0,(I40)+F41-H41),2)</f>
        <v/>
      </c>
      <c r="J41" s="28">
        <f>ROUND((M40)*(IF('Your Debts'!$G$6=0,0,INDEX('Your Debts'!$C$5:$C$12,'Your Debts'!$G$6)/12)),2)</f>
        <v/>
      </c>
      <c r="K41" s="28">
        <f>MIN((M40)+J41,IF('Your Debts'!$G$6=0,0,INDEX('Your Debts'!$D$5:$D$12,'Your Debts'!$G$6)))</f>
        <v/>
      </c>
      <c r="L41" s="28">
        <f>K41+MIN((M40)+J41-K41,MAX(0,$E41-((H41-G41))))</f>
        <v/>
      </c>
      <c r="M41" s="28">
        <f>ROUND(MAX(0,(M40)+J41-L41),2)</f>
        <v/>
      </c>
      <c r="N41" s="28">
        <f>ROUND((Q40)*(IF('Your Debts'!$G$7=0,0,INDEX('Your Debts'!$C$5:$C$12,'Your Debts'!$G$7)/12)),2)</f>
        <v/>
      </c>
      <c r="O41" s="28">
        <f>MIN((Q40)+N41,IF('Your Debts'!$G$7=0,0,INDEX('Your Debts'!$D$5:$D$12,'Your Debts'!$G$7)))</f>
        <v/>
      </c>
      <c r="P41" s="28">
        <f>O41+MIN((Q40)+N41-O41,MAX(0,$E41-((H41-G41)+(L41-K41))))</f>
        <v/>
      </c>
      <c r="Q41" s="28">
        <f>ROUND(MAX(0,(Q40)+N41-P41),2)</f>
        <v/>
      </c>
      <c r="R41" s="28">
        <f>ROUND((U40)*(IF('Your Debts'!$G$8=0,0,INDEX('Your Debts'!$C$5:$C$12,'Your Debts'!$G$8)/12)),2)</f>
        <v/>
      </c>
      <c r="S41" s="28">
        <f>MIN((U40)+R41,IF('Your Debts'!$G$8=0,0,INDEX('Your Debts'!$D$5:$D$12,'Your Debts'!$G$8)))</f>
        <v/>
      </c>
      <c r="T41" s="28">
        <f>S41+MIN((U40)+R41-S41,MAX(0,$E41-((H41-G41)+(L41-K41)+(P41-O41))))</f>
        <v/>
      </c>
      <c r="U41" s="28">
        <f>ROUND(MAX(0,(U40)+R41-T41),2)</f>
        <v/>
      </c>
      <c r="V41" s="28">
        <f>ROUND((Y40)*(IF('Your Debts'!$G$9=0,0,INDEX('Your Debts'!$C$5:$C$12,'Your Debts'!$G$9)/12)),2)</f>
        <v/>
      </c>
      <c r="W41" s="28">
        <f>MIN((Y40)+V41,IF('Your Debts'!$G$9=0,0,INDEX('Your Debts'!$D$5:$D$12,'Your Debts'!$G$9)))</f>
        <v/>
      </c>
      <c r="X41" s="28">
        <f>W41+MIN((Y40)+V41-W41,MAX(0,$E41-((H41-G41)+(L41-K41)+(P41-O41)+(T41-S41))))</f>
        <v/>
      </c>
      <c r="Y41" s="28">
        <f>ROUND(MAX(0,(Y40)+V41-X41),2)</f>
        <v/>
      </c>
      <c r="Z41" s="28">
        <f>ROUND((AC40)*(IF('Your Debts'!$G$10=0,0,INDEX('Your Debts'!$C$5:$C$12,'Your Debts'!$G$10)/12)),2)</f>
        <v/>
      </c>
      <c r="AA41" s="28">
        <f>MIN((AC40)+Z41,IF('Your Debts'!$G$10=0,0,INDEX('Your Debts'!$D$5:$D$12,'Your Debts'!$G$10)))</f>
        <v/>
      </c>
      <c r="AB41" s="28">
        <f>AA41+MIN((AC40)+Z41-AA41,MAX(0,$E41-((H41-G41)+(L41-K41)+(P41-O41)+(T41-S41)+(X41-W41))))</f>
        <v/>
      </c>
      <c r="AC41" s="28">
        <f>ROUND(MAX(0,(AC40)+Z41-AB41),2)</f>
        <v/>
      </c>
      <c r="AD41" s="28">
        <f>ROUND((AG40)*(IF('Your Debts'!$G$11=0,0,INDEX('Your Debts'!$C$5:$C$12,'Your Debts'!$G$11)/12)),2)</f>
        <v/>
      </c>
      <c r="AE41" s="28">
        <f>MIN((AG40)+AD41,IF('Your Debts'!$G$11=0,0,INDEX('Your Debts'!$D$5:$D$12,'Your Debts'!$G$11)))</f>
        <v/>
      </c>
      <c r="AF41" s="28">
        <f>AE41+MIN((AG40)+AD41-AE41,MAX(0,$E41-((H41-G41)+(L41-K41)+(P41-O41)+(T41-S41)+(X41-W41)+(AB41-AA41))))</f>
        <v/>
      </c>
      <c r="AG41" s="28">
        <f>ROUND(MAX(0,(AG40)+AD41-AF41),2)</f>
        <v/>
      </c>
      <c r="AH41" s="28">
        <f>ROUND((AK40)*(IF('Your Debts'!$G$12=0,0,INDEX('Your Debts'!$C$5:$C$12,'Your Debts'!$G$12)/12)),2)</f>
        <v/>
      </c>
      <c r="AI41" s="28">
        <f>MIN((AK40)+AH41,IF('Your Debts'!$G$12=0,0,INDEX('Your Debts'!$D$5:$D$12,'Your Debts'!$G$12)))</f>
        <v/>
      </c>
      <c r="AJ41" s="28">
        <f>AI41+MIN((AK40)+AH41-AI41,MAX(0,$E41-((H41-G41)+(L41-K41)+(P41-O41)+(T41-S41)+(X41-W41)+(AB41-AA41)+(AF41-AE41))))</f>
        <v/>
      </c>
      <c r="AK41" s="28">
        <f>ROUND(MAX(0,(AK40)+AH41-AJ41),2)</f>
        <v/>
      </c>
      <c r="AL41" s="18">
        <f>I41+M41+Q41+U41+Y41+AC41+AG41+AK41</f>
        <v/>
      </c>
      <c r="AM41" s="27">
        <f>AM40+F41+J41+N41+R41+V41+Z41+AD41+AH41</f>
        <v/>
      </c>
    </row>
    <row r="42">
      <c r="A42" s="25" t="n">
        <v>37</v>
      </c>
      <c r="B42" s="26">
        <f>EDATE('Your Debts'!$B$19,36)</f>
        <v/>
      </c>
      <c r="C42" s="27">
        <f>'Your Debts'!$B$18</f>
        <v/>
      </c>
      <c r="D42" s="27">
        <f>G42+K42+O42+S42+W42+AA42+AE42+AI42</f>
        <v/>
      </c>
      <c r="E42" s="27">
        <f>MAX(0,C42-D42)</f>
        <v/>
      </c>
      <c r="F42" s="28">
        <f>ROUND((I41)*(IF('Your Debts'!$G$5=0,0,INDEX('Your Debts'!$C$5:$C$12,'Your Debts'!$G$5)/12)),2)</f>
        <v/>
      </c>
      <c r="G42" s="28">
        <f>MIN((I41)+F42,IF('Your Debts'!$G$5=0,0,INDEX('Your Debts'!$D$5:$D$12,'Your Debts'!$G$5)))</f>
        <v/>
      </c>
      <c r="H42" s="28">
        <f>G42+MIN((I41)+F42-G42,MAX(0,$E42-(0)))</f>
        <v/>
      </c>
      <c r="I42" s="28">
        <f>ROUND(MAX(0,(I41)+F42-H42),2)</f>
        <v/>
      </c>
      <c r="J42" s="28">
        <f>ROUND((M41)*(IF('Your Debts'!$G$6=0,0,INDEX('Your Debts'!$C$5:$C$12,'Your Debts'!$G$6)/12)),2)</f>
        <v/>
      </c>
      <c r="K42" s="28">
        <f>MIN((M41)+J42,IF('Your Debts'!$G$6=0,0,INDEX('Your Debts'!$D$5:$D$12,'Your Debts'!$G$6)))</f>
        <v/>
      </c>
      <c r="L42" s="28">
        <f>K42+MIN((M41)+J42-K42,MAX(0,$E42-((H42-G42))))</f>
        <v/>
      </c>
      <c r="M42" s="28">
        <f>ROUND(MAX(0,(M41)+J42-L42),2)</f>
        <v/>
      </c>
      <c r="N42" s="28">
        <f>ROUND((Q41)*(IF('Your Debts'!$G$7=0,0,INDEX('Your Debts'!$C$5:$C$12,'Your Debts'!$G$7)/12)),2)</f>
        <v/>
      </c>
      <c r="O42" s="28">
        <f>MIN((Q41)+N42,IF('Your Debts'!$G$7=0,0,INDEX('Your Debts'!$D$5:$D$12,'Your Debts'!$G$7)))</f>
        <v/>
      </c>
      <c r="P42" s="28">
        <f>O42+MIN((Q41)+N42-O42,MAX(0,$E42-((H42-G42)+(L42-K42))))</f>
        <v/>
      </c>
      <c r="Q42" s="28">
        <f>ROUND(MAX(0,(Q41)+N42-P42),2)</f>
        <v/>
      </c>
      <c r="R42" s="28">
        <f>ROUND((U41)*(IF('Your Debts'!$G$8=0,0,INDEX('Your Debts'!$C$5:$C$12,'Your Debts'!$G$8)/12)),2)</f>
        <v/>
      </c>
      <c r="S42" s="28">
        <f>MIN((U41)+R42,IF('Your Debts'!$G$8=0,0,INDEX('Your Debts'!$D$5:$D$12,'Your Debts'!$G$8)))</f>
        <v/>
      </c>
      <c r="T42" s="28">
        <f>S42+MIN((U41)+R42-S42,MAX(0,$E42-((H42-G42)+(L42-K42)+(P42-O42))))</f>
        <v/>
      </c>
      <c r="U42" s="28">
        <f>ROUND(MAX(0,(U41)+R42-T42),2)</f>
        <v/>
      </c>
      <c r="V42" s="28">
        <f>ROUND((Y41)*(IF('Your Debts'!$G$9=0,0,INDEX('Your Debts'!$C$5:$C$12,'Your Debts'!$G$9)/12)),2)</f>
        <v/>
      </c>
      <c r="W42" s="28">
        <f>MIN((Y41)+V42,IF('Your Debts'!$G$9=0,0,INDEX('Your Debts'!$D$5:$D$12,'Your Debts'!$G$9)))</f>
        <v/>
      </c>
      <c r="X42" s="28">
        <f>W42+MIN((Y41)+V42-W42,MAX(0,$E42-((H42-G42)+(L42-K42)+(P42-O42)+(T42-S42))))</f>
        <v/>
      </c>
      <c r="Y42" s="28">
        <f>ROUND(MAX(0,(Y41)+V42-X42),2)</f>
        <v/>
      </c>
      <c r="Z42" s="28">
        <f>ROUND((AC41)*(IF('Your Debts'!$G$10=0,0,INDEX('Your Debts'!$C$5:$C$12,'Your Debts'!$G$10)/12)),2)</f>
        <v/>
      </c>
      <c r="AA42" s="28">
        <f>MIN((AC41)+Z42,IF('Your Debts'!$G$10=0,0,INDEX('Your Debts'!$D$5:$D$12,'Your Debts'!$G$10)))</f>
        <v/>
      </c>
      <c r="AB42" s="28">
        <f>AA42+MIN((AC41)+Z42-AA42,MAX(0,$E42-((H42-G42)+(L42-K42)+(P42-O42)+(T42-S42)+(X42-W42))))</f>
        <v/>
      </c>
      <c r="AC42" s="28">
        <f>ROUND(MAX(0,(AC41)+Z42-AB42),2)</f>
        <v/>
      </c>
      <c r="AD42" s="28">
        <f>ROUND((AG41)*(IF('Your Debts'!$G$11=0,0,INDEX('Your Debts'!$C$5:$C$12,'Your Debts'!$G$11)/12)),2)</f>
        <v/>
      </c>
      <c r="AE42" s="28">
        <f>MIN((AG41)+AD42,IF('Your Debts'!$G$11=0,0,INDEX('Your Debts'!$D$5:$D$12,'Your Debts'!$G$11)))</f>
        <v/>
      </c>
      <c r="AF42" s="28">
        <f>AE42+MIN((AG41)+AD42-AE42,MAX(0,$E42-((H42-G42)+(L42-K42)+(P42-O42)+(T42-S42)+(X42-W42)+(AB42-AA42))))</f>
        <v/>
      </c>
      <c r="AG42" s="28">
        <f>ROUND(MAX(0,(AG41)+AD42-AF42),2)</f>
        <v/>
      </c>
      <c r="AH42" s="28">
        <f>ROUND((AK41)*(IF('Your Debts'!$G$12=0,0,INDEX('Your Debts'!$C$5:$C$12,'Your Debts'!$G$12)/12)),2)</f>
        <v/>
      </c>
      <c r="AI42" s="28">
        <f>MIN((AK41)+AH42,IF('Your Debts'!$G$12=0,0,INDEX('Your Debts'!$D$5:$D$12,'Your Debts'!$G$12)))</f>
        <v/>
      </c>
      <c r="AJ42" s="28">
        <f>AI42+MIN((AK41)+AH42-AI42,MAX(0,$E42-((H42-G42)+(L42-K42)+(P42-O42)+(T42-S42)+(X42-W42)+(AB42-AA42)+(AF42-AE42))))</f>
        <v/>
      </c>
      <c r="AK42" s="28">
        <f>ROUND(MAX(0,(AK41)+AH42-AJ42),2)</f>
        <v/>
      </c>
      <c r="AL42" s="18">
        <f>I42+M42+Q42+U42+Y42+AC42+AG42+AK42</f>
        <v/>
      </c>
      <c r="AM42" s="27">
        <f>AM41+F42+J42+N42+R42+V42+Z42+AD42+AH42</f>
        <v/>
      </c>
    </row>
    <row r="43">
      <c r="A43" s="25" t="n">
        <v>38</v>
      </c>
      <c r="B43" s="26">
        <f>EDATE('Your Debts'!$B$19,37)</f>
        <v/>
      </c>
      <c r="C43" s="27">
        <f>'Your Debts'!$B$18</f>
        <v/>
      </c>
      <c r="D43" s="27">
        <f>G43+K43+O43+S43+W43+AA43+AE43+AI43</f>
        <v/>
      </c>
      <c r="E43" s="27">
        <f>MAX(0,C43-D43)</f>
        <v/>
      </c>
      <c r="F43" s="28">
        <f>ROUND((I42)*(IF('Your Debts'!$G$5=0,0,INDEX('Your Debts'!$C$5:$C$12,'Your Debts'!$G$5)/12)),2)</f>
        <v/>
      </c>
      <c r="G43" s="28">
        <f>MIN((I42)+F43,IF('Your Debts'!$G$5=0,0,INDEX('Your Debts'!$D$5:$D$12,'Your Debts'!$G$5)))</f>
        <v/>
      </c>
      <c r="H43" s="28">
        <f>G43+MIN((I42)+F43-G43,MAX(0,$E43-(0)))</f>
        <v/>
      </c>
      <c r="I43" s="28">
        <f>ROUND(MAX(0,(I42)+F43-H43),2)</f>
        <v/>
      </c>
      <c r="J43" s="28">
        <f>ROUND((M42)*(IF('Your Debts'!$G$6=0,0,INDEX('Your Debts'!$C$5:$C$12,'Your Debts'!$G$6)/12)),2)</f>
        <v/>
      </c>
      <c r="K43" s="28">
        <f>MIN((M42)+J43,IF('Your Debts'!$G$6=0,0,INDEX('Your Debts'!$D$5:$D$12,'Your Debts'!$G$6)))</f>
        <v/>
      </c>
      <c r="L43" s="28">
        <f>K43+MIN((M42)+J43-K43,MAX(0,$E43-((H43-G43))))</f>
        <v/>
      </c>
      <c r="M43" s="28">
        <f>ROUND(MAX(0,(M42)+J43-L43),2)</f>
        <v/>
      </c>
      <c r="N43" s="28">
        <f>ROUND((Q42)*(IF('Your Debts'!$G$7=0,0,INDEX('Your Debts'!$C$5:$C$12,'Your Debts'!$G$7)/12)),2)</f>
        <v/>
      </c>
      <c r="O43" s="28">
        <f>MIN((Q42)+N43,IF('Your Debts'!$G$7=0,0,INDEX('Your Debts'!$D$5:$D$12,'Your Debts'!$G$7)))</f>
        <v/>
      </c>
      <c r="P43" s="28">
        <f>O43+MIN((Q42)+N43-O43,MAX(0,$E43-((H43-G43)+(L43-K43))))</f>
        <v/>
      </c>
      <c r="Q43" s="28">
        <f>ROUND(MAX(0,(Q42)+N43-P43),2)</f>
        <v/>
      </c>
      <c r="R43" s="28">
        <f>ROUND((U42)*(IF('Your Debts'!$G$8=0,0,INDEX('Your Debts'!$C$5:$C$12,'Your Debts'!$G$8)/12)),2)</f>
        <v/>
      </c>
      <c r="S43" s="28">
        <f>MIN((U42)+R43,IF('Your Debts'!$G$8=0,0,INDEX('Your Debts'!$D$5:$D$12,'Your Debts'!$G$8)))</f>
        <v/>
      </c>
      <c r="T43" s="28">
        <f>S43+MIN((U42)+R43-S43,MAX(0,$E43-((H43-G43)+(L43-K43)+(P43-O43))))</f>
        <v/>
      </c>
      <c r="U43" s="28">
        <f>ROUND(MAX(0,(U42)+R43-T43),2)</f>
        <v/>
      </c>
      <c r="V43" s="28">
        <f>ROUND((Y42)*(IF('Your Debts'!$G$9=0,0,INDEX('Your Debts'!$C$5:$C$12,'Your Debts'!$G$9)/12)),2)</f>
        <v/>
      </c>
      <c r="W43" s="28">
        <f>MIN((Y42)+V43,IF('Your Debts'!$G$9=0,0,INDEX('Your Debts'!$D$5:$D$12,'Your Debts'!$G$9)))</f>
        <v/>
      </c>
      <c r="X43" s="28">
        <f>W43+MIN((Y42)+V43-W43,MAX(0,$E43-((H43-G43)+(L43-K43)+(P43-O43)+(T43-S43))))</f>
        <v/>
      </c>
      <c r="Y43" s="28">
        <f>ROUND(MAX(0,(Y42)+V43-X43),2)</f>
        <v/>
      </c>
      <c r="Z43" s="28">
        <f>ROUND((AC42)*(IF('Your Debts'!$G$10=0,0,INDEX('Your Debts'!$C$5:$C$12,'Your Debts'!$G$10)/12)),2)</f>
        <v/>
      </c>
      <c r="AA43" s="28">
        <f>MIN((AC42)+Z43,IF('Your Debts'!$G$10=0,0,INDEX('Your Debts'!$D$5:$D$12,'Your Debts'!$G$10)))</f>
        <v/>
      </c>
      <c r="AB43" s="28">
        <f>AA43+MIN((AC42)+Z43-AA43,MAX(0,$E43-((H43-G43)+(L43-K43)+(P43-O43)+(T43-S43)+(X43-W43))))</f>
        <v/>
      </c>
      <c r="AC43" s="28">
        <f>ROUND(MAX(0,(AC42)+Z43-AB43),2)</f>
        <v/>
      </c>
      <c r="AD43" s="28">
        <f>ROUND((AG42)*(IF('Your Debts'!$G$11=0,0,INDEX('Your Debts'!$C$5:$C$12,'Your Debts'!$G$11)/12)),2)</f>
        <v/>
      </c>
      <c r="AE43" s="28">
        <f>MIN((AG42)+AD43,IF('Your Debts'!$G$11=0,0,INDEX('Your Debts'!$D$5:$D$12,'Your Debts'!$G$11)))</f>
        <v/>
      </c>
      <c r="AF43" s="28">
        <f>AE43+MIN((AG42)+AD43-AE43,MAX(0,$E43-((H43-G43)+(L43-K43)+(P43-O43)+(T43-S43)+(X43-W43)+(AB43-AA43))))</f>
        <v/>
      </c>
      <c r="AG43" s="28">
        <f>ROUND(MAX(0,(AG42)+AD43-AF43),2)</f>
        <v/>
      </c>
      <c r="AH43" s="28">
        <f>ROUND((AK42)*(IF('Your Debts'!$G$12=0,0,INDEX('Your Debts'!$C$5:$C$12,'Your Debts'!$G$12)/12)),2)</f>
        <v/>
      </c>
      <c r="AI43" s="28">
        <f>MIN((AK42)+AH43,IF('Your Debts'!$G$12=0,0,INDEX('Your Debts'!$D$5:$D$12,'Your Debts'!$G$12)))</f>
        <v/>
      </c>
      <c r="AJ43" s="28">
        <f>AI43+MIN((AK42)+AH43-AI43,MAX(0,$E43-((H43-G43)+(L43-K43)+(P43-O43)+(T43-S43)+(X43-W43)+(AB43-AA43)+(AF43-AE43))))</f>
        <v/>
      </c>
      <c r="AK43" s="28">
        <f>ROUND(MAX(0,(AK42)+AH43-AJ43),2)</f>
        <v/>
      </c>
      <c r="AL43" s="18">
        <f>I43+M43+Q43+U43+Y43+AC43+AG43+AK43</f>
        <v/>
      </c>
      <c r="AM43" s="27">
        <f>AM42+F43+J43+N43+R43+V43+Z43+AD43+AH43</f>
        <v/>
      </c>
    </row>
    <row r="44">
      <c r="A44" s="25" t="n">
        <v>39</v>
      </c>
      <c r="B44" s="26">
        <f>EDATE('Your Debts'!$B$19,38)</f>
        <v/>
      </c>
      <c r="C44" s="27">
        <f>'Your Debts'!$B$18</f>
        <v/>
      </c>
      <c r="D44" s="27">
        <f>G44+K44+O44+S44+W44+AA44+AE44+AI44</f>
        <v/>
      </c>
      <c r="E44" s="27">
        <f>MAX(0,C44-D44)</f>
        <v/>
      </c>
      <c r="F44" s="28">
        <f>ROUND((I43)*(IF('Your Debts'!$G$5=0,0,INDEX('Your Debts'!$C$5:$C$12,'Your Debts'!$G$5)/12)),2)</f>
        <v/>
      </c>
      <c r="G44" s="28">
        <f>MIN((I43)+F44,IF('Your Debts'!$G$5=0,0,INDEX('Your Debts'!$D$5:$D$12,'Your Debts'!$G$5)))</f>
        <v/>
      </c>
      <c r="H44" s="28">
        <f>G44+MIN((I43)+F44-G44,MAX(0,$E44-(0)))</f>
        <v/>
      </c>
      <c r="I44" s="28">
        <f>ROUND(MAX(0,(I43)+F44-H44),2)</f>
        <v/>
      </c>
      <c r="J44" s="28">
        <f>ROUND((M43)*(IF('Your Debts'!$G$6=0,0,INDEX('Your Debts'!$C$5:$C$12,'Your Debts'!$G$6)/12)),2)</f>
        <v/>
      </c>
      <c r="K44" s="28">
        <f>MIN((M43)+J44,IF('Your Debts'!$G$6=0,0,INDEX('Your Debts'!$D$5:$D$12,'Your Debts'!$G$6)))</f>
        <v/>
      </c>
      <c r="L44" s="28">
        <f>K44+MIN((M43)+J44-K44,MAX(0,$E44-((H44-G44))))</f>
        <v/>
      </c>
      <c r="M44" s="28">
        <f>ROUND(MAX(0,(M43)+J44-L44),2)</f>
        <v/>
      </c>
      <c r="N44" s="28">
        <f>ROUND((Q43)*(IF('Your Debts'!$G$7=0,0,INDEX('Your Debts'!$C$5:$C$12,'Your Debts'!$G$7)/12)),2)</f>
        <v/>
      </c>
      <c r="O44" s="28">
        <f>MIN((Q43)+N44,IF('Your Debts'!$G$7=0,0,INDEX('Your Debts'!$D$5:$D$12,'Your Debts'!$G$7)))</f>
        <v/>
      </c>
      <c r="P44" s="28">
        <f>O44+MIN((Q43)+N44-O44,MAX(0,$E44-((H44-G44)+(L44-K44))))</f>
        <v/>
      </c>
      <c r="Q44" s="28">
        <f>ROUND(MAX(0,(Q43)+N44-P44),2)</f>
        <v/>
      </c>
      <c r="R44" s="28">
        <f>ROUND((U43)*(IF('Your Debts'!$G$8=0,0,INDEX('Your Debts'!$C$5:$C$12,'Your Debts'!$G$8)/12)),2)</f>
        <v/>
      </c>
      <c r="S44" s="28">
        <f>MIN((U43)+R44,IF('Your Debts'!$G$8=0,0,INDEX('Your Debts'!$D$5:$D$12,'Your Debts'!$G$8)))</f>
        <v/>
      </c>
      <c r="T44" s="28">
        <f>S44+MIN((U43)+R44-S44,MAX(0,$E44-((H44-G44)+(L44-K44)+(P44-O44))))</f>
        <v/>
      </c>
      <c r="U44" s="28">
        <f>ROUND(MAX(0,(U43)+R44-T44),2)</f>
        <v/>
      </c>
      <c r="V44" s="28">
        <f>ROUND((Y43)*(IF('Your Debts'!$G$9=0,0,INDEX('Your Debts'!$C$5:$C$12,'Your Debts'!$G$9)/12)),2)</f>
        <v/>
      </c>
      <c r="W44" s="28">
        <f>MIN((Y43)+V44,IF('Your Debts'!$G$9=0,0,INDEX('Your Debts'!$D$5:$D$12,'Your Debts'!$G$9)))</f>
        <v/>
      </c>
      <c r="X44" s="28">
        <f>W44+MIN((Y43)+V44-W44,MAX(0,$E44-((H44-G44)+(L44-K44)+(P44-O44)+(T44-S44))))</f>
        <v/>
      </c>
      <c r="Y44" s="28">
        <f>ROUND(MAX(0,(Y43)+V44-X44),2)</f>
        <v/>
      </c>
      <c r="Z44" s="28">
        <f>ROUND((AC43)*(IF('Your Debts'!$G$10=0,0,INDEX('Your Debts'!$C$5:$C$12,'Your Debts'!$G$10)/12)),2)</f>
        <v/>
      </c>
      <c r="AA44" s="28">
        <f>MIN((AC43)+Z44,IF('Your Debts'!$G$10=0,0,INDEX('Your Debts'!$D$5:$D$12,'Your Debts'!$G$10)))</f>
        <v/>
      </c>
      <c r="AB44" s="28">
        <f>AA44+MIN((AC43)+Z44-AA44,MAX(0,$E44-((H44-G44)+(L44-K44)+(P44-O44)+(T44-S44)+(X44-W44))))</f>
        <v/>
      </c>
      <c r="AC44" s="28">
        <f>ROUND(MAX(0,(AC43)+Z44-AB44),2)</f>
        <v/>
      </c>
      <c r="AD44" s="28">
        <f>ROUND((AG43)*(IF('Your Debts'!$G$11=0,0,INDEX('Your Debts'!$C$5:$C$12,'Your Debts'!$G$11)/12)),2)</f>
        <v/>
      </c>
      <c r="AE44" s="28">
        <f>MIN((AG43)+AD44,IF('Your Debts'!$G$11=0,0,INDEX('Your Debts'!$D$5:$D$12,'Your Debts'!$G$11)))</f>
        <v/>
      </c>
      <c r="AF44" s="28">
        <f>AE44+MIN((AG43)+AD44-AE44,MAX(0,$E44-((H44-G44)+(L44-K44)+(P44-O44)+(T44-S44)+(X44-W44)+(AB44-AA44))))</f>
        <v/>
      </c>
      <c r="AG44" s="28">
        <f>ROUND(MAX(0,(AG43)+AD44-AF44),2)</f>
        <v/>
      </c>
      <c r="AH44" s="28">
        <f>ROUND((AK43)*(IF('Your Debts'!$G$12=0,0,INDEX('Your Debts'!$C$5:$C$12,'Your Debts'!$G$12)/12)),2)</f>
        <v/>
      </c>
      <c r="AI44" s="28">
        <f>MIN((AK43)+AH44,IF('Your Debts'!$G$12=0,0,INDEX('Your Debts'!$D$5:$D$12,'Your Debts'!$G$12)))</f>
        <v/>
      </c>
      <c r="AJ44" s="28">
        <f>AI44+MIN((AK43)+AH44-AI44,MAX(0,$E44-((H44-G44)+(L44-K44)+(P44-O44)+(T44-S44)+(X44-W44)+(AB44-AA44)+(AF44-AE44))))</f>
        <v/>
      </c>
      <c r="AK44" s="28">
        <f>ROUND(MAX(0,(AK43)+AH44-AJ44),2)</f>
        <v/>
      </c>
      <c r="AL44" s="18">
        <f>I44+M44+Q44+U44+Y44+AC44+AG44+AK44</f>
        <v/>
      </c>
      <c r="AM44" s="27">
        <f>AM43+F44+J44+N44+R44+V44+Z44+AD44+AH44</f>
        <v/>
      </c>
    </row>
    <row r="45">
      <c r="A45" s="25" t="n">
        <v>40</v>
      </c>
      <c r="B45" s="26">
        <f>EDATE('Your Debts'!$B$19,39)</f>
        <v/>
      </c>
      <c r="C45" s="27">
        <f>'Your Debts'!$B$18</f>
        <v/>
      </c>
      <c r="D45" s="27">
        <f>G45+K45+O45+S45+W45+AA45+AE45+AI45</f>
        <v/>
      </c>
      <c r="E45" s="27">
        <f>MAX(0,C45-D45)</f>
        <v/>
      </c>
      <c r="F45" s="28">
        <f>ROUND((I44)*(IF('Your Debts'!$G$5=0,0,INDEX('Your Debts'!$C$5:$C$12,'Your Debts'!$G$5)/12)),2)</f>
        <v/>
      </c>
      <c r="G45" s="28">
        <f>MIN((I44)+F45,IF('Your Debts'!$G$5=0,0,INDEX('Your Debts'!$D$5:$D$12,'Your Debts'!$G$5)))</f>
        <v/>
      </c>
      <c r="H45" s="28">
        <f>G45+MIN((I44)+F45-G45,MAX(0,$E45-(0)))</f>
        <v/>
      </c>
      <c r="I45" s="28">
        <f>ROUND(MAX(0,(I44)+F45-H45),2)</f>
        <v/>
      </c>
      <c r="J45" s="28">
        <f>ROUND((M44)*(IF('Your Debts'!$G$6=0,0,INDEX('Your Debts'!$C$5:$C$12,'Your Debts'!$G$6)/12)),2)</f>
        <v/>
      </c>
      <c r="K45" s="28">
        <f>MIN((M44)+J45,IF('Your Debts'!$G$6=0,0,INDEX('Your Debts'!$D$5:$D$12,'Your Debts'!$G$6)))</f>
        <v/>
      </c>
      <c r="L45" s="28">
        <f>K45+MIN((M44)+J45-K45,MAX(0,$E45-((H45-G45))))</f>
        <v/>
      </c>
      <c r="M45" s="28">
        <f>ROUND(MAX(0,(M44)+J45-L45),2)</f>
        <v/>
      </c>
      <c r="N45" s="28">
        <f>ROUND((Q44)*(IF('Your Debts'!$G$7=0,0,INDEX('Your Debts'!$C$5:$C$12,'Your Debts'!$G$7)/12)),2)</f>
        <v/>
      </c>
      <c r="O45" s="28">
        <f>MIN((Q44)+N45,IF('Your Debts'!$G$7=0,0,INDEX('Your Debts'!$D$5:$D$12,'Your Debts'!$G$7)))</f>
        <v/>
      </c>
      <c r="P45" s="28">
        <f>O45+MIN((Q44)+N45-O45,MAX(0,$E45-((H45-G45)+(L45-K45))))</f>
        <v/>
      </c>
      <c r="Q45" s="28">
        <f>ROUND(MAX(0,(Q44)+N45-P45),2)</f>
        <v/>
      </c>
      <c r="R45" s="28">
        <f>ROUND((U44)*(IF('Your Debts'!$G$8=0,0,INDEX('Your Debts'!$C$5:$C$12,'Your Debts'!$G$8)/12)),2)</f>
        <v/>
      </c>
      <c r="S45" s="28">
        <f>MIN((U44)+R45,IF('Your Debts'!$G$8=0,0,INDEX('Your Debts'!$D$5:$D$12,'Your Debts'!$G$8)))</f>
        <v/>
      </c>
      <c r="T45" s="28">
        <f>S45+MIN((U44)+R45-S45,MAX(0,$E45-((H45-G45)+(L45-K45)+(P45-O45))))</f>
        <v/>
      </c>
      <c r="U45" s="28">
        <f>ROUND(MAX(0,(U44)+R45-T45),2)</f>
        <v/>
      </c>
      <c r="V45" s="28">
        <f>ROUND((Y44)*(IF('Your Debts'!$G$9=0,0,INDEX('Your Debts'!$C$5:$C$12,'Your Debts'!$G$9)/12)),2)</f>
        <v/>
      </c>
      <c r="W45" s="28">
        <f>MIN((Y44)+V45,IF('Your Debts'!$G$9=0,0,INDEX('Your Debts'!$D$5:$D$12,'Your Debts'!$G$9)))</f>
        <v/>
      </c>
      <c r="X45" s="28">
        <f>W45+MIN((Y44)+V45-W45,MAX(0,$E45-((H45-G45)+(L45-K45)+(P45-O45)+(T45-S45))))</f>
        <v/>
      </c>
      <c r="Y45" s="28">
        <f>ROUND(MAX(0,(Y44)+V45-X45),2)</f>
        <v/>
      </c>
      <c r="Z45" s="28">
        <f>ROUND((AC44)*(IF('Your Debts'!$G$10=0,0,INDEX('Your Debts'!$C$5:$C$12,'Your Debts'!$G$10)/12)),2)</f>
        <v/>
      </c>
      <c r="AA45" s="28">
        <f>MIN((AC44)+Z45,IF('Your Debts'!$G$10=0,0,INDEX('Your Debts'!$D$5:$D$12,'Your Debts'!$G$10)))</f>
        <v/>
      </c>
      <c r="AB45" s="28">
        <f>AA45+MIN((AC44)+Z45-AA45,MAX(0,$E45-((H45-G45)+(L45-K45)+(P45-O45)+(T45-S45)+(X45-W45))))</f>
        <v/>
      </c>
      <c r="AC45" s="28">
        <f>ROUND(MAX(0,(AC44)+Z45-AB45),2)</f>
        <v/>
      </c>
      <c r="AD45" s="28">
        <f>ROUND((AG44)*(IF('Your Debts'!$G$11=0,0,INDEX('Your Debts'!$C$5:$C$12,'Your Debts'!$G$11)/12)),2)</f>
        <v/>
      </c>
      <c r="AE45" s="28">
        <f>MIN((AG44)+AD45,IF('Your Debts'!$G$11=0,0,INDEX('Your Debts'!$D$5:$D$12,'Your Debts'!$G$11)))</f>
        <v/>
      </c>
      <c r="AF45" s="28">
        <f>AE45+MIN((AG44)+AD45-AE45,MAX(0,$E45-((H45-G45)+(L45-K45)+(P45-O45)+(T45-S45)+(X45-W45)+(AB45-AA45))))</f>
        <v/>
      </c>
      <c r="AG45" s="28">
        <f>ROUND(MAX(0,(AG44)+AD45-AF45),2)</f>
        <v/>
      </c>
      <c r="AH45" s="28">
        <f>ROUND((AK44)*(IF('Your Debts'!$G$12=0,0,INDEX('Your Debts'!$C$5:$C$12,'Your Debts'!$G$12)/12)),2)</f>
        <v/>
      </c>
      <c r="AI45" s="28">
        <f>MIN((AK44)+AH45,IF('Your Debts'!$G$12=0,0,INDEX('Your Debts'!$D$5:$D$12,'Your Debts'!$G$12)))</f>
        <v/>
      </c>
      <c r="AJ45" s="28">
        <f>AI45+MIN((AK44)+AH45-AI45,MAX(0,$E45-((H45-G45)+(L45-K45)+(P45-O45)+(T45-S45)+(X45-W45)+(AB45-AA45)+(AF45-AE45))))</f>
        <v/>
      </c>
      <c r="AK45" s="28">
        <f>ROUND(MAX(0,(AK44)+AH45-AJ45),2)</f>
        <v/>
      </c>
      <c r="AL45" s="18">
        <f>I45+M45+Q45+U45+Y45+AC45+AG45+AK45</f>
        <v/>
      </c>
      <c r="AM45" s="27">
        <f>AM44+F45+J45+N45+R45+V45+Z45+AD45+AH45</f>
        <v/>
      </c>
    </row>
    <row r="46">
      <c r="A46" s="25" t="n">
        <v>41</v>
      </c>
      <c r="B46" s="26">
        <f>EDATE('Your Debts'!$B$19,40)</f>
        <v/>
      </c>
      <c r="C46" s="27">
        <f>'Your Debts'!$B$18</f>
        <v/>
      </c>
      <c r="D46" s="27">
        <f>G46+K46+O46+S46+W46+AA46+AE46+AI46</f>
        <v/>
      </c>
      <c r="E46" s="27">
        <f>MAX(0,C46-D46)</f>
        <v/>
      </c>
      <c r="F46" s="28">
        <f>ROUND((I45)*(IF('Your Debts'!$G$5=0,0,INDEX('Your Debts'!$C$5:$C$12,'Your Debts'!$G$5)/12)),2)</f>
        <v/>
      </c>
      <c r="G46" s="28">
        <f>MIN((I45)+F46,IF('Your Debts'!$G$5=0,0,INDEX('Your Debts'!$D$5:$D$12,'Your Debts'!$G$5)))</f>
        <v/>
      </c>
      <c r="H46" s="28">
        <f>G46+MIN((I45)+F46-G46,MAX(0,$E46-(0)))</f>
        <v/>
      </c>
      <c r="I46" s="28">
        <f>ROUND(MAX(0,(I45)+F46-H46),2)</f>
        <v/>
      </c>
      <c r="J46" s="28">
        <f>ROUND((M45)*(IF('Your Debts'!$G$6=0,0,INDEX('Your Debts'!$C$5:$C$12,'Your Debts'!$G$6)/12)),2)</f>
        <v/>
      </c>
      <c r="K46" s="28">
        <f>MIN((M45)+J46,IF('Your Debts'!$G$6=0,0,INDEX('Your Debts'!$D$5:$D$12,'Your Debts'!$G$6)))</f>
        <v/>
      </c>
      <c r="L46" s="28">
        <f>K46+MIN((M45)+J46-K46,MAX(0,$E46-((H46-G46))))</f>
        <v/>
      </c>
      <c r="M46" s="28">
        <f>ROUND(MAX(0,(M45)+J46-L46),2)</f>
        <v/>
      </c>
      <c r="N46" s="28">
        <f>ROUND((Q45)*(IF('Your Debts'!$G$7=0,0,INDEX('Your Debts'!$C$5:$C$12,'Your Debts'!$G$7)/12)),2)</f>
        <v/>
      </c>
      <c r="O46" s="28">
        <f>MIN((Q45)+N46,IF('Your Debts'!$G$7=0,0,INDEX('Your Debts'!$D$5:$D$12,'Your Debts'!$G$7)))</f>
        <v/>
      </c>
      <c r="P46" s="28">
        <f>O46+MIN((Q45)+N46-O46,MAX(0,$E46-((H46-G46)+(L46-K46))))</f>
        <v/>
      </c>
      <c r="Q46" s="28">
        <f>ROUND(MAX(0,(Q45)+N46-P46),2)</f>
        <v/>
      </c>
      <c r="R46" s="28">
        <f>ROUND((U45)*(IF('Your Debts'!$G$8=0,0,INDEX('Your Debts'!$C$5:$C$12,'Your Debts'!$G$8)/12)),2)</f>
        <v/>
      </c>
      <c r="S46" s="28">
        <f>MIN((U45)+R46,IF('Your Debts'!$G$8=0,0,INDEX('Your Debts'!$D$5:$D$12,'Your Debts'!$G$8)))</f>
        <v/>
      </c>
      <c r="T46" s="28">
        <f>S46+MIN((U45)+R46-S46,MAX(0,$E46-((H46-G46)+(L46-K46)+(P46-O46))))</f>
        <v/>
      </c>
      <c r="U46" s="28">
        <f>ROUND(MAX(0,(U45)+R46-T46),2)</f>
        <v/>
      </c>
      <c r="V46" s="28">
        <f>ROUND((Y45)*(IF('Your Debts'!$G$9=0,0,INDEX('Your Debts'!$C$5:$C$12,'Your Debts'!$G$9)/12)),2)</f>
        <v/>
      </c>
      <c r="W46" s="28">
        <f>MIN((Y45)+V46,IF('Your Debts'!$G$9=0,0,INDEX('Your Debts'!$D$5:$D$12,'Your Debts'!$G$9)))</f>
        <v/>
      </c>
      <c r="X46" s="28">
        <f>W46+MIN((Y45)+V46-W46,MAX(0,$E46-((H46-G46)+(L46-K46)+(P46-O46)+(T46-S46))))</f>
        <v/>
      </c>
      <c r="Y46" s="28">
        <f>ROUND(MAX(0,(Y45)+V46-X46),2)</f>
        <v/>
      </c>
      <c r="Z46" s="28">
        <f>ROUND((AC45)*(IF('Your Debts'!$G$10=0,0,INDEX('Your Debts'!$C$5:$C$12,'Your Debts'!$G$10)/12)),2)</f>
        <v/>
      </c>
      <c r="AA46" s="28">
        <f>MIN((AC45)+Z46,IF('Your Debts'!$G$10=0,0,INDEX('Your Debts'!$D$5:$D$12,'Your Debts'!$G$10)))</f>
        <v/>
      </c>
      <c r="AB46" s="28">
        <f>AA46+MIN((AC45)+Z46-AA46,MAX(0,$E46-((H46-G46)+(L46-K46)+(P46-O46)+(T46-S46)+(X46-W46))))</f>
        <v/>
      </c>
      <c r="AC46" s="28">
        <f>ROUND(MAX(0,(AC45)+Z46-AB46),2)</f>
        <v/>
      </c>
      <c r="AD46" s="28">
        <f>ROUND((AG45)*(IF('Your Debts'!$G$11=0,0,INDEX('Your Debts'!$C$5:$C$12,'Your Debts'!$G$11)/12)),2)</f>
        <v/>
      </c>
      <c r="AE46" s="28">
        <f>MIN((AG45)+AD46,IF('Your Debts'!$G$11=0,0,INDEX('Your Debts'!$D$5:$D$12,'Your Debts'!$G$11)))</f>
        <v/>
      </c>
      <c r="AF46" s="28">
        <f>AE46+MIN((AG45)+AD46-AE46,MAX(0,$E46-((H46-G46)+(L46-K46)+(P46-O46)+(T46-S46)+(X46-W46)+(AB46-AA46))))</f>
        <v/>
      </c>
      <c r="AG46" s="28">
        <f>ROUND(MAX(0,(AG45)+AD46-AF46),2)</f>
        <v/>
      </c>
      <c r="AH46" s="28">
        <f>ROUND((AK45)*(IF('Your Debts'!$G$12=0,0,INDEX('Your Debts'!$C$5:$C$12,'Your Debts'!$G$12)/12)),2)</f>
        <v/>
      </c>
      <c r="AI46" s="28">
        <f>MIN((AK45)+AH46,IF('Your Debts'!$G$12=0,0,INDEX('Your Debts'!$D$5:$D$12,'Your Debts'!$G$12)))</f>
        <v/>
      </c>
      <c r="AJ46" s="28">
        <f>AI46+MIN((AK45)+AH46-AI46,MAX(0,$E46-((H46-G46)+(L46-K46)+(P46-O46)+(T46-S46)+(X46-W46)+(AB46-AA46)+(AF46-AE46))))</f>
        <v/>
      </c>
      <c r="AK46" s="28">
        <f>ROUND(MAX(0,(AK45)+AH46-AJ46),2)</f>
        <v/>
      </c>
      <c r="AL46" s="18">
        <f>I46+M46+Q46+U46+Y46+AC46+AG46+AK46</f>
        <v/>
      </c>
      <c r="AM46" s="27">
        <f>AM45+F46+J46+N46+R46+V46+Z46+AD46+AH46</f>
        <v/>
      </c>
    </row>
    <row r="47">
      <c r="A47" s="25" t="n">
        <v>42</v>
      </c>
      <c r="B47" s="26">
        <f>EDATE('Your Debts'!$B$19,41)</f>
        <v/>
      </c>
      <c r="C47" s="27">
        <f>'Your Debts'!$B$18</f>
        <v/>
      </c>
      <c r="D47" s="27">
        <f>G47+K47+O47+S47+W47+AA47+AE47+AI47</f>
        <v/>
      </c>
      <c r="E47" s="27">
        <f>MAX(0,C47-D47)</f>
        <v/>
      </c>
      <c r="F47" s="28">
        <f>ROUND((I46)*(IF('Your Debts'!$G$5=0,0,INDEX('Your Debts'!$C$5:$C$12,'Your Debts'!$G$5)/12)),2)</f>
        <v/>
      </c>
      <c r="G47" s="28">
        <f>MIN((I46)+F47,IF('Your Debts'!$G$5=0,0,INDEX('Your Debts'!$D$5:$D$12,'Your Debts'!$G$5)))</f>
        <v/>
      </c>
      <c r="H47" s="28">
        <f>G47+MIN((I46)+F47-G47,MAX(0,$E47-(0)))</f>
        <v/>
      </c>
      <c r="I47" s="28">
        <f>ROUND(MAX(0,(I46)+F47-H47),2)</f>
        <v/>
      </c>
      <c r="J47" s="28">
        <f>ROUND((M46)*(IF('Your Debts'!$G$6=0,0,INDEX('Your Debts'!$C$5:$C$12,'Your Debts'!$G$6)/12)),2)</f>
        <v/>
      </c>
      <c r="K47" s="28">
        <f>MIN((M46)+J47,IF('Your Debts'!$G$6=0,0,INDEX('Your Debts'!$D$5:$D$12,'Your Debts'!$G$6)))</f>
        <v/>
      </c>
      <c r="L47" s="28">
        <f>K47+MIN((M46)+J47-K47,MAX(0,$E47-((H47-G47))))</f>
        <v/>
      </c>
      <c r="M47" s="28">
        <f>ROUND(MAX(0,(M46)+J47-L47),2)</f>
        <v/>
      </c>
      <c r="N47" s="28">
        <f>ROUND((Q46)*(IF('Your Debts'!$G$7=0,0,INDEX('Your Debts'!$C$5:$C$12,'Your Debts'!$G$7)/12)),2)</f>
        <v/>
      </c>
      <c r="O47" s="28">
        <f>MIN((Q46)+N47,IF('Your Debts'!$G$7=0,0,INDEX('Your Debts'!$D$5:$D$12,'Your Debts'!$G$7)))</f>
        <v/>
      </c>
      <c r="P47" s="28">
        <f>O47+MIN((Q46)+N47-O47,MAX(0,$E47-((H47-G47)+(L47-K47))))</f>
        <v/>
      </c>
      <c r="Q47" s="28">
        <f>ROUND(MAX(0,(Q46)+N47-P47),2)</f>
        <v/>
      </c>
      <c r="R47" s="28">
        <f>ROUND((U46)*(IF('Your Debts'!$G$8=0,0,INDEX('Your Debts'!$C$5:$C$12,'Your Debts'!$G$8)/12)),2)</f>
        <v/>
      </c>
      <c r="S47" s="28">
        <f>MIN((U46)+R47,IF('Your Debts'!$G$8=0,0,INDEX('Your Debts'!$D$5:$D$12,'Your Debts'!$G$8)))</f>
        <v/>
      </c>
      <c r="T47" s="28">
        <f>S47+MIN((U46)+R47-S47,MAX(0,$E47-((H47-G47)+(L47-K47)+(P47-O47))))</f>
        <v/>
      </c>
      <c r="U47" s="28">
        <f>ROUND(MAX(0,(U46)+R47-T47),2)</f>
        <v/>
      </c>
      <c r="V47" s="28">
        <f>ROUND((Y46)*(IF('Your Debts'!$G$9=0,0,INDEX('Your Debts'!$C$5:$C$12,'Your Debts'!$G$9)/12)),2)</f>
        <v/>
      </c>
      <c r="W47" s="28">
        <f>MIN((Y46)+V47,IF('Your Debts'!$G$9=0,0,INDEX('Your Debts'!$D$5:$D$12,'Your Debts'!$G$9)))</f>
        <v/>
      </c>
      <c r="X47" s="28">
        <f>W47+MIN((Y46)+V47-W47,MAX(0,$E47-((H47-G47)+(L47-K47)+(P47-O47)+(T47-S47))))</f>
        <v/>
      </c>
      <c r="Y47" s="28">
        <f>ROUND(MAX(0,(Y46)+V47-X47),2)</f>
        <v/>
      </c>
      <c r="Z47" s="28">
        <f>ROUND((AC46)*(IF('Your Debts'!$G$10=0,0,INDEX('Your Debts'!$C$5:$C$12,'Your Debts'!$G$10)/12)),2)</f>
        <v/>
      </c>
      <c r="AA47" s="28">
        <f>MIN((AC46)+Z47,IF('Your Debts'!$G$10=0,0,INDEX('Your Debts'!$D$5:$D$12,'Your Debts'!$G$10)))</f>
        <v/>
      </c>
      <c r="AB47" s="28">
        <f>AA47+MIN((AC46)+Z47-AA47,MAX(0,$E47-((H47-G47)+(L47-K47)+(P47-O47)+(T47-S47)+(X47-W47))))</f>
        <v/>
      </c>
      <c r="AC47" s="28">
        <f>ROUND(MAX(0,(AC46)+Z47-AB47),2)</f>
        <v/>
      </c>
      <c r="AD47" s="28">
        <f>ROUND((AG46)*(IF('Your Debts'!$G$11=0,0,INDEX('Your Debts'!$C$5:$C$12,'Your Debts'!$G$11)/12)),2)</f>
        <v/>
      </c>
      <c r="AE47" s="28">
        <f>MIN((AG46)+AD47,IF('Your Debts'!$G$11=0,0,INDEX('Your Debts'!$D$5:$D$12,'Your Debts'!$G$11)))</f>
        <v/>
      </c>
      <c r="AF47" s="28">
        <f>AE47+MIN((AG46)+AD47-AE47,MAX(0,$E47-((H47-G47)+(L47-K47)+(P47-O47)+(T47-S47)+(X47-W47)+(AB47-AA47))))</f>
        <v/>
      </c>
      <c r="AG47" s="28">
        <f>ROUND(MAX(0,(AG46)+AD47-AF47),2)</f>
        <v/>
      </c>
      <c r="AH47" s="28">
        <f>ROUND((AK46)*(IF('Your Debts'!$G$12=0,0,INDEX('Your Debts'!$C$5:$C$12,'Your Debts'!$G$12)/12)),2)</f>
        <v/>
      </c>
      <c r="AI47" s="28">
        <f>MIN((AK46)+AH47,IF('Your Debts'!$G$12=0,0,INDEX('Your Debts'!$D$5:$D$12,'Your Debts'!$G$12)))</f>
        <v/>
      </c>
      <c r="AJ47" s="28">
        <f>AI47+MIN((AK46)+AH47-AI47,MAX(0,$E47-((H47-G47)+(L47-K47)+(P47-O47)+(T47-S47)+(X47-W47)+(AB47-AA47)+(AF47-AE47))))</f>
        <v/>
      </c>
      <c r="AK47" s="28">
        <f>ROUND(MAX(0,(AK46)+AH47-AJ47),2)</f>
        <v/>
      </c>
      <c r="AL47" s="18">
        <f>I47+M47+Q47+U47+Y47+AC47+AG47+AK47</f>
        <v/>
      </c>
      <c r="AM47" s="27">
        <f>AM46+F47+J47+N47+R47+V47+Z47+AD47+AH47</f>
        <v/>
      </c>
    </row>
    <row r="48">
      <c r="A48" s="25" t="n">
        <v>43</v>
      </c>
      <c r="B48" s="26">
        <f>EDATE('Your Debts'!$B$19,42)</f>
        <v/>
      </c>
      <c r="C48" s="27">
        <f>'Your Debts'!$B$18</f>
        <v/>
      </c>
      <c r="D48" s="27">
        <f>G48+K48+O48+S48+W48+AA48+AE48+AI48</f>
        <v/>
      </c>
      <c r="E48" s="27">
        <f>MAX(0,C48-D48)</f>
        <v/>
      </c>
      <c r="F48" s="28">
        <f>ROUND((I47)*(IF('Your Debts'!$G$5=0,0,INDEX('Your Debts'!$C$5:$C$12,'Your Debts'!$G$5)/12)),2)</f>
        <v/>
      </c>
      <c r="G48" s="28">
        <f>MIN((I47)+F48,IF('Your Debts'!$G$5=0,0,INDEX('Your Debts'!$D$5:$D$12,'Your Debts'!$G$5)))</f>
        <v/>
      </c>
      <c r="H48" s="28">
        <f>G48+MIN((I47)+F48-G48,MAX(0,$E48-(0)))</f>
        <v/>
      </c>
      <c r="I48" s="28">
        <f>ROUND(MAX(0,(I47)+F48-H48),2)</f>
        <v/>
      </c>
      <c r="J48" s="28">
        <f>ROUND((M47)*(IF('Your Debts'!$G$6=0,0,INDEX('Your Debts'!$C$5:$C$12,'Your Debts'!$G$6)/12)),2)</f>
        <v/>
      </c>
      <c r="K48" s="28">
        <f>MIN((M47)+J48,IF('Your Debts'!$G$6=0,0,INDEX('Your Debts'!$D$5:$D$12,'Your Debts'!$G$6)))</f>
        <v/>
      </c>
      <c r="L48" s="28">
        <f>K48+MIN((M47)+J48-K48,MAX(0,$E48-((H48-G48))))</f>
        <v/>
      </c>
      <c r="M48" s="28">
        <f>ROUND(MAX(0,(M47)+J48-L48),2)</f>
        <v/>
      </c>
      <c r="N48" s="28">
        <f>ROUND((Q47)*(IF('Your Debts'!$G$7=0,0,INDEX('Your Debts'!$C$5:$C$12,'Your Debts'!$G$7)/12)),2)</f>
        <v/>
      </c>
      <c r="O48" s="28">
        <f>MIN((Q47)+N48,IF('Your Debts'!$G$7=0,0,INDEX('Your Debts'!$D$5:$D$12,'Your Debts'!$G$7)))</f>
        <v/>
      </c>
      <c r="P48" s="28">
        <f>O48+MIN((Q47)+N48-O48,MAX(0,$E48-((H48-G48)+(L48-K48))))</f>
        <v/>
      </c>
      <c r="Q48" s="28">
        <f>ROUND(MAX(0,(Q47)+N48-P48),2)</f>
        <v/>
      </c>
      <c r="R48" s="28">
        <f>ROUND((U47)*(IF('Your Debts'!$G$8=0,0,INDEX('Your Debts'!$C$5:$C$12,'Your Debts'!$G$8)/12)),2)</f>
        <v/>
      </c>
      <c r="S48" s="28">
        <f>MIN((U47)+R48,IF('Your Debts'!$G$8=0,0,INDEX('Your Debts'!$D$5:$D$12,'Your Debts'!$G$8)))</f>
        <v/>
      </c>
      <c r="T48" s="28">
        <f>S48+MIN((U47)+R48-S48,MAX(0,$E48-((H48-G48)+(L48-K48)+(P48-O48))))</f>
        <v/>
      </c>
      <c r="U48" s="28">
        <f>ROUND(MAX(0,(U47)+R48-T48),2)</f>
        <v/>
      </c>
      <c r="V48" s="28">
        <f>ROUND((Y47)*(IF('Your Debts'!$G$9=0,0,INDEX('Your Debts'!$C$5:$C$12,'Your Debts'!$G$9)/12)),2)</f>
        <v/>
      </c>
      <c r="W48" s="28">
        <f>MIN((Y47)+V48,IF('Your Debts'!$G$9=0,0,INDEX('Your Debts'!$D$5:$D$12,'Your Debts'!$G$9)))</f>
        <v/>
      </c>
      <c r="X48" s="28">
        <f>W48+MIN((Y47)+V48-W48,MAX(0,$E48-((H48-G48)+(L48-K48)+(P48-O48)+(T48-S48))))</f>
        <v/>
      </c>
      <c r="Y48" s="28">
        <f>ROUND(MAX(0,(Y47)+V48-X48),2)</f>
        <v/>
      </c>
      <c r="Z48" s="28">
        <f>ROUND((AC47)*(IF('Your Debts'!$G$10=0,0,INDEX('Your Debts'!$C$5:$C$12,'Your Debts'!$G$10)/12)),2)</f>
        <v/>
      </c>
      <c r="AA48" s="28">
        <f>MIN((AC47)+Z48,IF('Your Debts'!$G$10=0,0,INDEX('Your Debts'!$D$5:$D$12,'Your Debts'!$G$10)))</f>
        <v/>
      </c>
      <c r="AB48" s="28">
        <f>AA48+MIN((AC47)+Z48-AA48,MAX(0,$E48-((H48-G48)+(L48-K48)+(P48-O48)+(T48-S48)+(X48-W48))))</f>
        <v/>
      </c>
      <c r="AC48" s="28">
        <f>ROUND(MAX(0,(AC47)+Z48-AB48),2)</f>
        <v/>
      </c>
      <c r="AD48" s="28">
        <f>ROUND((AG47)*(IF('Your Debts'!$G$11=0,0,INDEX('Your Debts'!$C$5:$C$12,'Your Debts'!$G$11)/12)),2)</f>
        <v/>
      </c>
      <c r="AE48" s="28">
        <f>MIN((AG47)+AD48,IF('Your Debts'!$G$11=0,0,INDEX('Your Debts'!$D$5:$D$12,'Your Debts'!$G$11)))</f>
        <v/>
      </c>
      <c r="AF48" s="28">
        <f>AE48+MIN((AG47)+AD48-AE48,MAX(0,$E48-((H48-G48)+(L48-K48)+(P48-O48)+(T48-S48)+(X48-W48)+(AB48-AA48))))</f>
        <v/>
      </c>
      <c r="AG48" s="28">
        <f>ROUND(MAX(0,(AG47)+AD48-AF48),2)</f>
        <v/>
      </c>
      <c r="AH48" s="28">
        <f>ROUND((AK47)*(IF('Your Debts'!$G$12=0,0,INDEX('Your Debts'!$C$5:$C$12,'Your Debts'!$G$12)/12)),2)</f>
        <v/>
      </c>
      <c r="AI48" s="28">
        <f>MIN((AK47)+AH48,IF('Your Debts'!$G$12=0,0,INDEX('Your Debts'!$D$5:$D$12,'Your Debts'!$G$12)))</f>
        <v/>
      </c>
      <c r="AJ48" s="28">
        <f>AI48+MIN((AK47)+AH48-AI48,MAX(0,$E48-((H48-G48)+(L48-K48)+(P48-O48)+(T48-S48)+(X48-W48)+(AB48-AA48)+(AF48-AE48))))</f>
        <v/>
      </c>
      <c r="AK48" s="28">
        <f>ROUND(MAX(0,(AK47)+AH48-AJ48),2)</f>
        <v/>
      </c>
      <c r="AL48" s="18">
        <f>I48+M48+Q48+U48+Y48+AC48+AG48+AK48</f>
        <v/>
      </c>
      <c r="AM48" s="27">
        <f>AM47+F48+J48+N48+R48+V48+Z48+AD48+AH48</f>
        <v/>
      </c>
    </row>
    <row r="49">
      <c r="A49" s="25" t="n">
        <v>44</v>
      </c>
      <c r="B49" s="26">
        <f>EDATE('Your Debts'!$B$19,43)</f>
        <v/>
      </c>
      <c r="C49" s="27">
        <f>'Your Debts'!$B$18</f>
        <v/>
      </c>
      <c r="D49" s="27">
        <f>G49+K49+O49+S49+W49+AA49+AE49+AI49</f>
        <v/>
      </c>
      <c r="E49" s="27">
        <f>MAX(0,C49-D49)</f>
        <v/>
      </c>
      <c r="F49" s="28">
        <f>ROUND((I48)*(IF('Your Debts'!$G$5=0,0,INDEX('Your Debts'!$C$5:$C$12,'Your Debts'!$G$5)/12)),2)</f>
        <v/>
      </c>
      <c r="G49" s="28">
        <f>MIN((I48)+F49,IF('Your Debts'!$G$5=0,0,INDEX('Your Debts'!$D$5:$D$12,'Your Debts'!$G$5)))</f>
        <v/>
      </c>
      <c r="H49" s="28">
        <f>G49+MIN((I48)+F49-G49,MAX(0,$E49-(0)))</f>
        <v/>
      </c>
      <c r="I49" s="28">
        <f>ROUND(MAX(0,(I48)+F49-H49),2)</f>
        <v/>
      </c>
      <c r="J49" s="28">
        <f>ROUND((M48)*(IF('Your Debts'!$G$6=0,0,INDEX('Your Debts'!$C$5:$C$12,'Your Debts'!$G$6)/12)),2)</f>
        <v/>
      </c>
      <c r="K49" s="28">
        <f>MIN((M48)+J49,IF('Your Debts'!$G$6=0,0,INDEX('Your Debts'!$D$5:$D$12,'Your Debts'!$G$6)))</f>
        <v/>
      </c>
      <c r="L49" s="28">
        <f>K49+MIN((M48)+J49-K49,MAX(0,$E49-((H49-G49))))</f>
        <v/>
      </c>
      <c r="M49" s="28">
        <f>ROUND(MAX(0,(M48)+J49-L49),2)</f>
        <v/>
      </c>
      <c r="N49" s="28">
        <f>ROUND((Q48)*(IF('Your Debts'!$G$7=0,0,INDEX('Your Debts'!$C$5:$C$12,'Your Debts'!$G$7)/12)),2)</f>
        <v/>
      </c>
      <c r="O49" s="28">
        <f>MIN((Q48)+N49,IF('Your Debts'!$G$7=0,0,INDEX('Your Debts'!$D$5:$D$12,'Your Debts'!$G$7)))</f>
        <v/>
      </c>
      <c r="P49" s="28">
        <f>O49+MIN((Q48)+N49-O49,MAX(0,$E49-((H49-G49)+(L49-K49))))</f>
        <v/>
      </c>
      <c r="Q49" s="28">
        <f>ROUND(MAX(0,(Q48)+N49-P49),2)</f>
        <v/>
      </c>
      <c r="R49" s="28">
        <f>ROUND((U48)*(IF('Your Debts'!$G$8=0,0,INDEX('Your Debts'!$C$5:$C$12,'Your Debts'!$G$8)/12)),2)</f>
        <v/>
      </c>
      <c r="S49" s="28">
        <f>MIN((U48)+R49,IF('Your Debts'!$G$8=0,0,INDEX('Your Debts'!$D$5:$D$12,'Your Debts'!$G$8)))</f>
        <v/>
      </c>
      <c r="T49" s="28">
        <f>S49+MIN((U48)+R49-S49,MAX(0,$E49-((H49-G49)+(L49-K49)+(P49-O49))))</f>
        <v/>
      </c>
      <c r="U49" s="28">
        <f>ROUND(MAX(0,(U48)+R49-T49),2)</f>
        <v/>
      </c>
      <c r="V49" s="28">
        <f>ROUND((Y48)*(IF('Your Debts'!$G$9=0,0,INDEX('Your Debts'!$C$5:$C$12,'Your Debts'!$G$9)/12)),2)</f>
        <v/>
      </c>
      <c r="W49" s="28">
        <f>MIN((Y48)+V49,IF('Your Debts'!$G$9=0,0,INDEX('Your Debts'!$D$5:$D$12,'Your Debts'!$G$9)))</f>
        <v/>
      </c>
      <c r="X49" s="28">
        <f>W49+MIN((Y48)+V49-W49,MAX(0,$E49-((H49-G49)+(L49-K49)+(P49-O49)+(T49-S49))))</f>
        <v/>
      </c>
      <c r="Y49" s="28">
        <f>ROUND(MAX(0,(Y48)+V49-X49),2)</f>
        <v/>
      </c>
      <c r="Z49" s="28">
        <f>ROUND((AC48)*(IF('Your Debts'!$G$10=0,0,INDEX('Your Debts'!$C$5:$C$12,'Your Debts'!$G$10)/12)),2)</f>
        <v/>
      </c>
      <c r="AA49" s="28">
        <f>MIN((AC48)+Z49,IF('Your Debts'!$G$10=0,0,INDEX('Your Debts'!$D$5:$D$12,'Your Debts'!$G$10)))</f>
        <v/>
      </c>
      <c r="AB49" s="28">
        <f>AA49+MIN((AC48)+Z49-AA49,MAX(0,$E49-((H49-G49)+(L49-K49)+(P49-O49)+(T49-S49)+(X49-W49))))</f>
        <v/>
      </c>
      <c r="AC49" s="28">
        <f>ROUND(MAX(0,(AC48)+Z49-AB49),2)</f>
        <v/>
      </c>
      <c r="AD49" s="28">
        <f>ROUND((AG48)*(IF('Your Debts'!$G$11=0,0,INDEX('Your Debts'!$C$5:$C$12,'Your Debts'!$G$11)/12)),2)</f>
        <v/>
      </c>
      <c r="AE49" s="28">
        <f>MIN((AG48)+AD49,IF('Your Debts'!$G$11=0,0,INDEX('Your Debts'!$D$5:$D$12,'Your Debts'!$G$11)))</f>
        <v/>
      </c>
      <c r="AF49" s="28">
        <f>AE49+MIN((AG48)+AD49-AE49,MAX(0,$E49-((H49-G49)+(L49-K49)+(P49-O49)+(T49-S49)+(X49-W49)+(AB49-AA49))))</f>
        <v/>
      </c>
      <c r="AG49" s="28">
        <f>ROUND(MAX(0,(AG48)+AD49-AF49),2)</f>
        <v/>
      </c>
      <c r="AH49" s="28">
        <f>ROUND((AK48)*(IF('Your Debts'!$G$12=0,0,INDEX('Your Debts'!$C$5:$C$12,'Your Debts'!$G$12)/12)),2)</f>
        <v/>
      </c>
      <c r="AI49" s="28">
        <f>MIN((AK48)+AH49,IF('Your Debts'!$G$12=0,0,INDEX('Your Debts'!$D$5:$D$12,'Your Debts'!$G$12)))</f>
        <v/>
      </c>
      <c r="AJ49" s="28">
        <f>AI49+MIN((AK48)+AH49-AI49,MAX(0,$E49-((H49-G49)+(L49-K49)+(P49-O49)+(T49-S49)+(X49-W49)+(AB49-AA49)+(AF49-AE49))))</f>
        <v/>
      </c>
      <c r="AK49" s="28">
        <f>ROUND(MAX(0,(AK48)+AH49-AJ49),2)</f>
        <v/>
      </c>
      <c r="AL49" s="18">
        <f>I49+M49+Q49+U49+Y49+AC49+AG49+AK49</f>
        <v/>
      </c>
      <c r="AM49" s="27">
        <f>AM48+F49+J49+N49+R49+V49+Z49+AD49+AH49</f>
        <v/>
      </c>
    </row>
    <row r="50">
      <c r="A50" s="25" t="n">
        <v>45</v>
      </c>
      <c r="B50" s="26">
        <f>EDATE('Your Debts'!$B$19,44)</f>
        <v/>
      </c>
      <c r="C50" s="27">
        <f>'Your Debts'!$B$18</f>
        <v/>
      </c>
      <c r="D50" s="27">
        <f>G50+K50+O50+S50+W50+AA50+AE50+AI50</f>
        <v/>
      </c>
      <c r="E50" s="27">
        <f>MAX(0,C50-D50)</f>
        <v/>
      </c>
      <c r="F50" s="28">
        <f>ROUND((I49)*(IF('Your Debts'!$G$5=0,0,INDEX('Your Debts'!$C$5:$C$12,'Your Debts'!$G$5)/12)),2)</f>
        <v/>
      </c>
      <c r="G50" s="28">
        <f>MIN((I49)+F50,IF('Your Debts'!$G$5=0,0,INDEX('Your Debts'!$D$5:$D$12,'Your Debts'!$G$5)))</f>
        <v/>
      </c>
      <c r="H50" s="28">
        <f>G50+MIN((I49)+F50-G50,MAX(0,$E50-(0)))</f>
        <v/>
      </c>
      <c r="I50" s="28">
        <f>ROUND(MAX(0,(I49)+F50-H50),2)</f>
        <v/>
      </c>
      <c r="J50" s="28">
        <f>ROUND((M49)*(IF('Your Debts'!$G$6=0,0,INDEX('Your Debts'!$C$5:$C$12,'Your Debts'!$G$6)/12)),2)</f>
        <v/>
      </c>
      <c r="K50" s="28">
        <f>MIN((M49)+J50,IF('Your Debts'!$G$6=0,0,INDEX('Your Debts'!$D$5:$D$12,'Your Debts'!$G$6)))</f>
        <v/>
      </c>
      <c r="L50" s="28">
        <f>K50+MIN((M49)+J50-K50,MAX(0,$E50-((H50-G50))))</f>
        <v/>
      </c>
      <c r="M50" s="28">
        <f>ROUND(MAX(0,(M49)+J50-L50),2)</f>
        <v/>
      </c>
      <c r="N50" s="28">
        <f>ROUND((Q49)*(IF('Your Debts'!$G$7=0,0,INDEX('Your Debts'!$C$5:$C$12,'Your Debts'!$G$7)/12)),2)</f>
        <v/>
      </c>
      <c r="O50" s="28">
        <f>MIN((Q49)+N50,IF('Your Debts'!$G$7=0,0,INDEX('Your Debts'!$D$5:$D$12,'Your Debts'!$G$7)))</f>
        <v/>
      </c>
      <c r="P50" s="28">
        <f>O50+MIN((Q49)+N50-O50,MAX(0,$E50-((H50-G50)+(L50-K50))))</f>
        <v/>
      </c>
      <c r="Q50" s="28">
        <f>ROUND(MAX(0,(Q49)+N50-P50),2)</f>
        <v/>
      </c>
      <c r="R50" s="28">
        <f>ROUND((U49)*(IF('Your Debts'!$G$8=0,0,INDEX('Your Debts'!$C$5:$C$12,'Your Debts'!$G$8)/12)),2)</f>
        <v/>
      </c>
      <c r="S50" s="28">
        <f>MIN((U49)+R50,IF('Your Debts'!$G$8=0,0,INDEX('Your Debts'!$D$5:$D$12,'Your Debts'!$G$8)))</f>
        <v/>
      </c>
      <c r="T50" s="28">
        <f>S50+MIN((U49)+R50-S50,MAX(0,$E50-((H50-G50)+(L50-K50)+(P50-O50))))</f>
        <v/>
      </c>
      <c r="U50" s="28">
        <f>ROUND(MAX(0,(U49)+R50-T50),2)</f>
        <v/>
      </c>
      <c r="V50" s="28">
        <f>ROUND((Y49)*(IF('Your Debts'!$G$9=0,0,INDEX('Your Debts'!$C$5:$C$12,'Your Debts'!$G$9)/12)),2)</f>
        <v/>
      </c>
      <c r="W50" s="28">
        <f>MIN((Y49)+V50,IF('Your Debts'!$G$9=0,0,INDEX('Your Debts'!$D$5:$D$12,'Your Debts'!$G$9)))</f>
        <v/>
      </c>
      <c r="X50" s="28">
        <f>W50+MIN((Y49)+V50-W50,MAX(0,$E50-((H50-G50)+(L50-K50)+(P50-O50)+(T50-S50))))</f>
        <v/>
      </c>
      <c r="Y50" s="28">
        <f>ROUND(MAX(0,(Y49)+V50-X50),2)</f>
        <v/>
      </c>
      <c r="Z50" s="28">
        <f>ROUND((AC49)*(IF('Your Debts'!$G$10=0,0,INDEX('Your Debts'!$C$5:$C$12,'Your Debts'!$G$10)/12)),2)</f>
        <v/>
      </c>
      <c r="AA50" s="28">
        <f>MIN((AC49)+Z50,IF('Your Debts'!$G$10=0,0,INDEX('Your Debts'!$D$5:$D$12,'Your Debts'!$G$10)))</f>
        <v/>
      </c>
      <c r="AB50" s="28">
        <f>AA50+MIN((AC49)+Z50-AA50,MAX(0,$E50-((H50-G50)+(L50-K50)+(P50-O50)+(T50-S50)+(X50-W50))))</f>
        <v/>
      </c>
      <c r="AC50" s="28">
        <f>ROUND(MAX(0,(AC49)+Z50-AB50),2)</f>
        <v/>
      </c>
      <c r="AD50" s="28">
        <f>ROUND((AG49)*(IF('Your Debts'!$G$11=0,0,INDEX('Your Debts'!$C$5:$C$12,'Your Debts'!$G$11)/12)),2)</f>
        <v/>
      </c>
      <c r="AE50" s="28">
        <f>MIN((AG49)+AD50,IF('Your Debts'!$G$11=0,0,INDEX('Your Debts'!$D$5:$D$12,'Your Debts'!$G$11)))</f>
        <v/>
      </c>
      <c r="AF50" s="28">
        <f>AE50+MIN((AG49)+AD50-AE50,MAX(0,$E50-((H50-G50)+(L50-K50)+(P50-O50)+(T50-S50)+(X50-W50)+(AB50-AA50))))</f>
        <v/>
      </c>
      <c r="AG50" s="28">
        <f>ROUND(MAX(0,(AG49)+AD50-AF50),2)</f>
        <v/>
      </c>
      <c r="AH50" s="28">
        <f>ROUND((AK49)*(IF('Your Debts'!$G$12=0,0,INDEX('Your Debts'!$C$5:$C$12,'Your Debts'!$G$12)/12)),2)</f>
        <v/>
      </c>
      <c r="AI50" s="28">
        <f>MIN((AK49)+AH50,IF('Your Debts'!$G$12=0,0,INDEX('Your Debts'!$D$5:$D$12,'Your Debts'!$G$12)))</f>
        <v/>
      </c>
      <c r="AJ50" s="28">
        <f>AI50+MIN((AK49)+AH50-AI50,MAX(0,$E50-((H50-G50)+(L50-K50)+(P50-O50)+(T50-S50)+(X50-W50)+(AB50-AA50)+(AF50-AE50))))</f>
        <v/>
      </c>
      <c r="AK50" s="28">
        <f>ROUND(MAX(0,(AK49)+AH50-AJ50),2)</f>
        <v/>
      </c>
      <c r="AL50" s="18">
        <f>I50+M50+Q50+U50+Y50+AC50+AG50+AK50</f>
        <v/>
      </c>
      <c r="AM50" s="27">
        <f>AM49+F50+J50+N50+R50+V50+Z50+AD50+AH50</f>
        <v/>
      </c>
    </row>
    <row r="51">
      <c r="A51" s="25" t="n">
        <v>46</v>
      </c>
      <c r="B51" s="26">
        <f>EDATE('Your Debts'!$B$19,45)</f>
        <v/>
      </c>
      <c r="C51" s="27">
        <f>'Your Debts'!$B$18</f>
        <v/>
      </c>
      <c r="D51" s="27">
        <f>G51+K51+O51+S51+W51+AA51+AE51+AI51</f>
        <v/>
      </c>
      <c r="E51" s="27">
        <f>MAX(0,C51-D51)</f>
        <v/>
      </c>
      <c r="F51" s="28">
        <f>ROUND((I50)*(IF('Your Debts'!$G$5=0,0,INDEX('Your Debts'!$C$5:$C$12,'Your Debts'!$G$5)/12)),2)</f>
        <v/>
      </c>
      <c r="G51" s="28">
        <f>MIN((I50)+F51,IF('Your Debts'!$G$5=0,0,INDEX('Your Debts'!$D$5:$D$12,'Your Debts'!$G$5)))</f>
        <v/>
      </c>
      <c r="H51" s="28">
        <f>G51+MIN((I50)+F51-G51,MAX(0,$E51-(0)))</f>
        <v/>
      </c>
      <c r="I51" s="28">
        <f>ROUND(MAX(0,(I50)+F51-H51),2)</f>
        <v/>
      </c>
      <c r="J51" s="28">
        <f>ROUND((M50)*(IF('Your Debts'!$G$6=0,0,INDEX('Your Debts'!$C$5:$C$12,'Your Debts'!$G$6)/12)),2)</f>
        <v/>
      </c>
      <c r="K51" s="28">
        <f>MIN((M50)+J51,IF('Your Debts'!$G$6=0,0,INDEX('Your Debts'!$D$5:$D$12,'Your Debts'!$G$6)))</f>
        <v/>
      </c>
      <c r="L51" s="28">
        <f>K51+MIN((M50)+J51-K51,MAX(0,$E51-((H51-G51))))</f>
        <v/>
      </c>
      <c r="M51" s="28">
        <f>ROUND(MAX(0,(M50)+J51-L51),2)</f>
        <v/>
      </c>
      <c r="N51" s="28">
        <f>ROUND((Q50)*(IF('Your Debts'!$G$7=0,0,INDEX('Your Debts'!$C$5:$C$12,'Your Debts'!$G$7)/12)),2)</f>
        <v/>
      </c>
      <c r="O51" s="28">
        <f>MIN((Q50)+N51,IF('Your Debts'!$G$7=0,0,INDEX('Your Debts'!$D$5:$D$12,'Your Debts'!$G$7)))</f>
        <v/>
      </c>
      <c r="P51" s="28">
        <f>O51+MIN((Q50)+N51-O51,MAX(0,$E51-((H51-G51)+(L51-K51))))</f>
        <v/>
      </c>
      <c r="Q51" s="28">
        <f>ROUND(MAX(0,(Q50)+N51-P51),2)</f>
        <v/>
      </c>
      <c r="R51" s="28">
        <f>ROUND((U50)*(IF('Your Debts'!$G$8=0,0,INDEX('Your Debts'!$C$5:$C$12,'Your Debts'!$G$8)/12)),2)</f>
        <v/>
      </c>
      <c r="S51" s="28">
        <f>MIN((U50)+R51,IF('Your Debts'!$G$8=0,0,INDEX('Your Debts'!$D$5:$D$12,'Your Debts'!$G$8)))</f>
        <v/>
      </c>
      <c r="T51" s="28">
        <f>S51+MIN((U50)+R51-S51,MAX(0,$E51-((H51-G51)+(L51-K51)+(P51-O51))))</f>
        <v/>
      </c>
      <c r="U51" s="28">
        <f>ROUND(MAX(0,(U50)+R51-T51),2)</f>
        <v/>
      </c>
      <c r="V51" s="28">
        <f>ROUND((Y50)*(IF('Your Debts'!$G$9=0,0,INDEX('Your Debts'!$C$5:$C$12,'Your Debts'!$G$9)/12)),2)</f>
        <v/>
      </c>
      <c r="W51" s="28">
        <f>MIN((Y50)+V51,IF('Your Debts'!$G$9=0,0,INDEX('Your Debts'!$D$5:$D$12,'Your Debts'!$G$9)))</f>
        <v/>
      </c>
      <c r="X51" s="28">
        <f>W51+MIN((Y50)+V51-W51,MAX(0,$E51-((H51-G51)+(L51-K51)+(P51-O51)+(T51-S51))))</f>
        <v/>
      </c>
      <c r="Y51" s="28">
        <f>ROUND(MAX(0,(Y50)+V51-X51),2)</f>
        <v/>
      </c>
      <c r="Z51" s="28">
        <f>ROUND((AC50)*(IF('Your Debts'!$G$10=0,0,INDEX('Your Debts'!$C$5:$C$12,'Your Debts'!$G$10)/12)),2)</f>
        <v/>
      </c>
      <c r="AA51" s="28">
        <f>MIN((AC50)+Z51,IF('Your Debts'!$G$10=0,0,INDEX('Your Debts'!$D$5:$D$12,'Your Debts'!$G$10)))</f>
        <v/>
      </c>
      <c r="AB51" s="28">
        <f>AA51+MIN((AC50)+Z51-AA51,MAX(0,$E51-((H51-G51)+(L51-K51)+(P51-O51)+(T51-S51)+(X51-W51))))</f>
        <v/>
      </c>
      <c r="AC51" s="28">
        <f>ROUND(MAX(0,(AC50)+Z51-AB51),2)</f>
        <v/>
      </c>
      <c r="AD51" s="28">
        <f>ROUND((AG50)*(IF('Your Debts'!$G$11=0,0,INDEX('Your Debts'!$C$5:$C$12,'Your Debts'!$G$11)/12)),2)</f>
        <v/>
      </c>
      <c r="AE51" s="28">
        <f>MIN((AG50)+AD51,IF('Your Debts'!$G$11=0,0,INDEX('Your Debts'!$D$5:$D$12,'Your Debts'!$G$11)))</f>
        <v/>
      </c>
      <c r="AF51" s="28">
        <f>AE51+MIN((AG50)+AD51-AE51,MAX(0,$E51-((H51-G51)+(L51-K51)+(P51-O51)+(T51-S51)+(X51-W51)+(AB51-AA51))))</f>
        <v/>
      </c>
      <c r="AG51" s="28">
        <f>ROUND(MAX(0,(AG50)+AD51-AF51),2)</f>
        <v/>
      </c>
      <c r="AH51" s="28">
        <f>ROUND((AK50)*(IF('Your Debts'!$G$12=0,0,INDEX('Your Debts'!$C$5:$C$12,'Your Debts'!$G$12)/12)),2)</f>
        <v/>
      </c>
      <c r="AI51" s="28">
        <f>MIN((AK50)+AH51,IF('Your Debts'!$G$12=0,0,INDEX('Your Debts'!$D$5:$D$12,'Your Debts'!$G$12)))</f>
        <v/>
      </c>
      <c r="AJ51" s="28">
        <f>AI51+MIN((AK50)+AH51-AI51,MAX(0,$E51-((H51-G51)+(L51-K51)+(P51-O51)+(T51-S51)+(X51-W51)+(AB51-AA51)+(AF51-AE51))))</f>
        <v/>
      </c>
      <c r="AK51" s="28">
        <f>ROUND(MAX(0,(AK50)+AH51-AJ51),2)</f>
        <v/>
      </c>
      <c r="AL51" s="18">
        <f>I51+M51+Q51+U51+Y51+AC51+AG51+AK51</f>
        <v/>
      </c>
      <c r="AM51" s="27">
        <f>AM50+F51+J51+N51+R51+V51+Z51+AD51+AH51</f>
        <v/>
      </c>
    </row>
    <row r="52">
      <c r="A52" s="25" t="n">
        <v>47</v>
      </c>
      <c r="B52" s="26">
        <f>EDATE('Your Debts'!$B$19,46)</f>
        <v/>
      </c>
      <c r="C52" s="27">
        <f>'Your Debts'!$B$18</f>
        <v/>
      </c>
      <c r="D52" s="27">
        <f>G52+K52+O52+S52+W52+AA52+AE52+AI52</f>
        <v/>
      </c>
      <c r="E52" s="27">
        <f>MAX(0,C52-D52)</f>
        <v/>
      </c>
      <c r="F52" s="28">
        <f>ROUND((I51)*(IF('Your Debts'!$G$5=0,0,INDEX('Your Debts'!$C$5:$C$12,'Your Debts'!$G$5)/12)),2)</f>
        <v/>
      </c>
      <c r="G52" s="28">
        <f>MIN((I51)+F52,IF('Your Debts'!$G$5=0,0,INDEX('Your Debts'!$D$5:$D$12,'Your Debts'!$G$5)))</f>
        <v/>
      </c>
      <c r="H52" s="28">
        <f>G52+MIN((I51)+F52-G52,MAX(0,$E52-(0)))</f>
        <v/>
      </c>
      <c r="I52" s="28">
        <f>ROUND(MAX(0,(I51)+F52-H52),2)</f>
        <v/>
      </c>
      <c r="J52" s="28">
        <f>ROUND((M51)*(IF('Your Debts'!$G$6=0,0,INDEX('Your Debts'!$C$5:$C$12,'Your Debts'!$G$6)/12)),2)</f>
        <v/>
      </c>
      <c r="K52" s="28">
        <f>MIN((M51)+J52,IF('Your Debts'!$G$6=0,0,INDEX('Your Debts'!$D$5:$D$12,'Your Debts'!$G$6)))</f>
        <v/>
      </c>
      <c r="L52" s="28">
        <f>K52+MIN((M51)+J52-K52,MAX(0,$E52-((H52-G52))))</f>
        <v/>
      </c>
      <c r="M52" s="28">
        <f>ROUND(MAX(0,(M51)+J52-L52),2)</f>
        <v/>
      </c>
      <c r="N52" s="28">
        <f>ROUND((Q51)*(IF('Your Debts'!$G$7=0,0,INDEX('Your Debts'!$C$5:$C$12,'Your Debts'!$G$7)/12)),2)</f>
        <v/>
      </c>
      <c r="O52" s="28">
        <f>MIN((Q51)+N52,IF('Your Debts'!$G$7=0,0,INDEX('Your Debts'!$D$5:$D$12,'Your Debts'!$G$7)))</f>
        <v/>
      </c>
      <c r="P52" s="28">
        <f>O52+MIN((Q51)+N52-O52,MAX(0,$E52-((H52-G52)+(L52-K52))))</f>
        <v/>
      </c>
      <c r="Q52" s="28">
        <f>ROUND(MAX(0,(Q51)+N52-P52),2)</f>
        <v/>
      </c>
      <c r="R52" s="28">
        <f>ROUND((U51)*(IF('Your Debts'!$G$8=0,0,INDEX('Your Debts'!$C$5:$C$12,'Your Debts'!$G$8)/12)),2)</f>
        <v/>
      </c>
      <c r="S52" s="28">
        <f>MIN((U51)+R52,IF('Your Debts'!$G$8=0,0,INDEX('Your Debts'!$D$5:$D$12,'Your Debts'!$G$8)))</f>
        <v/>
      </c>
      <c r="T52" s="28">
        <f>S52+MIN((U51)+R52-S52,MAX(0,$E52-((H52-G52)+(L52-K52)+(P52-O52))))</f>
        <v/>
      </c>
      <c r="U52" s="28">
        <f>ROUND(MAX(0,(U51)+R52-T52),2)</f>
        <v/>
      </c>
      <c r="V52" s="28">
        <f>ROUND((Y51)*(IF('Your Debts'!$G$9=0,0,INDEX('Your Debts'!$C$5:$C$12,'Your Debts'!$G$9)/12)),2)</f>
        <v/>
      </c>
      <c r="W52" s="28">
        <f>MIN((Y51)+V52,IF('Your Debts'!$G$9=0,0,INDEX('Your Debts'!$D$5:$D$12,'Your Debts'!$G$9)))</f>
        <v/>
      </c>
      <c r="X52" s="28">
        <f>W52+MIN((Y51)+V52-W52,MAX(0,$E52-((H52-G52)+(L52-K52)+(P52-O52)+(T52-S52))))</f>
        <v/>
      </c>
      <c r="Y52" s="28">
        <f>ROUND(MAX(0,(Y51)+V52-X52),2)</f>
        <v/>
      </c>
      <c r="Z52" s="28">
        <f>ROUND((AC51)*(IF('Your Debts'!$G$10=0,0,INDEX('Your Debts'!$C$5:$C$12,'Your Debts'!$G$10)/12)),2)</f>
        <v/>
      </c>
      <c r="AA52" s="28">
        <f>MIN((AC51)+Z52,IF('Your Debts'!$G$10=0,0,INDEX('Your Debts'!$D$5:$D$12,'Your Debts'!$G$10)))</f>
        <v/>
      </c>
      <c r="AB52" s="28">
        <f>AA52+MIN((AC51)+Z52-AA52,MAX(0,$E52-((H52-G52)+(L52-K52)+(P52-O52)+(T52-S52)+(X52-W52))))</f>
        <v/>
      </c>
      <c r="AC52" s="28">
        <f>ROUND(MAX(0,(AC51)+Z52-AB52),2)</f>
        <v/>
      </c>
      <c r="AD52" s="28">
        <f>ROUND((AG51)*(IF('Your Debts'!$G$11=0,0,INDEX('Your Debts'!$C$5:$C$12,'Your Debts'!$G$11)/12)),2)</f>
        <v/>
      </c>
      <c r="AE52" s="28">
        <f>MIN((AG51)+AD52,IF('Your Debts'!$G$11=0,0,INDEX('Your Debts'!$D$5:$D$12,'Your Debts'!$G$11)))</f>
        <v/>
      </c>
      <c r="AF52" s="28">
        <f>AE52+MIN((AG51)+AD52-AE52,MAX(0,$E52-((H52-G52)+(L52-K52)+(P52-O52)+(T52-S52)+(X52-W52)+(AB52-AA52))))</f>
        <v/>
      </c>
      <c r="AG52" s="28">
        <f>ROUND(MAX(0,(AG51)+AD52-AF52),2)</f>
        <v/>
      </c>
      <c r="AH52" s="28">
        <f>ROUND((AK51)*(IF('Your Debts'!$G$12=0,0,INDEX('Your Debts'!$C$5:$C$12,'Your Debts'!$G$12)/12)),2)</f>
        <v/>
      </c>
      <c r="AI52" s="28">
        <f>MIN((AK51)+AH52,IF('Your Debts'!$G$12=0,0,INDEX('Your Debts'!$D$5:$D$12,'Your Debts'!$G$12)))</f>
        <v/>
      </c>
      <c r="AJ52" s="28">
        <f>AI52+MIN((AK51)+AH52-AI52,MAX(0,$E52-((H52-G52)+(L52-K52)+(P52-O52)+(T52-S52)+(X52-W52)+(AB52-AA52)+(AF52-AE52))))</f>
        <v/>
      </c>
      <c r="AK52" s="28">
        <f>ROUND(MAX(0,(AK51)+AH52-AJ52),2)</f>
        <v/>
      </c>
      <c r="AL52" s="18">
        <f>I52+M52+Q52+U52+Y52+AC52+AG52+AK52</f>
        <v/>
      </c>
      <c r="AM52" s="27">
        <f>AM51+F52+J52+N52+R52+V52+Z52+AD52+AH52</f>
        <v/>
      </c>
    </row>
    <row r="53">
      <c r="A53" s="25" t="n">
        <v>48</v>
      </c>
      <c r="B53" s="26">
        <f>EDATE('Your Debts'!$B$19,47)</f>
        <v/>
      </c>
      <c r="C53" s="27">
        <f>'Your Debts'!$B$18</f>
        <v/>
      </c>
      <c r="D53" s="27">
        <f>G53+K53+O53+S53+W53+AA53+AE53+AI53</f>
        <v/>
      </c>
      <c r="E53" s="27">
        <f>MAX(0,C53-D53)</f>
        <v/>
      </c>
      <c r="F53" s="28">
        <f>ROUND((I52)*(IF('Your Debts'!$G$5=0,0,INDEX('Your Debts'!$C$5:$C$12,'Your Debts'!$G$5)/12)),2)</f>
        <v/>
      </c>
      <c r="G53" s="28">
        <f>MIN((I52)+F53,IF('Your Debts'!$G$5=0,0,INDEX('Your Debts'!$D$5:$D$12,'Your Debts'!$G$5)))</f>
        <v/>
      </c>
      <c r="H53" s="28">
        <f>G53+MIN((I52)+F53-G53,MAX(0,$E53-(0)))</f>
        <v/>
      </c>
      <c r="I53" s="28">
        <f>ROUND(MAX(0,(I52)+F53-H53),2)</f>
        <v/>
      </c>
      <c r="J53" s="28">
        <f>ROUND((M52)*(IF('Your Debts'!$G$6=0,0,INDEX('Your Debts'!$C$5:$C$12,'Your Debts'!$G$6)/12)),2)</f>
        <v/>
      </c>
      <c r="K53" s="28">
        <f>MIN((M52)+J53,IF('Your Debts'!$G$6=0,0,INDEX('Your Debts'!$D$5:$D$12,'Your Debts'!$G$6)))</f>
        <v/>
      </c>
      <c r="L53" s="28">
        <f>K53+MIN((M52)+J53-K53,MAX(0,$E53-((H53-G53))))</f>
        <v/>
      </c>
      <c r="M53" s="28">
        <f>ROUND(MAX(0,(M52)+J53-L53),2)</f>
        <v/>
      </c>
      <c r="N53" s="28">
        <f>ROUND((Q52)*(IF('Your Debts'!$G$7=0,0,INDEX('Your Debts'!$C$5:$C$12,'Your Debts'!$G$7)/12)),2)</f>
        <v/>
      </c>
      <c r="O53" s="28">
        <f>MIN((Q52)+N53,IF('Your Debts'!$G$7=0,0,INDEX('Your Debts'!$D$5:$D$12,'Your Debts'!$G$7)))</f>
        <v/>
      </c>
      <c r="P53" s="28">
        <f>O53+MIN((Q52)+N53-O53,MAX(0,$E53-((H53-G53)+(L53-K53))))</f>
        <v/>
      </c>
      <c r="Q53" s="28">
        <f>ROUND(MAX(0,(Q52)+N53-P53),2)</f>
        <v/>
      </c>
      <c r="R53" s="28">
        <f>ROUND((U52)*(IF('Your Debts'!$G$8=0,0,INDEX('Your Debts'!$C$5:$C$12,'Your Debts'!$G$8)/12)),2)</f>
        <v/>
      </c>
      <c r="S53" s="28">
        <f>MIN((U52)+R53,IF('Your Debts'!$G$8=0,0,INDEX('Your Debts'!$D$5:$D$12,'Your Debts'!$G$8)))</f>
        <v/>
      </c>
      <c r="T53" s="28">
        <f>S53+MIN((U52)+R53-S53,MAX(0,$E53-((H53-G53)+(L53-K53)+(P53-O53))))</f>
        <v/>
      </c>
      <c r="U53" s="28">
        <f>ROUND(MAX(0,(U52)+R53-T53),2)</f>
        <v/>
      </c>
      <c r="V53" s="28">
        <f>ROUND((Y52)*(IF('Your Debts'!$G$9=0,0,INDEX('Your Debts'!$C$5:$C$12,'Your Debts'!$G$9)/12)),2)</f>
        <v/>
      </c>
      <c r="W53" s="28">
        <f>MIN((Y52)+V53,IF('Your Debts'!$G$9=0,0,INDEX('Your Debts'!$D$5:$D$12,'Your Debts'!$G$9)))</f>
        <v/>
      </c>
      <c r="X53" s="28">
        <f>W53+MIN((Y52)+V53-W53,MAX(0,$E53-((H53-G53)+(L53-K53)+(P53-O53)+(T53-S53))))</f>
        <v/>
      </c>
      <c r="Y53" s="28">
        <f>ROUND(MAX(0,(Y52)+V53-X53),2)</f>
        <v/>
      </c>
      <c r="Z53" s="28">
        <f>ROUND((AC52)*(IF('Your Debts'!$G$10=0,0,INDEX('Your Debts'!$C$5:$C$12,'Your Debts'!$G$10)/12)),2)</f>
        <v/>
      </c>
      <c r="AA53" s="28">
        <f>MIN((AC52)+Z53,IF('Your Debts'!$G$10=0,0,INDEX('Your Debts'!$D$5:$D$12,'Your Debts'!$G$10)))</f>
        <v/>
      </c>
      <c r="AB53" s="28">
        <f>AA53+MIN((AC52)+Z53-AA53,MAX(0,$E53-((H53-G53)+(L53-K53)+(P53-O53)+(T53-S53)+(X53-W53))))</f>
        <v/>
      </c>
      <c r="AC53" s="28">
        <f>ROUND(MAX(0,(AC52)+Z53-AB53),2)</f>
        <v/>
      </c>
      <c r="AD53" s="28">
        <f>ROUND((AG52)*(IF('Your Debts'!$G$11=0,0,INDEX('Your Debts'!$C$5:$C$12,'Your Debts'!$G$11)/12)),2)</f>
        <v/>
      </c>
      <c r="AE53" s="28">
        <f>MIN((AG52)+AD53,IF('Your Debts'!$G$11=0,0,INDEX('Your Debts'!$D$5:$D$12,'Your Debts'!$G$11)))</f>
        <v/>
      </c>
      <c r="AF53" s="28">
        <f>AE53+MIN((AG52)+AD53-AE53,MAX(0,$E53-((H53-G53)+(L53-K53)+(P53-O53)+(T53-S53)+(X53-W53)+(AB53-AA53))))</f>
        <v/>
      </c>
      <c r="AG53" s="28">
        <f>ROUND(MAX(0,(AG52)+AD53-AF53),2)</f>
        <v/>
      </c>
      <c r="AH53" s="28">
        <f>ROUND((AK52)*(IF('Your Debts'!$G$12=0,0,INDEX('Your Debts'!$C$5:$C$12,'Your Debts'!$G$12)/12)),2)</f>
        <v/>
      </c>
      <c r="AI53" s="28">
        <f>MIN((AK52)+AH53,IF('Your Debts'!$G$12=0,0,INDEX('Your Debts'!$D$5:$D$12,'Your Debts'!$G$12)))</f>
        <v/>
      </c>
      <c r="AJ53" s="28">
        <f>AI53+MIN((AK52)+AH53-AI53,MAX(0,$E53-((H53-G53)+(L53-K53)+(P53-O53)+(T53-S53)+(X53-W53)+(AB53-AA53)+(AF53-AE53))))</f>
        <v/>
      </c>
      <c r="AK53" s="28">
        <f>ROUND(MAX(0,(AK52)+AH53-AJ53),2)</f>
        <v/>
      </c>
      <c r="AL53" s="18">
        <f>I53+M53+Q53+U53+Y53+AC53+AG53+AK53</f>
        <v/>
      </c>
      <c r="AM53" s="27">
        <f>AM52+F53+J53+N53+R53+V53+Z53+AD53+AH53</f>
        <v/>
      </c>
    </row>
    <row r="54">
      <c r="A54" s="25" t="n">
        <v>49</v>
      </c>
      <c r="B54" s="26">
        <f>EDATE('Your Debts'!$B$19,48)</f>
        <v/>
      </c>
      <c r="C54" s="27">
        <f>'Your Debts'!$B$18</f>
        <v/>
      </c>
      <c r="D54" s="27">
        <f>G54+K54+O54+S54+W54+AA54+AE54+AI54</f>
        <v/>
      </c>
      <c r="E54" s="27">
        <f>MAX(0,C54-D54)</f>
        <v/>
      </c>
      <c r="F54" s="28">
        <f>ROUND((I53)*(IF('Your Debts'!$G$5=0,0,INDEX('Your Debts'!$C$5:$C$12,'Your Debts'!$G$5)/12)),2)</f>
        <v/>
      </c>
      <c r="G54" s="28">
        <f>MIN((I53)+F54,IF('Your Debts'!$G$5=0,0,INDEX('Your Debts'!$D$5:$D$12,'Your Debts'!$G$5)))</f>
        <v/>
      </c>
      <c r="H54" s="28">
        <f>G54+MIN((I53)+F54-G54,MAX(0,$E54-(0)))</f>
        <v/>
      </c>
      <c r="I54" s="28">
        <f>ROUND(MAX(0,(I53)+F54-H54),2)</f>
        <v/>
      </c>
      <c r="J54" s="28">
        <f>ROUND((M53)*(IF('Your Debts'!$G$6=0,0,INDEX('Your Debts'!$C$5:$C$12,'Your Debts'!$G$6)/12)),2)</f>
        <v/>
      </c>
      <c r="K54" s="28">
        <f>MIN((M53)+J54,IF('Your Debts'!$G$6=0,0,INDEX('Your Debts'!$D$5:$D$12,'Your Debts'!$G$6)))</f>
        <v/>
      </c>
      <c r="L54" s="28">
        <f>K54+MIN((M53)+J54-K54,MAX(0,$E54-((H54-G54))))</f>
        <v/>
      </c>
      <c r="M54" s="28">
        <f>ROUND(MAX(0,(M53)+J54-L54),2)</f>
        <v/>
      </c>
      <c r="N54" s="28">
        <f>ROUND((Q53)*(IF('Your Debts'!$G$7=0,0,INDEX('Your Debts'!$C$5:$C$12,'Your Debts'!$G$7)/12)),2)</f>
        <v/>
      </c>
      <c r="O54" s="28">
        <f>MIN((Q53)+N54,IF('Your Debts'!$G$7=0,0,INDEX('Your Debts'!$D$5:$D$12,'Your Debts'!$G$7)))</f>
        <v/>
      </c>
      <c r="P54" s="28">
        <f>O54+MIN((Q53)+N54-O54,MAX(0,$E54-((H54-G54)+(L54-K54))))</f>
        <v/>
      </c>
      <c r="Q54" s="28">
        <f>ROUND(MAX(0,(Q53)+N54-P54),2)</f>
        <v/>
      </c>
      <c r="R54" s="28">
        <f>ROUND((U53)*(IF('Your Debts'!$G$8=0,0,INDEX('Your Debts'!$C$5:$C$12,'Your Debts'!$G$8)/12)),2)</f>
        <v/>
      </c>
      <c r="S54" s="28">
        <f>MIN((U53)+R54,IF('Your Debts'!$G$8=0,0,INDEX('Your Debts'!$D$5:$D$12,'Your Debts'!$G$8)))</f>
        <v/>
      </c>
      <c r="T54" s="28">
        <f>S54+MIN((U53)+R54-S54,MAX(0,$E54-((H54-G54)+(L54-K54)+(P54-O54))))</f>
        <v/>
      </c>
      <c r="U54" s="28">
        <f>ROUND(MAX(0,(U53)+R54-T54),2)</f>
        <v/>
      </c>
      <c r="V54" s="28">
        <f>ROUND((Y53)*(IF('Your Debts'!$G$9=0,0,INDEX('Your Debts'!$C$5:$C$12,'Your Debts'!$G$9)/12)),2)</f>
        <v/>
      </c>
      <c r="W54" s="28">
        <f>MIN((Y53)+V54,IF('Your Debts'!$G$9=0,0,INDEX('Your Debts'!$D$5:$D$12,'Your Debts'!$G$9)))</f>
        <v/>
      </c>
      <c r="X54" s="28">
        <f>W54+MIN((Y53)+V54-W54,MAX(0,$E54-((H54-G54)+(L54-K54)+(P54-O54)+(T54-S54))))</f>
        <v/>
      </c>
      <c r="Y54" s="28">
        <f>ROUND(MAX(0,(Y53)+V54-X54),2)</f>
        <v/>
      </c>
      <c r="Z54" s="28">
        <f>ROUND((AC53)*(IF('Your Debts'!$G$10=0,0,INDEX('Your Debts'!$C$5:$C$12,'Your Debts'!$G$10)/12)),2)</f>
        <v/>
      </c>
      <c r="AA54" s="28">
        <f>MIN((AC53)+Z54,IF('Your Debts'!$G$10=0,0,INDEX('Your Debts'!$D$5:$D$12,'Your Debts'!$G$10)))</f>
        <v/>
      </c>
      <c r="AB54" s="28">
        <f>AA54+MIN((AC53)+Z54-AA54,MAX(0,$E54-((H54-G54)+(L54-K54)+(P54-O54)+(T54-S54)+(X54-W54))))</f>
        <v/>
      </c>
      <c r="AC54" s="28">
        <f>ROUND(MAX(0,(AC53)+Z54-AB54),2)</f>
        <v/>
      </c>
      <c r="AD54" s="28">
        <f>ROUND((AG53)*(IF('Your Debts'!$G$11=0,0,INDEX('Your Debts'!$C$5:$C$12,'Your Debts'!$G$11)/12)),2)</f>
        <v/>
      </c>
      <c r="AE54" s="28">
        <f>MIN((AG53)+AD54,IF('Your Debts'!$G$11=0,0,INDEX('Your Debts'!$D$5:$D$12,'Your Debts'!$G$11)))</f>
        <v/>
      </c>
      <c r="AF54" s="28">
        <f>AE54+MIN((AG53)+AD54-AE54,MAX(0,$E54-((H54-G54)+(L54-K54)+(P54-O54)+(T54-S54)+(X54-W54)+(AB54-AA54))))</f>
        <v/>
      </c>
      <c r="AG54" s="28">
        <f>ROUND(MAX(0,(AG53)+AD54-AF54),2)</f>
        <v/>
      </c>
      <c r="AH54" s="28">
        <f>ROUND((AK53)*(IF('Your Debts'!$G$12=0,0,INDEX('Your Debts'!$C$5:$C$12,'Your Debts'!$G$12)/12)),2)</f>
        <v/>
      </c>
      <c r="AI54" s="28">
        <f>MIN((AK53)+AH54,IF('Your Debts'!$G$12=0,0,INDEX('Your Debts'!$D$5:$D$12,'Your Debts'!$G$12)))</f>
        <v/>
      </c>
      <c r="AJ54" s="28">
        <f>AI54+MIN((AK53)+AH54-AI54,MAX(0,$E54-((H54-G54)+(L54-K54)+(P54-O54)+(T54-S54)+(X54-W54)+(AB54-AA54)+(AF54-AE54))))</f>
        <v/>
      </c>
      <c r="AK54" s="28">
        <f>ROUND(MAX(0,(AK53)+AH54-AJ54),2)</f>
        <v/>
      </c>
      <c r="AL54" s="18">
        <f>I54+M54+Q54+U54+Y54+AC54+AG54+AK54</f>
        <v/>
      </c>
      <c r="AM54" s="27">
        <f>AM53+F54+J54+N54+R54+V54+Z54+AD54+AH54</f>
        <v/>
      </c>
    </row>
    <row r="55">
      <c r="A55" s="25" t="n">
        <v>50</v>
      </c>
      <c r="B55" s="26">
        <f>EDATE('Your Debts'!$B$19,49)</f>
        <v/>
      </c>
      <c r="C55" s="27">
        <f>'Your Debts'!$B$18</f>
        <v/>
      </c>
      <c r="D55" s="27">
        <f>G55+K55+O55+S55+W55+AA55+AE55+AI55</f>
        <v/>
      </c>
      <c r="E55" s="27">
        <f>MAX(0,C55-D55)</f>
        <v/>
      </c>
      <c r="F55" s="28">
        <f>ROUND((I54)*(IF('Your Debts'!$G$5=0,0,INDEX('Your Debts'!$C$5:$C$12,'Your Debts'!$G$5)/12)),2)</f>
        <v/>
      </c>
      <c r="G55" s="28">
        <f>MIN((I54)+F55,IF('Your Debts'!$G$5=0,0,INDEX('Your Debts'!$D$5:$D$12,'Your Debts'!$G$5)))</f>
        <v/>
      </c>
      <c r="H55" s="28">
        <f>G55+MIN((I54)+F55-G55,MAX(0,$E55-(0)))</f>
        <v/>
      </c>
      <c r="I55" s="28">
        <f>ROUND(MAX(0,(I54)+F55-H55),2)</f>
        <v/>
      </c>
      <c r="J55" s="28">
        <f>ROUND((M54)*(IF('Your Debts'!$G$6=0,0,INDEX('Your Debts'!$C$5:$C$12,'Your Debts'!$G$6)/12)),2)</f>
        <v/>
      </c>
      <c r="K55" s="28">
        <f>MIN((M54)+J55,IF('Your Debts'!$G$6=0,0,INDEX('Your Debts'!$D$5:$D$12,'Your Debts'!$G$6)))</f>
        <v/>
      </c>
      <c r="L55" s="28">
        <f>K55+MIN((M54)+J55-K55,MAX(0,$E55-((H55-G55))))</f>
        <v/>
      </c>
      <c r="M55" s="28">
        <f>ROUND(MAX(0,(M54)+J55-L55),2)</f>
        <v/>
      </c>
      <c r="N55" s="28">
        <f>ROUND((Q54)*(IF('Your Debts'!$G$7=0,0,INDEX('Your Debts'!$C$5:$C$12,'Your Debts'!$G$7)/12)),2)</f>
        <v/>
      </c>
      <c r="O55" s="28">
        <f>MIN((Q54)+N55,IF('Your Debts'!$G$7=0,0,INDEX('Your Debts'!$D$5:$D$12,'Your Debts'!$G$7)))</f>
        <v/>
      </c>
      <c r="P55" s="28">
        <f>O55+MIN((Q54)+N55-O55,MAX(0,$E55-((H55-G55)+(L55-K55))))</f>
        <v/>
      </c>
      <c r="Q55" s="28">
        <f>ROUND(MAX(0,(Q54)+N55-P55),2)</f>
        <v/>
      </c>
      <c r="R55" s="28">
        <f>ROUND((U54)*(IF('Your Debts'!$G$8=0,0,INDEX('Your Debts'!$C$5:$C$12,'Your Debts'!$G$8)/12)),2)</f>
        <v/>
      </c>
      <c r="S55" s="28">
        <f>MIN((U54)+R55,IF('Your Debts'!$G$8=0,0,INDEX('Your Debts'!$D$5:$D$12,'Your Debts'!$G$8)))</f>
        <v/>
      </c>
      <c r="T55" s="28">
        <f>S55+MIN((U54)+R55-S55,MAX(0,$E55-((H55-G55)+(L55-K55)+(P55-O55))))</f>
        <v/>
      </c>
      <c r="U55" s="28">
        <f>ROUND(MAX(0,(U54)+R55-T55),2)</f>
        <v/>
      </c>
      <c r="V55" s="28">
        <f>ROUND((Y54)*(IF('Your Debts'!$G$9=0,0,INDEX('Your Debts'!$C$5:$C$12,'Your Debts'!$G$9)/12)),2)</f>
        <v/>
      </c>
      <c r="W55" s="28">
        <f>MIN((Y54)+V55,IF('Your Debts'!$G$9=0,0,INDEX('Your Debts'!$D$5:$D$12,'Your Debts'!$G$9)))</f>
        <v/>
      </c>
      <c r="X55" s="28">
        <f>W55+MIN((Y54)+V55-W55,MAX(0,$E55-((H55-G55)+(L55-K55)+(P55-O55)+(T55-S55))))</f>
        <v/>
      </c>
      <c r="Y55" s="28">
        <f>ROUND(MAX(0,(Y54)+V55-X55),2)</f>
        <v/>
      </c>
      <c r="Z55" s="28">
        <f>ROUND((AC54)*(IF('Your Debts'!$G$10=0,0,INDEX('Your Debts'!$C$5:$C$12,'Your Debts'!$G$10)/12)),2)</f>
        <v/>
      </c>
      <c r="AA55" s="28">
        <f>MIN((AC54)+Z55,IF('Your Debts'!$G$10=0,0,INDEX('Your Debts'!$D$5:$D$12,'Your Debts'!$G$10)))</f>
        <v/>
      </c>
      <c r="AB55" s="28">
        <f>AA55+MIN((AC54)+Z55-AA55,MAX(0,$E55-((H55-G55)+(L55-K55)+(P55-O55)+(T55-S55)+(X55-W55))))</f>
        <v/>
      </c>
      <c r="AC55" s="28">
        <f>ROUND(MAX(0,(AC54)+Z55-AB55),2)</f>
        <v/>
      </c>
      <c r="AD55" s="28">
        <f>ROUND((AG54)*(IF('Your Debts'!$G$11=0,0,INDEX('Your Debts'!$C$5:$C$12,'Your Debts'!$G$11)/12)),2)</f>
        <v/>
      </c>
      <c r="AE55" s="28">
        <f>MIN((AG54)+AD55,IF('Your Debts'!$G$11=0,0,INDEX('Your Debts'!$D$5:$D$12,'Your Debts'!$G$11)))</f>
        <v/>
      </c>
      <c r="AF55" s="28">
        <f>AE55+MIN((AG54)+AD55-AE55,MAX(0,$E55-((H55-G55)+(L55-K55)+(P55-O55)+(T55-S55)+(X55-W55)+(AB55-AA55))))</f>
        <v/>
      </c>
      <c r="AG55" s="28">
        <f>ROUND(MAX(0,(AG54)+AD55-AF55),2)</f>
        <v/>
      </c>
      <c r="AH55" s="28">
        <f>ROUND((AK54)*(IF('Your Debts'!$G$12=0,0,INDEX('Your Debts'!$C$5:$C$12,'Your Debts'!$G$12)/12)),2)</f>
        <v/>
      </c>
      <c r="AI55" s="28">
        <f>MIN((AK54)+AH55,IF('Your Debts'!$G$12=0,0,INDEX('Your Debts'!$D$5:$D$12,'Your Debts'!$G$12)))</f>
        <v/>
      </c>
      <c r="AJ55" s="28">
        <f>AI55+MIN((AK54)+AH55-AI55,MAX(0,$E55-((H55-G55)+(L55-K55)+(P55-O55)+(T55-S55)+(X55-W55)+(AB55-AA55)+(AF55-AE55))))</f>
        <v/>
      </c>
      <c r="AK55" s="28">
        <f>ROUND(MAX(0,(AK54)+AH55-AJ55),2)</f>
        <v/>
      </c>
      <c r="AL55" s="18">
        <f>I55+M55+Q55+U55+Y55+AC55+AG55+AK55</f>
        <v/>
      </c>
      <c r="AM55" s="27">
        <f>AM54+F55+J55+N55+R55+V55+Z55+AD55+AH55</f>
        <v/>
      </c>
    </row>
    <row r="56">
      <c r="A56" s="25" t="n">
        <v>51</v>
      </c>
      <c r="B56" s="26">
        <f>EDATE('Your Debts'!$B$19,50)</f>
        <v/>
      </c>
      <c r="C56" s="27">
        <f>'Your Debts'!$B$18</f>
        <v/>
      </c>
      <c r="D56" s="27">
        <f>G56+K56+O56+S56+W56+AA56+AE56+AI56</f>
        <v/>
      </c>
      <c r="E56" s="27">
        <f>MAX(0,C56-D56)</f>
        <v/>
      </c>
      <c r="F56" s="28">
        <f>ROUND((I55)*(IF('Your Debts'!$G$5=0,0,INDEX('Your Debts'!$C$5:$C$12,'Your Debts'!$G$5)/12)),2)</f>
        <v/>
      </c>
      <c r="G56" s="28">
        <f>MIN((I55)+F56,IF('Your Debts'!$G$5=0,0,INDEX('Your Debts'!$D$5:$D$12,'Your Debts'!$G$5)))</f>
        <v/>
      </c>
      <c r="H56" s="28">
        <f>G56+MIN((I55)+F56-G56,MAX(0,$E56-(0)))</f>
        <v/>
      </c>
      <c r="I56" s="28">
        <f>ROUND(MAX(0,(I55)+F56-H56),2)</f>
        <v/>
      </c>
      <c r="J56" s="28">
        <f>ROUND((M55)*(IF('Your Debts'!$G$6=0,0,INDEX('Your Debts'!$C$5:$C$12,'Your Debts'!$G$6)/12)),2)</f>
        <v/>
      </c>
      <c r="K56" s="28">
        <f>MIN((M55)+J56,IF('Your Debts'!$G$6=0,0,INDEX('Your Debts'!$D$5:$D$12,'Your Debts'!$G$6)))</f>
        <v/>
      </c>
      <c r="L56" s="28">
        <f>K56+MIN((M55)+J56-K56,MAX(0,$E56-((H56-G56))))</f>
        <v/>
      </c>
      <c r="M56" s="28">
        <f>ROUND(MAX(0,(M55)+J56-L56),2)</f>
        <v/>
      </c>
      <c r="N56" s="28">
        <f>ROUND((Q55)*(IF('Your Debts'!$G$7=0,0,INDEX('Your Debts'!$C$5:$C$12,'Your Debts'!$G$7)/12)),2)</f>
        <v/>
      </c>
      <c r="O56" s="28">
        <f>MIN((Q55)+N56,IF('Your Debts'!$G$7=0,0,INDEX('Your Debts'!$D$5:$D$12,'Your Debts'!$G$7)))</f>
        <v/>
      </c>
      <c r="P56" s="28">
        <f>O56+MIN((Q55)+N56-O56,MAX(0,$E56-((H56-G56)+(L56-K56))))</f>
        <v/>
      </c>
      <c r="Q56" s="28">
        <f>ROUND(MAX(0,(Q55)+N56-P56),2)</f>
        <v/>
      </c>
      <c r="R56" s="28">
        <f>ROUND((U55)*(IF('Your Debts'!$G$8=0,0,INDEX('Your Debts'!$C$5:$C$12,'Your Debts'!$G$8)/12)),2)</f>
        <v/>
      </c>
      <c r="S56" s="28">
        <f>MIN((U55)+R56,IF('Your Debts'!$G$8=0,0,INDEX('Your Debts'!$D$5:$D$12,'Your Debts'!$G$8)))</f>
        <v/>
      </c>
      <c r="T56" s="28">
        <f>S56+MIN((U55)+R56-S56,MAX(0,$E56-((H56-G56)+(L56-K56)+(P56-O56))))</f>
        <v/>
      </c>
      <c r="U56" s="28">
        <f>ROUND(MAX(0,(U55)+R56-T56),2)</f>
        <v/>
      </c>
      <c r="V56" s="28">
        <f>ROUND((Y55)*(IF('Your Debts'!$G$9=0,0,INDEX('Your Debts'!$C$5:$C$12,'Your Debts'!$G$9)/12)),2)</f>
        <v/>
      </c>
      <c r="W56" s="28">
        <f>MIN((Y55)+V56,IF('Your Debts'!$G$9=0,0,INDEX('Your Debts'!$D$5:$D$12,'Your Debts'!$G$9)))</f>
        <v/>
      </c>
      <c r="X56" s="28">
        <f>W56+MIN((Y55)+V56-W56,MAX(0,$E56-((H56-G56)+(L56-K56)+(P56-O56)+(T56-S56))))</f>
        <v/>
      </c>
      <c r="Y56" s="28">
        <f>ROUND(MAX(0,(Y55)+V56-X56),2)</f>
        <v/>
      </c>
      <c r="Z56" s="28">
        <f>ROUND((AC55)*(IF('Your Debts'!$G$10=0,0,INDEX('Your Debts'!$C$5:$C$12,'Your Debts'!$G$10)/12)),2)</f>
        <v/>
      </c>
      <c r="AA56" s="28">
        <f>MIN((AC55)+Z56,IF('Your Debts'!$G$10=0,0,INDEX('Your Debts'!$D$5:$D$12,'Your Debts'!$G$10)))</f>
        <v/>
      </c>
      <c r="AB56" s="28">
        <f>AA56+MIN((AC55)+Z56-AA56,MAX(0,$E56-((H56-G56)+(L56-K56)+(P56-O56)+(T56-S56)+(X56-W56))))</f>
        <v/>
      </c>
      <c r="AC56" s="28">
        <f>ROUND(MAX(0,(AC55)+Z56-AB56),2)</f>
        <v/>
      </c>
      <c r="AD56" s="28">
        <f>ROUND((AG55)*(IF('Your Debts'!$G$11=0,0,INDEX('Your Debts'!$C$5:$C$12,'Your Debts'!$G$11)/12)),2)</f>
        <v/>
      </c>
      <c r="AE56" s="28">
        <f>MIN((AG55)+AD56,IF('Your Debts'!$G$11=0,0,INDEX('Your Debts'!$D$5:$D$12,'Your Debts'!$G$11)))</f>
        <v/>
      </c>
      <c r="AF56" s="28">
        <f>AE56+MIN((AG55)+AD56-AE56,MAX(0,$E56-((H56-G56)+(L56-K56)+(P56-O56)+(T56-S56)+(X56-W56)+(AB56-AA56))))</f>
        <v/>
      </c>
      <c r="AG56" s="28">
        <f>ROUND(MAX(0,(AG55)+AD56-AF56),2)</f>
        <v/>
      </c>
      <c r="AH56" s="28">
        <f>ROUND((AK55)*(IF('Your Debts'!$G$12=0,0,INDEX('Your Debts'!$C$5:$C$12,'Your Debts'!$G$12)/12)),2)</f>
        <v/>
      </c>
      <c r="AI56" s="28">
        <f>MIN((AK55)+AH56,IF('Your Debts'!$G$12=0,0,INDEX('Your Debts'!$D$5:$D$12,'Your Debts'!$G$12)))</f>
        <v/>
      </c>
      <c r="AJ56" s="28">
        <f>AI56+MIN((AK55)+AH56-AI56,MAX(0,$E56-((H56-G56)+(L56-K56)+(P56-O56)+(T56-S56)+(X56-W56)+(AB56-AA56)+(AF56-AE56))))</f>
        <v/>
      </c>
      <c r="AK56" s="28">
        <f>ROUND(MAX(0,(AK55)+AH56-AJ56),2)</f>
        <v/>
      </c>
      <c r="AL56" s="18">
        <f>I56+M56+Q56+U56+Y56+AC56+AG56+AK56</f>
        <v/>
      </c>
      <c r="AM56" s="27">
        <f>AM55+F56+J56+N56+R56+V56+Z56+AD56+AH56</f>
        <v/>
      </c>
    </row>
    <row r="57">
      <c r="A57" s="25" t="n">
        <v>52</v>
      </c>
      <c r="B57" s="26">
        <f>EDATE('Your Debts'!$B$19,51)</f>
        <v/>
      </c>
      <c r="C57" s="27">
        <f>'Your Debts'!$B$18</f>
        <v/>
      </c>
      <c r="D57" s="27">
        <f>G57+K57+O57+S57+W57+AA57+AE57+AI57</f>
        <v/>
      </c>
      <c r="E57" s="27">
        <f>MAX(0,C57-D57)</f>
        <v/>
      </c>
      <c r="F57" s="28">
        <f>ROUND((I56)*(IF('Your Debts'!$G$5=0,0,INDEX('Your Debts'!$C$5:$C$12,'Your Debts'!$G$5)/12)),2)</f>
        <v/>
      </c>
      <c r="G57" s="28">
        <f>MIN((I56)+F57,IF('Your Debts'!$G$5=0,0,INDEX('Your Debts'!$D$5:$D$12,'Your Debts'!$G$5)))</f>
        <v/>
      </c>
      <c r="H57" s="28">
        <f>G57+MIN((I56)+F57-G57,MAX(0,$E57-(0)))</f>
        <v/>
      </c>
      <c r="I57" s="28">
        <f>ROUND(MAX(0,(I56)+F57-H57),2)</f>
        <v/>
      </c>
      <c r="J57" s="28">
        <f>ROUND((M56)*(IF('Your Debts'!$G$6=0,0,INDEX('Your Debts'!$C$5:$C$12,'Your Debts'!$G$6)/12)),2)</f>
        <v/>
      </c>
      <c r="K57" s="28">
        <f>MIN((M56)+J57,IF('Your Debts'!$G$6=0,0,INDEX('Your Debts'!$D$5:$D$12,'Your Debts'!$G$6)))</f>
        <v/>
      </c>
      <c r="L57" s="28">
        <f>K57+MIN((M56)+J57-K57,MAX(0,$E57-((H57-G57))))</f>
        <v/>
      </c>
      <c r="M57" s="28">
        <f>ROUND(MAX(0,(M56)+J57-L57),2)</f>
        <v/>
      </c>
      <c r="N57" s="28">
        <f>ROUND((Q56)*(IF('Your Debts'!$G$7=0,0,INDEX('Your Debts'!$C$5:$C$12,'Your Debts'!$G$7)/12)),2)</f>
        <v/>
      </c>
      <c r="O57" s="28">
        <f>MIN((Q56)+N57,IF('Your Debts'!$G$7=0,0,INDEX('Your Debts'!$D$5:$D$12,'Your Debts'!$G$7)))</f>
        <v/>
      </c>
      <c r="P57" s="28">
        <f>O57+MIN((Q56)+N57-O57,MAX(0,$E57-((H57-G57)+(L57-K57))))</f>
        <v/>
      </c>
      <c r="Q57" s="28">
        <f>ROUND(MAX(0,(Q56)+N57-P57),2)</f>
        <v/>
      </c>
      <c r="R57" s="28">
        <f>ROUND((U56)*(IF('Your Debts'!$G$8=0,0,INDEX('Your Debts'!$C$5:$C$12,'Your Debts'!$G$8)/12)),2)</f>
        <v/>
      </c>
      <c r="S57" s="28">
        <f>MIN((U56)+R57,IF('Your Debts'!$G$8=0,0,INDEX('Your Debts'!$D$5:$D$12,'Your Debts'!$G$8)))</f>
        <v/>
      </c>
      <c r="T57" s="28">
        <f>S57+MIN((U56)+R57-S57,MAX(0,$E57-((H57-G57)+(L57-K57)+(P57-O57))))</f>
        <v/>
      </c>
      <c r="U57" s="28">
        <f>ROUND(MAX(0,(U56)+R57-T57),2)</f>
        <v/>
      </c>
      <c r="V57" s="28">
        <f>ROUND((Y56)*(IF('Your Debts'!$G$9=0,0,INDEX('Your Debts'!$C$5:$C$12,'Your Debts'!$G$9)/12)),2)</f>
        <v/>
      </c>
      <c r="W57" s="28">
        <f>MIN((Y56)+V57,IF('Your Debts'!$G$9=0,0,INDEX('Your Debts'!$D$5:$D$12,'Your Debts'!$G$9)))</f>
        <v/>
      </c>
      <c r="X57" s="28">
        <f>W57+MIN((Y56)+V57-W57,MAX(0,$E57-((H57-G57)+(L57-K57)+(P57-O57)+(T57-S57))))</f>
        <v/>
      </c>
      <c r="Y57" s="28">
        <f>ROUND(MAX(0,(Y56)+V57-X57),2)</f>
        <v/>
      </c>
      <c r="Z57" s="28">
        <f>ROUND((AC56)*(IF('Your Debts'!$G$10=0,0,INDEX('Your Debts'!$C$5:$C$12,'Your Debts'!$G$10)/12)),2)</f>
        <v/>
      </c>
      <c r="AA57" s="28">
        <f>MIN((AC56)+Z57,IF('Your Debts'!$G$10=0,0,INDEX('Your Debts'!$D$5:$D$12,'Your Debts'!$G$10)))</f>
        <v/>
      </c>
      <c r="AB57" s="28">
        <f>AA57+MIN((AC56)+Z57-AA57,MAX(0,$E57-((H57-G57)+(L57-K57)+(P57-O57)+(T57-S57)+(X57-W57))))</f>
        <v/>
      </c>
      <c r="AC57" s="28">
        <f>ROUND(MAX(0,(AC56)+Z57-AB57),2)</f>
        <v/>
      </c>
      <c r="AD57" s="28">
        <f>ROUND((AG56)*(IF('Your Debts'!$G$11=0,0,INDEX('Your Debts'!$C$5:$C$12,'Your Debts'!$G$11)/12)),2)</f>
        <v/>
      </c>
      <c r="AE57" s="28">
        <f>MIN((AG56)+AD57,IF('Your Debts'!$G$11=0,0,INDEX('Your Debts'!$D$5:$D$12,'Your Debts'!$G$11)))</f>
        <v/>
      </c>
      <c r="AF57" s="28">
        <f>AE57+MIN((AG56)+AD57-AE57,MAX(0,$E57-((H57-G57)+(L57-K57)+(P57-O57)+(T57-S57)+(X57-W57)+(AB57-AA57))))</f>
        <v/>
      </c>
      <c r="AG57" s="28">
        <f>ROUND(MAX(0,(AG56)+AD57-AF57),2)</f>
        <v/>
      </c>
      <c r="AH57" s="28">
        <f>ROUND((AK56)*(IF('Your Debts'!$G$12=0,0,INDEX('Your Debts'!$C$5:$C$12,'Your Debts'!$G$12)/12)),2)</f>
        <v/>
      </c>
      <c r="AI57" s="28">
        <f>MIN((AK56)+AH57,IF('Your Debts'!$G$12=0,0,INDEX('Your Debts'!$D$5:$D$12,'Your Debts'!$G$12)))</f>
        <v/>
      </c>
      <c r="AJ57" s="28">
        <f>AI57+MIN((AK56)+AH57-AI57,MAX(0,$E57-((H57-G57)+(L57-K57)+(P57-O57)+(T57-S57)+(X57-W57)+(AB57-AA57)+(AF57-AE57))))</f>
        <v/>
      </c>
      <c r="AK57" s="28">
        <f>ROUND(MAX(0,(AK56)+AH57-AJ57),2)</f>
        <v/>
      </c>
      <c r="AL57" s="18">
        <f>I57+M57+Q57+U57+Y57+AC57+AG57+AK57</f>
        <v/>
      </c>
      <c r="AM57" s="27">
        <f>AM56+F57+J57+N57+R57+V57+Z57+AD57+AH57</f>
        <v/>
      </c>
    </row>
    <row r="58">
      <c r="A58" s="25" t="n">
        <v>53</v>
      </c>
      <c r="B58" s="26">
        <f>EDATE('Your Debts'!$B$19,52)</f>
        <v/>
      </c>
      <c r="C58" s="27">
        <f>'Your Debts'!$B$18</f>
        <v/>
      </c>
      <c r="D58" s="27">
        <f>G58+K58+O58+S58+W58+AA58+AE58+AI58</f>
        <v/>
      </c>
      <c r="E58" s="27">
        <f>MAX(0,C58-D58)</f>
        <v/>
      </c>
      <c r="F58" s="28">
        <f>ROUND((I57)*(IF('Your Debts'!$G$5=0,0,INDEX('Your Debts'!$C$5:$C$12,'Your Debts'!$G$5)/12)),2)</f>
        <v/>
      </c>
      <c r="G58" s="28">
        <f>MIN((I57)+F58,IF('Your Debts'!$G$5=0,0,INDEX('Your Debts'!$D$5:$D$12,'Your Debts'!$G$5)))</f>
        <v/>
      </c>
      <c r="H58" s="28">
        <f>G58+MIN((I57)+F58-G58,MAX(0,$E58-(0)))</f>
        <v/>
      </c>
      <c r="I58" s="28">
        <f>ROUND(MAX(0,(I57)+F58-H58),2)</f>
        <v/>
      </c>
      <c r="J58" s="28">
        <f>ROUND((M57)*(IF('Your Debts'!$G$6=0,0,INDEX('Your Debts'!$C$5:$C$12,'Your Debts'!$G$6)/12)),2)</f>
        <v/>
      </c>
      <c r="K58" s="28">
        <f>MIN((M57)+J58,IF('Your Debts'!$G$6=0,0,INDEX('Your Debts'!$D$5:$D$12,'Your Debts'!$G$6)))</f>
        <v/>
      </c>
      <c r="L58" s="28">
        <f>K58+MIN((M57)+J58-K58,MAX(0,$E58-((H58-G58))))</f>
        <v/>
      </c>
      <c r="M58" s="28">
        <f>ROUND(MAX(0,(M57)+J58-L58),2)</f>
        <v/>
      </c>
      <c r="N58" s="28">
        <f>ROUND((Q57)*(IF('Your Debts'!$G$7=0,0,INDEX('Your Debts'!$C$5:$C$12,'Your Debts'!$G$7)/12)),2)</f>
        <v/>
      </c>
      <c r="O58" s="28">
        <f>MIN((Q57)+N58,IF('Your Debts'!$G$7=0,0,INDEX('Your Debts'!$D$5:$D$12,'Your Debts'!$G$7)))</f>
        <v/>
      </c>
      <c r="P58" s="28">
        <f>O58+MIN((Q57)+N58-O58,MAX(0,$E58-((H58-G58)+(L58-K58))))</f>
        <v/>
      </c>
      <c r="Q58" s="28">
        <f>ROUND(MAX(0,(Q57)+N58-P58),2)</f>
        <v/>
      </c>
      <c r="R58" s="28">
        <f>ROUND((U57)*(IF('Your Debts'!$G$8=0,0,INDEX('Your Debts'!$C$5:$C$12,'Your Debts'!$G$8)/12)),2)</f>
        <v/>
      </c>
      <c r="S58" s="28">
        <f>MIN((U57)+R58,IF('Your Debts'!$G$8=0,0,INDEX('Your Debts'!$D$5:$D$12,'Your Debts'!$G$8)))</f>
        <v/>
      </c>
      <c r="T58" s="28">
        <f>S58+MIN((U57)+R58-S58,MAX(0,$E58-((H58-G58)+(L58-K58)+(P58-O58))))</f>
        <v/>
      </c>
      <c r="U58" s="28">
        <f>ROUND(MAX(0,(U57)+R58-T58),2)</f>
        <v/>
      </c>
      <c r="V58" s="28">
        <f>ROUND((Y57)*(IF('Your Debts'!$G$9=0,0,INDEX('Your Debts'!$C$5:$C$12,'Your Debts'!$G$9)/12)),2)</f>
        <v/>
      </c>
      <c r="W58" s="28">
        <f>MIN((Y57)+V58,IF('Your Debts'!$G$9=0,0,INDEX('Your Debts'!$D$5:$D$12,'Your Debts'!$G$9)))</f>
        <v/>
      </c>
      <c r="X58" s="28">
        <f>W58+MIN((Y57)+V58-W58,MAX(0,$E58-((H58-G58)+(L58-K58)+(P58-O58)+(T58-S58))))</f>
        <v/>
      </c>
      <c r="Y58" s="28">
        <f>ROUND(MAX(0,(Y57)+V58-X58),2)</f>
        <v/>
      </c>
      <c r="Z58" s="28">
        <f>ROUND((AC57)*(IF('Your Debts'!$G$10=0,0,INDEX('Your Debts'!$C$5:$C$12,'Your Debts'!$G$10)/12)),2)</f>
        <v/>
      </c>
      <c r="AA58" s="28">
        <f>MIN((AC57)+Z58,IF('Your Debts'!$G$10=0,0,INDEX('Your Debts'!$D$5:$D$12,'Your Debts'!$G$10)))</f>
        <v/>
      </c>
      <c r="AB58" s="28">
        <f>AA58+MIN((AC57)+Z58-AA58,MAX(0,$E58-((H58-G58)+(L58-K58)+(P58-O58)+(T58-S58)+(X58-W58))))</f>
        <v/>
      </c>
      <c r="AC58" s="28">
        <f>ROUND(MAX(0,(AC57)+Z58-AB58),2)</f>
        <v/>
      </c>
      <c r="AD58" s="28">
        <f>ROUND((AG57)*(IF('Your Debts'!$G$11=0,0,INDEX('Your Debts'!$C$5:$C$12,'Your Debts'!$G$11)/12)),2)</f>
        <v/>
      </c>
      <c r="AE58" s="28">
        <f>MIN((AG57)+AD58,IF('Your Debts'!$G$11=0,0,INDEX('Your Debts'!$D$5:$D$12,'Your Debts'!$G$11)))</f>
        <v/>
      </c>
      <c r="AF58" s="28">
        <f>AE58+MIN((AG57)+AD58-AE58,MAX(0,$E58-((H58-G58)+(L58-K58)+(P58-O58)+(T58-S58)+(X58-W58)+(AB58-AA58))))</f>
        <v/>
      </c>
      <c r="AG58" s="28">
        <f>ROUND(MAX(0,(AG57)+AD58-AF58),2)</f>
        <v/>
      </c>
      <c r="AH58" s="28">
        <f>ROUND((AK57)*(IF('Your Debts'!$G$12=0,0,INDEX('Your Debts'!$C$5:$C$12,'Your Debts'!$G$12)/12)),2)</f>
        <v/>
      </c>
      <c r="AI58" s="28">
        <f>MIN((AK57)+AH58,IF('Your Debts'!$G$12=0,0,INDEX('Your Debts'!$D$5:$D$12,'Your Debts'!$G$12)))</f>
        <v/>
      </c>
      <c r="AJ58" s="28">
        <f>AI58+MIN((AK57)+AH58-AI58,MAX(0,$E58-((H58-G58)+(L58-K58)+(P58-O58)+(T58-S58)+(X58-W58)+(AB58-AA58)+(AF58-AE58))))</f>
        <v/>
      </c>
      <c r="AK58" s="28">
        <f>ROUND(MAX(0,(AK57)+AH58-AJ58),2)</f>
        <v/>
      </c>
      <c r="AL58" s="18">
        <f>I58+M58+Q58+U58+Y58+AC58+AG58+AK58</f>
        <v/>
      </c>
      <c r="AM58" s="27">
        <f>AM57+F58+J58+N58+R58+V58+Z58+AD58+AH58</f>
        <v/>
      </c>
    </row>
    <row r="59">
      <c r="A59" s="25" t="n">
        <v>54</v>
      </c>
      <c r="B59" s="26">
        <f>EDATE('Your Debts'!$B$19,53)</f>
        <v/>
      </c>
      <c r="C59" s="27">
        <f>'Your Debts'!$B$18</f>
        <v/>
      </c>
      <c r="D59" s="27">
        <f>G59+K59+O59+S59+W59+AA59+AE59+AI59</f>
        <v/>
      </c>
      <c r="E59" s="27">
        <f>MAX(0,C59-D59)</f>
        <v/>
      </c>
      <c r="F59" s="28">
        <f>ROUND((I58)*(IF('Your Debts'!$G$5=0,0,INDEX('Your Debts'!$C$5:$C$12,'Your Debts'!$G$5)/12)),2)</f>
        <v/>
      </c>
      <c r="G59" s="28">
        <f>MIN((I58)+F59,IF('Your Debts'!$G$5=0,0,INDEX('Your Debts'!$D$5:$D$12,'Your Debts'!$G$5)))</f>
        <v/>
      </c>
      <c r="H59" s="28">
        <f>G59+MIN((I58)+F59-G59,MAX(0,$E59-(0)))</f>
        <v/>
      </c>
      <c r="I59" s="28">
        <f>ROUND(MAX(0,(I58)+F59-H59),2)</f>
        <v/>
      </c>
      <c r="J59" s="28">
        <f>ROUND((M58)*(IF('Your Debts'!$G$6=0,0,INDEX('Your Debts'!$C$5:$C$12,'Your Debts'!$G$6)/12)),2)</f>
        <v/>
      </c>
      <c r="K59" s="28">
        <f>MIN((M58)+J59,IF('Your Debts'!$G$6=0,0,INDEX('Your Debts'!$D$5:$D$12,'Your Debts'!$G$6)))</f>
        <v/>
      </c>
      <c r="L59" s="28">
        <f>K59+MIN((M58)+J59-K59,MAX(0,$E59-((H59-G59))))</f>
        <v/>
      </c>
      <c r="M59" s="28">
        <f>ROUND(MAX(0,(M58)+J59-L59),2)</f>
        <v/>
      </c>
      <c r="N59" s="28">
        <f>ROUND((Q58)*(IF('Your Debts'!$G$7=0,0,INDEX('Your Debts'!$C$5:$C$12,'Your Debts'!$G$7)/12)),2)</f>
        <v/>
      </c>
      <c r="O59" s="28">
        <f>MIN((Q58)+N59,IF('Your Debts'!$G$7=0,0,INDEX('Your Debts'!$D$5:$D$12,'Your Debts'!$G$7)))</f>
        <v/>
      </c>
      <c r="P59" s="28">
        <f>O59+MIN((Q58)+N59-O59,MAX(0,$E59-((H59-G59)+(L59-K59))))</f>
        <v/>
      </c>
      <c r="Q59" s="28">
        <f>ROUND(MAX(0,(Q58)+N59-P59),2)</f>
        <v/>
      </c>
      <c r="R59" s="28">
        <f>ROUND((U58)*(IF('Your Debts'!$G$8=0,0,INDEX('Your Debts'!$C$5:$C$12,'Your Debts'!$G$8)/12)),2)</f>
        <v/>
      </c>
      <c r="S59" s="28">
        <f>MIN((U58)+R59,IF('Your Debts'!$G$8=0,0,INDEX('Your Debts'!$D$5:$D$12,'Your Debts'!$G$8)))</f>
        <v/>
      </c>
      <c r="T59" s="28">
        <f>S59+MIN((U58)+R59-S59,MAX(0,$E59-((H59-G59)+(L59-K59)+(P59-O59))))</f>
        <v/>
      </c>
      <c r="U59" s="28">
        <f>ROUND(MAX(0,(U58)+R59-T59),2)</f>
        <v/>
      </c>
      <c r="V59" s="28">
        <f>ROUND((Y58)*(IF('Your Debts'!$G$9=0,0,INDEX('Your Debts'!$C$5:$C$12,'Your Debts'!$G$9)/12)),2)</f>
        <v/>
      </c>
      <c r="W59" s="28">
        <f>MIN((Y58)+V59,IF('Your Debts'!$G$9=0,0,INDEX('Your Debts'!$D$5:$D$12,'Your Debts'!$G$9)))</f>
        <v/>
      </c>
      <c r="X59" s="28">
        <f>W59+MIN((Y58)+V59-W59,MAX(0,$E59-((H59-G59)+(L59-K59)+(P59-O59)+(T59-S59))))</f>
        <v/>
      </c>
      <c r="Y59" s="28">
        <f>ROUND(MAX(0,(Y58)+V59-X59),2)</f>
        <v/>
      </c>
      <c r="Z59" s="28">
        <f>ROUND((AC58)*(IF('Your Debts'!$G$10=0,0,INDEX('Your Debts'!$C$5:$C$12,'Your Debts'!$G$10)/12)),2)</f>
        <v/>
      </c>
      <c r="AA59" s="28">
        <f>MIN((AC58)+Z59,IF('Your Debts'!$G$10=0,0,INDEX('Your Debts'!$D$5:$D$12,'Your Debts'!$G$10)))</f>
        <v/>
      </c>
      <c r="AB59" s="28">
        <f>AA59+MIN((AC58)+Z59-AA59,MAX(0,$E59-((H59-G59)+(L59-K59)+(P59-O59)+(T59-S59)+(X59-W59))))</f>
        <v/>
      </c>
      <c r="AC59" s="28">
        <f>ROUND(MAX(0,(AC58)+Z59-AB59),2)</f>
        <v/>
      </c>
      <c r="AD59" s="28">
        <f>ROUND((AG58)*(IF('Your Debts'!$G$11=0,0,INDEX('Your Debts'!$C$5:$C$12,'Your Debts'!$G$11)/12)),2)</f>
        <v/>
      </c>
      <c r="AE59" s="28">
        <f>MIN((AG58)+AD59,IF('Your Debts'!$G$11=0,0,INDEX('Your Debts'!$D$5:$D$12,'Your Debts'!$G$11)))</f>
        <v/>
      </c>
      <c r="AF59" s="28">
        <f>AE59+MIN((AG58)+AD59-AE59,MAX(0,$E59-((H59-G59)+(L59-K59)+(P59-O59)+(T59-S59)+(X59-W59)+(AB59-AA59))))</f>
        <v/>
      </c>
      <c r="AG59" s="28">
        <f>ROUND(MAX(0,(AG58)+AD59-AF59),2)</f>
        <v/>
      </c>
      <c r="AH59" s="28">
        <f>ROUND((AK58)*(IF('Your Debts'!$G$12=0,0,INDEX('Your Debts'!$C$5:$C$12,'Your Debts'!$G$12)/12)),2)</f>
        <v/>
      </c>
      <c r="AI59" s="28">
        <f>MIN((AK58)+AH59,IF('Your Debts'!$G$12=0,0,INDEX('Your Debts'!$D$5:$D$12,'Your Debts'!$G$12)))</f>
        <v/>
      </c>
      <c r="AJ59" s="28">
        <f>AI59+MIN((AK58)+AH59-AI59,MAX(0,$E59-((H59-G59)+(L59-K59)+(P59-O59)+(T59-S59)+(X59-W59)+(AB59-AA59)+(AF59-AE59))))</f>
        <v/>
      </c>
      <c r="AK59" s="28">
        <f>ROUND(MAX(0,(AK58)+AH59-AJ59),2)</f>
        <v/>
      </c>
      <c r="AL59" s="18">
        <f>I59+M59+Q59+U59+Y59+AC59+AG59+AK59</f>
        <v/>
      </c>
      <c r="AM59" s="27">
        <f>AM58+F59+J59+N59+R59+V59+Z59+AD59+AH59</f>
        <v/>
      </c>
    </row>
    <row r="60">
      <c r="A60" s="25" t="n">
        <v>55</v>
      </c>
      <c r="B60" s="26">
        <f>EDATE('Your Debts'!$B$19,54)</f>
        <v/>
      </c>
      <c r="C60" s="27">
        <f>'Your Debts'!$B$18</f>
        <v/>
      </c>
      <c r="D60" s="27">
        <f>G60+K60+O60+S60+W60+AA60+AE60+AI60</f>
        <v/>
      </c>
      <c r="E60" s="27">
        <f>MAX(0,C60-D60)</f>
        <v/>
      </c>
      <c r="F60" s="28">
        <f>ROUND((I59)*(IF('Your Debts'!$G$5=0,0,INDEX('Your Debts'!$C$5:$C$12,'Your Debts'!$G$5)/12)),2)</f>
        <v/>
      </c>
      <c r="G60" s="28">
        <f>MIN((I59)+F60,IF('Your Debts'!$G$5=0,0,INDEX('Your Debts'!$D$5:$D$12,'Your Debts'!$G$5)))</f>
        <v/>
      </c>
      <c r="H60" s="28">
        <f>G60+MIN((I59)+F60-G60,MAX(0,$E60-(0)))</f>
        <v/>
      </c>
      <c r="I60" s="28">
        <f>ROUND(MAX(0,(I59)+F60-H60),2)</f>
        <v/>
      </c>
      <c r="J60" s="28">
        <f>ROUND((M59)*(IF('Your Debts'!$G$6=0,0,INDEX('Your Debts'!$C$5:$C$12,'Your Debts'!$G$6)/12)),2)</f>
        <v/>
      </c>
      <c r="K60" s="28">
        <f>MIN((M59)+J60,IF('Your Debts'!$G$6=0,0,INDEX('Your Debts'!$D$5:$D$12,'Your Debts'!$G$6)))</f>
        <v/>
      </c>
      <c r="L60" s="28">
        <f>K60+MIN((M59)+J60-K60,MAX(0,$E60-((H60-G60))))</f>
        <v/>
      </c>
      <c r="M60" s="28">
        <f>ROUND(MAX(0,(M59)+J60-L60),2)</f>
        <v/>
      </c>
      <c r="N60" s="28">
        <f>ROUND((Q59)*(IF('Your Debts'!$G$7=0,0,INDEX('Your Debts'!$C$5:$C$12,'Your Debts'!$G$7)/12)),2)</f>
        <v/>
      </c>
      <c r="O60" s="28">
        <f>MIN((Q59)+N60,IF('Your Debts'!$G$7=0,0,INDEX('Your Debts'!$D$5:$D$12,'Your Debts'!$G$7)))</f>
        <v/>
      </c>
      <c r="P60" s="28">
        <f>O60+MIN((Q59)+N60-O60,MAX(0,$E60-((H60-G60)+(L60-K60))))</f>
        <v/>
      </c>
      <c r="Q60" s="28">
        <f>ROUND(MAX(0,(Q59)+N60-P60),2)</f>
        <v/>
      </c>
      <c r="R60" s="28">
        <f>ROUND((U59)*(IF('Your Debts'!$G$8=0,0,INDEX('Your Debts'!$C$5:$C$12,'Your Debts'!$G$8)/12)),2)</f>
        <v/>
      </c>
      <c r="S60" s="28">
        <f>MIN((U59)+R60,IF('Your Debts'!$G$8=0,0,INDEX('Your Debts'!$D$5:$D$12,'Your Debts'!$G$8)))</f>
        <v/>
      </c>
      <c r="T60" s="28">
        <f>S60+MIN((U59)+R60-S60,MAX(0,$E60-((H60-G60)+(L60-K60)+(P60-O60))))</f>
        <v/>
      </c>
      <c r="U60" s="28">
        <f>ROUND(MAX(0,(U59)+R60-T60),2)</f>
        <v/>
      </c>
      <c r="V60" s="28">
        <f>ROUND((Y59)*(IF('Your Debts'!$G$9=0,0,INDEX('Your Debts'!$C$5:$C$12,'Your Debts'!$G$9)/12)),2)</f>
        <v/>
      </c>
      <c r="W60" s="28">
        <f>MIN((Y59)+V60,IF('Your Debts'!$G$9=0,0,INDEX('Your Debts'!$D$5:$D$12,'Your Debts'!$G$9)))</f>
        <v/>
      </c>
      <c r="X60" s="28">
        <f>W60+MIN((Y59)+V60-W60,MAX(0,$E60-((H60-G60)+(L60-K60)+(P60-O60)+(T60-S60))))</f>
        <v/>
      </c>
      <c r="Y60" s="28">
        <f>ROUND(MAX(0,(Y59)+V60-X60),2)</f>
        <v/>
      </c>
      <c r="Z60" s="28">
        <f>ROUND((AC59)*(IF('Your Debts'!$G$10=0,0,INDEX('Your Debts'!$C$5:$C$12,'Your Debts'!$G$10)/12)),2)</f>
        <v/>
      </c>
      <c r="AA60" s="28">
        <f>MIN((AC59)+Z60,IF('Your Debts'!$G$10=0,0,INDEX('Your Debts'!$D$5:$D$12,'Your Debts'!$G$10)))</f>
        <v/>
      </c>
      <c r="AB60" s="28">
        <f>AA60+MIN((AC59)+Z60-AA60,MAX(0,$E60-((H60-G60)+(L60-K60)+(P60-O60)+(T60-S60)+(X60-W60))))</f>
        <v/>
      </c>
      <c r="AC60" s="28">
        <f>ROUND(MAX(0,(AC59)+Z60-AB60),2)</f>
        <v/>
      </c>
      <c r="AD60" s="28">
        <f>ROUND((AG59)*(IF('Your Debts'!$G$11=0,0,INDEX('Your Debts'!$C$5:$C$12,'Your Debts'!$G$11)/12)),2)</f>
        <v/>
      </c>
      <c r="AE60" s="28">
        <f>MIN((AG59)+AD60,IF('Your Debts'!$G$11=0,0,INDEX('Your Debts'!$D$5:$D$12,'Your Debts'!$G$11)))</f>
        <v/>
      </c>
      <c r="AF60" s="28">
        <f>AE60+MIN((AG59)+AD60-AE60,MAX(0,$E60-((H60-G60)+(L60-K60)+(P60-O60)+(T60-S60)+(X60-W60)+(AB60-AA60))))</f>
        <v/>
      </c>
      <c r="AG60" s="28">
        <f>ROUND(MAX(0,(AG59)+AD60-AF60),2)</f>
        <v/>
      </c>
      <c r="AH60" s="28">
        <f>ROUND((AK59)*(IF('Your Debts'!$G$12=0,0,INDEX('Your Debts'!$C$5:$C$12,'Your Debts'!$G$12)/12)),2)</f>
        <v/>
      </c>
      <c r="AI60" s="28">
        <f>MIN((AK59)+AH60,IF('Your Debts'!$G$12=0,0,INDEX('Your Debts'!$D$5:$D$12,'Your Debts'!$G$12)))</f>
        <v/>
      </c>
      <c r="AJ60" s="28">
        <f>AI60+MIN((AK59)+AH60-AI60,MAX(0,$E60-((H60-G60)+(L60-K60)+(P60-O60)+(T60-S60)+(X60-W60)+(AB60-AA60)+(AF60-AE60))))</f>
        <v/>
      </c>
      <c r="AK60" s="28">
        <f>ROUND(MAX(0,(AK59)+AH60-AJ60),2)</f>
        <v/>
      </c>
      <c r="AL60" s="18">
        <f>I60+M60+Q60+U60+Y60+AC60+AG60+AK60</f>
        <v/>
      </c>
      <c r="AM60" s="27">
        <f>AM59+F60+J60+N60+R60+V60+Z60+AD60+AH60</f>
        <v/>
      </c>
    </row>
    <row r="61">
      <c r="A61" s="25" t="n">
        <v>56</v>
      </c>
      <c r="B61" s="26">
        <f>EDATE('Your Debts'!$B$19,55)</f>
        <v/>
      </c>
      <c r="C61" s="27">
        <f>'Your Debts'!$B$18</f>
        <v/>
      </c>
      <c r="D61" s="27">
        <f>G61+K61+O61+S61+W61+AA61+AE61+AI61</f>
        <v/>
      </c>
      <c r="E61" s="27">
        <f>MAX(0,C61-D61)</f>
        <v/>
      </c>
      <c r="F61" s="28">
        <f>ROUND((I60)*(IF('Your Debts'!$G$5=0,0,INDEX('Your Debts'!$C$5:$C$12,'Your Debts'!$G$5)/12)),2)</f>
        <v/>
      </c>
      <c r="G61" s="28">
        <f>MIN((I60)+F61,IF('Your Debts'!$G$5=0,0,INDEX('Your Debts'!$D$5:$D$12,'Your Debts'!$G$5)))</f>
        <v/>
      </c>
      <c r="H61" s="28">
        <f>G61+MIN((I60)+F61-G61,MAX(0,$E61-(0)))</f>
        <v/>
      </c>
      <c r="I61" s="28">
        <f>ROUND(MAX(0,(I60)+F61-H61),2)</f>
        <v/>
      </c>
      <c r="J61" s="28">
        <f>ROUND((M60)*(IF('Your Debts'!$G$6=0,0,INDEX('Your Debts'!$C$5:$C$12,'Your Debts'!$G$6)/12)),2)</f>
        <v/>
      </c>
      <c r="K61" s="28">
        <f>MIN((M60)+J61,IF('Your Debts'!$G$6=0,0,INDEX('Your Debts'!$D$5:$D$12,'Your Debts'!$G$6)))</f>
        <v/>
      </c>
      <c r="L61" s="28">
        <f>K61+MIN((M60)+J61-K61,MAX(0,$E61-((H61-G61))))</f>
        <v/>
      </c>
      <c r="M61" s="28">
        <f>ROUND(MAX(0,(M60)+J61-L61),2)</f>
        <v/>
      </c>
      <c r="N61" s="28">
        <f>ROUND((Q60)*(IF('Your Debts'!$G$7=0,0,INDEX('Your Debts'!$C$5:$C$12,'Your Debts'!$G$7)/12)),2)</f>
        <v/>
      </c>
      <c r="O61" s="28">
        <f>MIN((Q60)+N61,IF('Your Debts'!$G$7=0,0,INDEX('Your Debts'!$D$5:$D$12,'Your Debts'!$G$7)))</f>
        <v/>
      </c>
      <c r="P61" s="28">
        <f>O61+MIN((Q60)+N61-O61,MAX(0,$E61-((H61-G61)+(L61-K61))))</f>
        <v/>
      </c>
      <c r="Q61" s="28">
        <f>ROUND(MAX(0,(Q60)+N61-P61),2)</f>
        <v/>
      </c>
      <c r="R61" s="28">
        <f>ROUND((U60)*(IF('Your Debts'!$G$8=0,0,INDEX('Your Debts'!$C$5:$C$12,'Your Debts'!$G$8)/12)),2)</f>
        <v/>
      </c>
      <c r="S61" s="28">
        <f>MIN((U60)+R61,IF('Your Debts'!$G$8=0,0,INDEX('Your Debts'!$D$5:$D$12,'Your Debts'!$G$8)))</f>
        <v/>
      </c>
      <c r="T61" s="28">
        <f>S61+MIN((U60)+R61-S61,MAX(0,$E61-((H61-G61)+(L61-K61)+(P61-O61))))</f>
        <v/>
      </c>
      <c r="U61" s="28">
        <f>ROUND(MAX(0,(U60)+R61-T61),2)</f>
        <v/>
      </c>
      <c r="V61" s="28">
        <f>ROUND((Y60)*(IF('Your Debts'!$G$9=0,0,INDEX('Your Debts'!$C$5:$C$12,'Your Debts'!$G$9)/12)),2)</f>
        <v/>
      </c>
      <c r="W61" s="28">
        <f>MIN((Y60)+V61,IF('Your Debts'!$G$9=0,0,INDEX('Your Debts'!$D$5:$D$12,'Your Debts'!$G$9)))</f>
        <v/>
      </c>
      <c r="X61" s="28">
        <f>W61+MIN((Y60)+V61-W61,MAX(0,$E61-((H61-G61)+(L61-K61)+(P61-O61)+(T61-S61))))</f>
        <v/>
      </c>
      <c r="Y61" s="28">
        <f>ROUND(MAX(0,(Y60)+V61-X61),2)</f>
        <v/>
      </c>
      <c r="Z61" s="28">
        <f>ROUND((AC60)*(IF('Your Debts'!$G$10=0,0,INDEX('Your Debts'!$C$5:$C$12,'Your Debts'!$G$10)/12)),2)</f>
        <v/>
      </c>
      <c r="AA61" s="28">
        <f>MIN((AC60)+Z61,IF('Your Debts'!$G$10=0,0,INDEX('Your Debts'!$D$5:$D$12,'Your Debts'!$G$10)))</f>
        <v/>
      </c>
      <c r="AB61" s="28">
        <f>AA61+MIN((AC60)+Z61-AA61,MAX(0,$E61-((H61-G61)+(L61-K61)+(P61-O61)+(T61-S61)+(X61-W61))))</f>
        <v/>
      </c>
      <c r="AC61" s="28">
        <f>ROUND(MAX(0,(AC60)+Z61-AB61),2)</f>
        <v/>
      </c>
      <c r="AD61" s="28">
        <f>ROUND((AG60)*(IF('Your Debts'!$G$11=0,0,INDEX('Your Debts'!$C$5:$C$12,'Your Debts'!$G$11)/12)),2)</f>
        <v/>
      </c>
      <c r="AE61" s="28">
        <f>MIN((AG60)+AD61,IF('Your Debts'!$G$11=0,0,INDEX('Your Debts'!$D$5:$D$12,'Your Debts'!$G$11)))</f>
        <v/>
      </c>
      <c r="AF61" s="28">
        <f>AE61+MIN((AG60)+AD61-AE61,MAX(0,$E61-((H61-G61)+(L61-K61)+(P61-O61)+(T61-S61)+(X61-W61)+(AB61-AA61))))</f>
        <v/>
      </c>
      <c r="AG61" s="28">
        <f>ROUND(MAX(0,(AG60)+AD61-AF61),2)</f>
        <v/>
      </c>
      <c r="AH61" s="28">
        <f>ROUND((AK60)*(IF('Your Debts'!$G$12=0,0,INDEX('Your Debts'!$C$5:$C$12,'Your Debts'!$G$12)/12)),2)</f>
        <v/>
      </c>
      <c r="AI61" s="28">
        <f>MIN((AK60)+AH61,IF('Your Debts'!$G$12=0,0,INDEX('Your Debts'!$D$5:$D$12,'Your Debts'!$G$12)))</f>
        <v/>
      </c>
      <c r="AJ61" s="28">
        <f>AI61+MIN((AK60)+AH61-AI61,MAX(0,$E61-((H61-G61)+(L61-K61)+(P61-O61)+(T61-S61)+(X61-W61)+(AB61-AA61)+(AF61-AE61))))</f>
        <v/>
      </c>
      <c r="AK61" s="28">
        <f>ROUND(MAX(0,(AK60)+AH61-AJ61),2)</f>
        <v/>
      </c>
      <c r="AL61" s="18">
        <f>I61+M61+Q61+U61+Y61+AC61+AG61+AK61</f>
        <v/>
      </c>
      <c r="AM61" s="27">
        <f>AM60+F61+J61+N61+R61+V61+Z61+AD61+AH61</f>
        <v/>
      </c>
    </row>
    <row r="62">
      <c r="A62" s="25" t="n">
        <v>57</v>
      </c>
      <c r="B62" s="26">
        <f>EDATE('Your Debts'!$B$19,56)</f>
        <v/>
      </c>
      <c r="C62" s="27">
        <f>'Your Debts'!$B$18</f>
        <v/>
      </c>
      <c r="D62" s="27">
        <f>G62+K62+O62+S62+W62+AA62+AE62+AI62</f>
        <v/>
      </c>
      <c r="E62" s="27">
        <f>MAX(0,C62-D62)</f>
        <v/>
      </c>
      <c r="F62" s="28">
        <f>ROUND((I61)*(IF('Your Debts'!$G$5=0,0,INDEX('Your Debts'!$C$5:$C$12,'Your Debts'!$G$5)/12)),2)</f>
        <v/>
      </c>
      <c r="G62" s="28">
        <f>MIN((I61)+F62,IF('Your Debts'!$G$5=0,0,INDEX('Your Debts'!$D$5:$D$12,'Your Debts'!$G$5)))</f>
        <v/>
      </c>
      <c r="H62" s="28">
        <f>G62+MIN((I61)+F62-G62,MAX(0,$E62-(0)))</f>
        <v/>
      </c>
      <c r="I62" s="28">
        <f>ROUND(MAX(0,(I61)+F62-H62),2)</f>
        <v/>
      </c>
      <c r="J62" s="28">
        <f>ROUND((M61)*(IF('Your Debts'!$G$6=0,0,INDEX('Your Debts'!$C$5:$C$12,'Your Debts'!$G$6)/12)),2)</f>
        <v/>
      </c>
      <c r="K62" s="28">
        <f>MIN((M61)+J62,IF('Your Debts'!$G$6=0,0,INDEX('Your Debts'!$D$5:$D$12,'Your Debts'!$G$6)))</f>
        <v/>
      </c>
      <c r="L62" s="28">
        <f>K62+MIN((M61)+J62-K62,MAX(0,$E62-((H62-G62))))</f>
        <v/>
      </c>
      <c r="M62" s="28">
        <f>ROUND(MAX(0,(M61)+J62-L62),2)</f>
        <v/>
      </c>
      <c r="N62" s="28">
        <f>ROUND((Q61)*(IF('Your Debts'!$G$7=0,0,INDEX('Your Debts'!$C$5:$C$12,'Your Debts'!$G$7)/12)),2)</f>
        <v/>
      </c>
      <c r="O62" s="28">
        <f>MIN((Q61)+N62,IF('Your Debts'!$G$7=0,0,INDEX('Your Debts'!$D$5:$D$12,'Your Debts'!$G$7)))</f>
        <v/>
      </c>
      <c r="P62" s="28">
        <f>O62+MIN((Q61)+N62-O62,MAX(0,$E62-((H62-G62)+(L62-K62))))</f>
        <v/>
      </c>
      <c r="Q62" s="28">
        <f>ROUND(MAX(0,(Q61)+N62-P62),2)</f>
        <v/>
      </c>
      <c r="R62" s="28">
        <f>ROUND((U61)*(IF('Your Debts'!$G$8=0,0,INDEX('Your Debts'!$C$5:$C$12,'Your Debts'!$G$8)/12)),2)</f>
        <v/>
      </c>
      <c r="S62" s="28">
        <f>MIN((U61)+R62,IF('Your Debts'!$G$8=0,0,INDEX('Your Debts'!$D$5:$D$12,'Your Debts'!$G$8)))</f>
        <v/>
      </c>
      <c r="T62" s="28">
        <f>S62+MIN((U61)+R62-S62,MAX(0,$E62-((H62-G62)+(L62-K62)+(P62-O62))))</f>
        <v/>
      </c>
      <c r="U62" s="28">
        <f>ROUND(MAX(0,(U61)+R62-T62),2)</f>
        <v/>
      </c>
      <c r="V62" s="28">
        <f>ROUND((Y61)*(IF('Your Debts'!$G$9=0,0,INDEX('Your Debts'!$C$5:$C$12,'Your Debts'!$G$9)/12)),2)</f>
        <v/>
      </c>
      <c r="W62" s="28">
        <f>MIN((Y61)+V62,IF('Your Debts'!$G$9=0,0,INDEX('Your Debts'!$D$5:$D$12,'Your Debts'!$G$9)))</f>
        <v/>
      </c>
      <c r="X62" s="28">
        <f>W62+MIN((Y61)+V62-W62,MAX(0,$E62-((H62-G62)+(L62-K62)+(P62-O62)+(T62-S62))))</f>
        <v/>
      </c>
      <c r="Y62" s="28">
        <f>ROUND(MAX(0,(Y61)+V62-X62),2)</f>
        <v/>
      </c>
      <c r="Z62" s="28">
        <f>ROUND((AC61)*(IF('Your Debts'!$G$10=0,0,INDEX('Your Debts'!$C$5:$C$12,'Your Debts'!$G$10)/12)),2)</f>
        <v/>
      </c>
      <c r="AA62" s="28">
        <f>MIN((AC61)+Z62,IF('Your Debts'!$G$10=0,0,INDEX('Your Debts'!$D$5:$D$12,'Your Debts'!$G$10)))</f>
        <v/>
      </c>
      <c r="AB62" s="28">
        <f>AA62+MIN((AC61)+Z62-AA62,MAX(0,$E62-((H62-G62)+(L62-K62)+(P62-O62)+(T62-S62)+(X62-W62))))</f>
        <v/>
      </c>
      <c r="AC62" s="28">
        <f>ROUND(MAX(0,(AC61)+Z62-AB62),2)</f>
        <v/>
      </c>
      <c r="AD62" s="28">
        <f>ROUND((AG61)*(IF('Your Debts'!$G$11=0,0,INDEX('Your Debts'!$C$5:$C$12,'Your Debts'!$G$11)/12)),2)</f>
        <v/>
      </c>
      <c r="AE62" s="28">
        <f>MIN((AG61)+AD62,IF('Your Debts'!$G$11=0,0,INDEX('Your Debts'!$D$5:$D$12,'Your Debts'!$G$11)))</f>
        <v/>
      </c>
      <c r="AF62" s="28">
        <f>AE62+MIN((AG61)+AD62-AE62,MAX(0,$E62-((H62-G62)+(L62-K62)+(P62-O62)+(T62-S62)+(X62-W62)+(AB62-AA62))))</f>
        <v/>
      </c>
      <c r="AG62" s="28">
        <f>ROUND(MAX(0,(AG61)+AD62-AF62),2)</f>
        <v/>
      </c>
      <c r="AH62" s="28">
        <f>ROUND((AK61)*(IF('Your Debts'!$G$12=0,0,INDEX('Your Debts'!$C$5:$C$12,'Your Debts'!$G$12)/12)),2)</f>
        <v/>
      </c>
      <c r="AI62" s="28">
        <f>MIN((AK61)+AH62,IF('Your Debts'!$G$12=0,0,INDEX('Your Debts'!$D$5:$D$12,'Your Debts'!$G$12)))</f>
        <v/>
      </c>
      <c r="AJ62" s="28">
        <f>AI62+MIN((AK61)+AH62-AI62,MAX(0,$E62-((H62-G62)+(L62-K62)+(P62-O62)+(T62-S62)+(X62-W62)+(AB62-AA62)+(AF62-AE62))))</f>
        <v/>
      </c>
      <c r="AK62" s="28">
        <f>ROUND(MAX(0,(AK61)+AH62-AJ62),2)</f>
        <v/>
      </c>
      <c r="AL62" s="18">
        <f>I62+M62+Q62+U62+Y62+AC62+AG62+AK62</f>
        <v/>
      </c>
      <c r="AM62" s="27">
        <f>AM61+F62+J62+N62+R62+V62+Z62+AD62+AH62</f>
        <v/>
      </c>
    </row>
    <row r="63">
      <c r="A63" s="25" t="n">
        <v>58</v>
      </c>
      <c r="B63" s="26">
        <f>EDATE('Your Debts'!$B$19,57)</f>
        <v/>
      </c>
      <c r="C63" s="27">
        <f>'Your Debts'!$B$18</f>
        <v/>
      </c>
      <c r="D63" s="27">
        <f>G63+K63+O63+S63+W63+AA63+AE63+AI63</f>
        <v/>
      </c>
      <c r="E63" s="27">
        <f>MAX(0,C63-D63)</f>
        <v/>
      </c>
      <c r="F63" s="28">
        <f>ROUND((I62)*(IF('Your Debts'!$G$5=0,0,INDEX('Your Debts'!$C$5:$C$12,'Your Debts'!$G$5)/12)),2)</f>
        <v/>
      </c>
      <c r="G63" s="28">
        <f>MIN((I62)+F63,IF('Your Debts'!$G$5=0,0,INDEX('Your Debts'!$D$5:$D$12,'Your Debts'!$G$5)))</f>
        <v/>
      </c>
      <c r="H63" s="28">
        <f>G63+MIN((I62)+F63-G63,MAX(0,$E63-(0)))</f>
        <v/>
      </c>
      <c r="I63" s="28">
        <f>ROUND(MAX(0,(I62)+F63-H63),2)</f>
        <v/>
      </c>
      <c r="J63" s="28">
        <f>ROUND((M62)*(IF('Your Debts'!$G$6=0,0,INDEX('Your Debts'!$C$5:$C$12,'Your Debts'!$G$6)/12)),2)</f>
        <v/>
      </c>
      <c r="K63" s="28">
        <f>MIN((M62)+J63,IF('Your Debts'!$G$6=0,0,INDEX('Your Debts'!$D$5:$D$12,'Your Debts'!$G$6)))</f>
        <v/>
      </c>
      <c r="L63" s="28">
        <f>K63+MIN((M62)+J63-K63,MAX(0,$E63-((H63-G63))))</f>
        <v/>
      </c>
      <c r="M63" s="28">
        <f>ROUND(MAX(0,(M62)+J63-L63),2)</f>
        <v/>
      </c>
      <c r="N63" s="28">
        <f>ROUND((Q62)*(IF('Your Debts'!$G$7=0,0,INDEX('Your Debts'!$C$5:$C$12,'Your Debts'!$G$7)/12)),2)</f>
        <v/>
      </c>
      <c r="O63" s="28">
        <f>MIN((Q62)+N63,IF('Your Debts'!$G$7=0,0,INDEX('Your Debts'!$D$5:$D$12,'Your Debts'!$G$7)))</f>
        <v/>
      </c>
      <c r="P63" s="28">
        <f>O63+MIN((Q62)+N63-O63,MAX(0,$E63-((H63-G63)+(L63-K63))))</f>
        <v/>
      </c>
      <c r="Q63" s="28">
        <f>ROUND(MAX(0,(Q62)+N63-P63),2)</f>
        <v/>
      </c>
      <c r="R63" s="28">
        <f>ROUND((U62)*(IF('Your Debts'!$G$8=0,0,INDEX('Your Debts'!$C$5:$C$12,'Your Debts'!$G$8)/12)),2)</f>
        <v/>
      </c>
      <c r="S63" s="28">
        <f>MIN((U62)+R63,IF('Your Debts'!$G$8=0,0,INDEX('Your Debts'!$D$5:$D$12,'Your Debts'!$G$8)))</f>
        <v/>
      </c>
      <c r="T63" s="28">
        <f>S63+MIN((U62)+R63-S63,MAX(0,$E63-((H63-G63)+(L63-K63)+(P63-O63))))</f>
        <v/>
      </c>
      <c r="U63" s="28">
        <f>ROUND(MAX(0,(U62)+R63-T63),2)</f>
        <v/>
      </c>
      <c r="V63" s="28">
        <f>ROUND((Y62)*(IF('Your Debts'!$G$9=0,0,INDEX('Your Debts'!$C$5:$C$12,'Your Debts'!$G$9)/12)),2)</f>
        <v/>
      </c>
      <c r="W63" s="28">
        <f>MIN((Y62)+V63,IF('Your Debts'!$G$9=0,0,INDEX('Your Debts'!$D$5:$D$12,'Your Debts'!$G$9)))</f>
        <v/>
      </c>
      <c r="X63" s="28">
        <f>W63+MIN((Y62)+V63-W63,MAX(0,$E63-((H63-G63)+(L63-K63)+(P63-O63)+(T63-S63))))</f>
        <v/>
      </c>
      <c r="Y63" s="28">
        <f>ROUND(MAX(0,(Y62)+V63-X63),2)</f>
        <v/>
      </c>
      <c r="Z63" s="28">
        <f>ROUND((AC62)*(IF('Your Debts'!$G$10=0,0,INDEX('Your Debts'!$C$5:$C$12,'Your Debts'!$G$10)/12)),2)</f>
        <v/>
      </c>
      <c r="AA63" s="28">
        <f>MIN((AC62)+Z63,IF('Your Debts'!$G$10=0,0,INDEX('Your Debts'!$D$5:$D$12,'Your Debts'!$G$10)))</f>
        <v/>
      </c>
      <c r="AB63" s="28">
        <f>AA63+MIN((AC62)+Z63-AA63,MAX(0,$E63-((H63-G63)+(L63-K63)+(P63-O63)+(T63-S63)+(X63-W63))))</f>
        <v/>
      </c>
      <c r="AC63" s="28">
        <f>ROUND(MAX(0,(AC62)+Z63-AB63),2)</f>
        <v/>
      </c>
      <c r="AD63" s="28">
        <f>ROUND((AG62)*(IF('Your Debts'!$G$11=0,0,INDEX('Your Debts'!$C$5:$C$12,'Your Debts'!$G$11)/12)),2)</f>
        <v/>
      </c>
      <c r="AE63" s="28">
        <f>MIN((AG62)+AD63,IF('Your Debts'!$G$11=0,0,INDEX('Your Debts'!$D$5:$D$12,'Your Debts'!$G$11)))</f>
        <v/>
      </c>
      <c r="AF63" s="28">
        <f>AE63+MIN((AG62)+AD63-AE63,MAX(0,$E63-((H63-G63)+(L63-K63)+(P63-O63)+(T63-S63)+(X63-W63)+(AB63-AA63))))</f>
        <v/>
      </c>
      <c r="AG63" s="28">
        <f>ROUND(MAX(0,(AG62)+AD63-AF63),2)</f>
        <v/>
      </c>
      <c r="AH63" s="28">
        <f>ROUND((AK62)*(IF('Your Debts'!$G$12=0,0,INDEX('Your Debts'!$C$5:$C$12,'Your Debts'!$G$12)/12)),2)</f>
        <v/>
      </c>
      <c r="AI63" s="28">
        <f>MIN((AK62)+AH63,IF('Your Debts'!$G$12=0,0,INDEX('Your Debts'!$D$5:$D$12,'Your Debts'!$G$12)))</f>
        <v/>
      </c>
      <c r="AJ63" s="28">
        <f>AI63+MIN((AK62)+AH63-AI63,MAX(0,$E63-((H63-G63)+(L63-K63)+(P63-O63)+(T63-S63)+(X63-W63)+(AB63-AA63)+(AF63-AE63))))</f>
        <v/>
      </c>
      <c r="AK63" s="28">
        <f>ROUND(MAX(0,(AK62)+AH63-AJ63),2)</f>
        <v/>
      </c>
      <c r="AL63" s="18">
        <f>I63+M63+Q63+U63+Y63+AC63+AG63+AK63</f>
        <v/>
      </c>
      <c r="AM63" s="27">
        <f>AM62+F63+J63+N63+R63+V63+Z63+AD63+AH63</f>
        <v/>
      </c>
    </row>
    <row r="64">
      <c r="A64" s="25" t="n">
        <v>59</v>
      </c>
      <c r="B64" s="26">
        <f>EDATE('Your Debts'!$B$19,58)</f>
        <v/>
      </c>
      <c r="C64" s="27">
        <f>'Your Debts'!$B$18</f>
        <v/>
      </c>
      <c r="D64" s="27">
        <f>G64+K64+O64+S64+W64+AA64+AE64+AI64</f>
        <v/>
      </c>
      <c r="E64" s="27">
        <f>MAX(0,C64-D64)</f>
        <v/>
      </c>
      <c r="F64" s="28">
        <f>ROUND((I63)*(IF('Your Debts'!$G$5=0,0,INDEX('Your Debts'!$C$5:$C$12,'Your Debts'!$G$5)/12)),2)</f>
        <v/>
      </c>
      <c r="G64" s="28">
        <f>MIN((I63)+F64,IF('Your Debts'!$G$5=0,0,INDEX('Your Debts'!$D$5:$D$12,'Your Debts'!$G$5)))</f>
        <v/>
      </c>
      <c r="H64" s="28">
        <f>G64+MIN((I63)+F64-G64,MAX(0,$E64-(0)))</f>
        <v/>
      </c>
      <c r="I64" s="28">
        <f>ROUND(MAX(0,(I63)+F64-H64),2)</f>
        <v/>
      </c>
      <c r="J64" s="28">
        <f>ROUND((M63)*(IF('Your Debts'!$G$6=0,0,INDEX('Your Debts'!$C$5:$C$12,'Your Debts'!$G$6)/12)),2)</f>
        <v/>
      </c>
      <c r="K64" s="28">
        <f>MIN((M63)+J64,IF('Your Debts'!$G$6=0,0,INDEX('Your Debts'!$D$5:$D$12,'Your Debts'!$G$6)))</f>
        <v/>
      </c>
      <c r="L64" s="28">
        <f>K64+MIN((M63)+J64-K64,MAX(0,$E64-((H64-G64))))</f>
        <v/>
      </c>
      <c r="M64" s="28">
        <f>ROUND(MAX(0,(M63)+J64-L64),2)</f>
        <v/>
      </c>
      <c r="N64" s="28">
        <f>ROUND((Q63)*(IF('Your Debts'!$G$7=0,0,INDEX('Your Debts'!$C$5:$C$12,'Your Debts'!$G$7)/12)),2)</f>
        <v/>
      </c>
      <c r="O64" s="28">
        <f>MIN((Q63)+N64,IF('Your Debts'!$G$7=0,0,INDEX('Your Debts'!$D$5:$D$12,'Your Debts'!$G$7)))</f>
        <v/>
      </c>
      <c r="P64" s="28">
        <f>O64+MIN((Q63)+N64-O64,MAX(0,$E64-((H64-G64)+(L64-K64))))</f>
        <v/>
      </c>
      <c r="Q64" s="28">
        <f>ROUND(MAX(0,(Q63)+N64-P64),2)</f>
        <v/>
      </c>
      <c r="R64" s="28">
        <f>ROUND((U63)*(IF('Your Debts'!$G$8=0,0,INDEX('Your Debts'!$C$5:$C$12,'Your Debts'!$G$8)/12)),2)</f>
        <v/>
      </c>
      <c r="S64" s="28">
        <f>MIN((U63)+R64,IF('Your Debts'!$G$8=0,0,INDEX('Your Debts'!$D$5:$D$12,'Your Debts'!$G$8)))</f>
        <v/>
      </c>
      <c r="T64" s="28">
        <f>S64+MIN((U63)+R64-S64,MAX(0,$E64-((H64-G64)+(L64-K64)+(P64-O64))))</f>
        <v/>
      </c>
      <c r="U64" s="28">
        <f>ROUND(MAX(0,(U63)+R64-T64),2)</f>
        <v/>
      </c>
      <c r="V64" s="28">
        <f>ROUND((Y63)*(IF('Your Debts'!$G$9=0,0,INDEX('Your Debts'!$C$5:$C$12,'Your Debts'!$G$9)/12)),2)</f>
        <v/>
      </c>
      <c r="W64" s="28">
        <f>MIN((Y63)+V64,IF('Your Debts'!$G$9=0,0,INDEX('Your Debts'!$D$5:$D$12,'Your Debts'!$G$9)))</f>
        <v/>
      </c>
      <c r="X64" s="28">
        <f>W64+MIN((Y63)+V64-W64,MAX(0,$E64-((H64-G64)+(L64-K64)+(P64-O64)+(T64-S64))))</f>
        <v/>
      </c>
      <c r="Y64" s="28">
        <f>ROUND(MAX(0,(Y63)+V64-X64),2)</f>
        <v/>
      </c>
      <c r="Z64" s="28">
        <f>ROUND((AC63)*(IF('Your Debts'!$G$10=0,0,INDEX('Your Debts'!$C$5:$C$12,'Your Debts'!$G$10)/12)),2)</f>
        <v/>
      </c>
      <c r="AA64" s="28">
        <f>MIN((AC63)+Z64,IF('Your Debts'!$G$10=0,0,INDEX('Your Debts'!$D$5:$D$12,'Your Debts'!$G$10)))</f>
        <v/>
      </c>
      <c r="AB64" s="28">
        <f>AA64+MIN((AC63)+Z64-AA64,MAX(0,$E64-((H64-G64)+(L64-K64)+(P64-O64)+(T64-S64)+(X64-W64))))</f>
        <v/>
      </c>
      <c r="AC64" s="28">
        <f>ROUND(MAX(0,(AC63)+Z64-AB64),2)</f>
        <v/>
      </c>
      <c r="AD64" s="28">
        <f>ROUND((AG63)*(IF('Your Debts'!$G$11=0,0,INDEX('Your Debts'!$C$5:$C$12,'Your Debts'!$G$11)/12)),2)</f>
        <v/>
      </c>
      <c r="AE64" s="28">
        <f>MIN((AG63)+AD64,IF('Your Debts'!$G$11=0,0,INDEX('Your Debts'!$D$5:$D$12,'Your Debts'!$G$11)))</f>
        <v/>
      </c>
      <c r="AF64" s="28">
        <f>AE64+MIN((AG63)+AD64-AE64,MAX(0,$E64-((H64-G64)+(L64-K64)+(P64-O64)+(T64-S64)+(X64-W64)+(AB64-AA64))))</f>
        <v/>
      </c>
      <c r="AG64" s="28">
        <f>ROUND(MAX(0,(AG63)+AD64-AF64),2)</f>
        <v/>
      </c>
      <c r="AH64" s="28">
        <f>ROUND((AK63)*(IF('Your Debts'!$G$12=0,0,INDEX('Your Debts'!$C$5:$C$12,'Your Debts'!$G$12)/12)),2)</f>
        <v/>
      </c>
      <c r="AI64" s="28">
        <f>MIN((AK63)+AH64,IF('Your Debts'!$G$12=0,0,INDEX('Your Debts'!$D$5:$D$12,'Your Debts'!$G$12)))</f>
        <v/>
      </c>
      <c r="AJ64" s="28">
        <f>AI64+MIN((AK63)+AH64-AI64,MAX(0,$E64-((H64-G64)+(L64-K64)+(P64-O64)+(T64-S64)+(X64-W64)+(AB64-AA64)+(AF64-AE64))))</f>
        <v/>
      </c>
      <c r="AK64" s="28">
        <f>ROUND(MAX(0,(AK63)+AH64-AJ64),2)</f>
        <v/>
      </c>
      <c r="AL64" s="18">
        <f>I64+M64+Q64+U64+Y64+AC64+AG64+AK64</f>
        <v/>
      </c>
      <c r="AM64" s="27">
        <f>AM63+F64+J64+N64+R64+V64+Z64+AD64+AH64</f>
        <v/>
      </c>
    </row>
    <row r="65">
      <c r="A65" s="25" t="n">
        <v>60</v>
      </c>
      <c r="B65" s="26">
        <f>EDATE('Your Debts'!$B$19,59)</f>
        <v/>
      </c>
      <c r="C65" s="27">
        <f>'Your Debts'!$B$18</f>
        <v/>
      </c>
      <c r="D65" s="27">
        <f>G65+K65+O65+S65+W65+AA65+AE65+AI65</f>
        <v/>
      </c>
      <c r="E65" s="27">
        <f>MAX(0,C65-D65)</f>
        <v/>
      </c>
      <c r="F65" s="28">
        <f>ROUND((I64)*(IF('Your Debts'!$G$5=0,0,INDEX('Your Debts'!$C$5:$C$12,'Your Debts'!$G$5)/12)),2)</f>
        <v/>
      </c>
      <c r="G65" s="28">
        <f>MIN((I64)+F65,IF('Your Debts'!$G$5=0,0,INDEX('Your Debts'!$D$5:$D$12,'Your Debts'!$G$5)))</f>
        <v/>
      </c>
      <c r="H65" s="28">
        <f>G65+MIN((I64)+F65-G65,MAX(0,$E65-(0)))</f>
        <v/>
      </c>
      <c r="I65" s="28">
        <f>ROUND(MAX(0,(I64)+F65-H65),2)</f>
        <v/>
      </c>
      <c r="J65" s="28">
        <f>ROUND((M64)*(IF('Your Debts'!$G$6=0,0,INDEX('Your Debts'!$C$5:$C$12,'Your Debts'!$G$6)/12)),2)</f>
        <v/>
      </c>
      <c r="K65" s="28">
        <f>MIN((M64)+J65,IF('Your Debts'!$G$6=0,0,INDEX('Your Debts'!$D$5:$D$12,'Your Debts'!$G$6)))</f>
        <v/>
      </c>
      <c r="L65" s="28">
        <f>K65+MIN((M64)+J65-K65,MAX(0,$E65-((H65-G65))))</f>
        <v/>
      </c>
      <c r="M65" s="28">
        <f>ROUND(MAX(0,(M64)+J65-L65),2)</f>
        <v/>
      </c>
      <c r="N65" s="28">
        <f>ROUND((Q64)*(IF('Your Debts'!$G$7=0,0,INDEX('Your Debts'!$C$5:$C$12,'Your Debts'!$G$7)/12)),2)</f>
        <v/>
      </c>
      <c r="O65" s="28">
        <f>MIN((Q64)+N65,IF('Your Debts'!$G$7=0,0,INDEX('Your Debts'!$D$5:$D$12,'Your Debts'!$G$7)))</f>
        <v/>
      </c>
      <c r="P65" s="28">
        <f>O65+MIN((Q64)+N65-O65,MAX(0,$E65-((H65-G65)+(L65-K65))))</f>
        <v/>
      </c>
      <c r="Q65" s="28">
        <f>ROUND(MAX(0,(Q64)+N65-P65),2)</f>
        <v/>
      </c>
      <c r="R65" s="28">
        <f>ROUND((U64)*(IF('Your Debts'!$G$8=0,0,INDEX('Your Debts'!$C$5:$C$12,'Your Debts'!$G$8)/12)),2)</f>
        <v/>
      </c>
      <c r="S65" s="28">
        <f>MIN((U64)+R65,IF('Your Debts'!$G$8=0,0,INDEX('Your Debts'!$D$5:$D$12,'Your Debts'!$G$8)))</f>
        <v/>
      </c>
      <c r="T65" s="28">
        <f>S65+MIN((U64)+R65-S65,MAX(0,$E65-((H65-G65)+(L65-K65)+(P65-O65))))</f>
        <v/>
      </c>
      <c r="U65" s="28">
        <f>ROUND(MAX(0,(U64)+R65-T65),2)</f>
        <v/>
      </c>
      <c r="V65" s="28">
        <f>ROUND((Y64)*(IF('Your Debts'!$G$9=0,0,INDEX('Your Debts'!$C$5:$C$12,'Your Debts'!$G$9)/12)),2)</f>
        <v/>
      </c>
      <c r="W65" s="28">
        <f>MIN((Y64)+V65,IF('Your Debts'!$G$9=0,0,INDEX('Your Debts'!$D$5:$D$12,'Your Debts'!$G$9)))</f>
        <v/>
      </c>
      <c r="X65" s="28">
        <f>W65+MIN((Y64)+V65-W65,MAX(0,$E65-((H65-G65)+(L65-K65)+(P65-O65)+(T65-S65))))</f>
        <v/>
      </c>
      <c r="Y65" s="28">
        <f>ROUND(MAX(0,(Y64)+V65-X65),2)</f>
        <v/>
      </c>
      <c r="Z65" s="28">
        <f>ROUND((AC64)*(IF('Your Debts'!$G$10=0,0,INDEX('Your Debts'!$C$5:$C$12,'Your Debts'!$G$10)/12)),2)</f>
        <v/>
      </c>
      <c r="AA65" s="28">
        <f>MIN((AC64)+Z65,IF('Your Debts'!$G$10=0,0,INDEX('Your Debts'!$D$5:$D$12,'Your Debts'!$G$10)))</f>
        <v/>
      </c>
      <c r="AB65" s="28">
        <f>AA65+MIN((AC64)+Z65-AA65,MAX(0,$E65-((H65-G65)+(L65-K65)+(P65-O65)+(T65-S65)+(X65-W65))))</f>
        <v/>
      </c>
      <c r="AC65" s="28">
        <f>ROUND(MAX(0,(AC64)+Z65-AB65),2)</f>
        <v/>
      </c>
      <c r="AD65" s="28">
        <f>ROUND((AG64)*(IF('Your Debts'!$G$11=0,0,INDEX('Your Debts'!$C$5:$C$12,'Your Debts'!$G$11)/12)),2)</f>
        <v/>
      </c>
      <c r="AE65" s="28">
        <f>MIN((AG64)+AD65,IF('Your Debts'!$G$11=0,0,INDEX('Your Debts'!$D$5:$D$12,'Your Debts'!$G$11)))</f>
        <v/>
      </c>
      <c r="AF65" s="28">
        <f>AE65+MIN((AG64)+AD65-AE65,MAX(0,$E65-((H65-G65)+(L65-K65)+(P65-O65)+(T65-S65)+(X65-W65)+(AB65-AA65))))</f>
        <v/>
      </c>
      <c r="AG65" s="28">
        <f>ROUND(MAX(0,(AG64)+AD65-AF65),2)</f>
        <v/>
      </c>
      <c r="AH65" s="28">
        <f>ROUND((AK64)*(IF('Your Debts'!$G$12=0,0,INDEX('Your Debts'!$C$5:$C$12,'Your Debts'!$G$12)/12)),2)</f>
        <v/>
      </c>
      <c r="AI65" s="28">
        <f>MIN((AK64)+AH65,IF('Your Debts'!$G$12=0,0,INDEX('Your Debts'!$D$5:$D$12,'Your Debts'!$G$12)))</f>
        <v/>
      </c>
      <c r="AJ65" s="28">
        <f>AI65+MIN((AK64)+AH65-AI65,MAX(0,$E65-((H65-G65)+(L65-K65)+(P65-O65)+(T65-S65)+(X65-W65)+(AB65-AA65)+(AF65-AE65))))</f>
        <v/>
      </c>
      <c r="AK65" s="28">
        <f>ROUND(MAX(0,(AK64)+AH65-AJ65),2)</f>
        <v/>
      </c>
      <c r="AL65" s="18">
        <f>I65+M65+Q65+U65+Y65+AC65+AG65+AK65</f>
        <v/>
      </c>
      <c r="AM65" s="27">
        <f>AM64+F65+J65+N65+R65+V65+Z65+AD65+AH65</f>
        <v/>
      </c>
    </row>
    <row r="66">
      <c r="A66" s="25" t="n">
        <v>61</v>
      </c>
      <c r="B66" s="26">
        <f>EDATE('Your Debts'!$B$19,60)</f>
        <v/>
      </c>
      <c r="C66" s="27">
        <f>'Your Debts'!$B$18</f>
        <v/>
      </c>
      <c r="D66" s="27">
        <f>G66+K66+O66+S66+W66+AA66+AE66+AI66</f>
        <v/>
      </c>
      <c r="E66" s="27">
        <f>MAX(0,C66-D66)</f>
        <v/>
      </c>
      <c r="F66" s="28">
        <f>ROUND((I65)*(IF('Your Debts'!$G$5=0,0,INDEX('Your Debts'!$C$5:$C$12,'Your Debts'!$G$5)/12)),2)</f>
        <v/>
      </c>
      <c r="G66" s="28">
        <f>MIN((I65)+F66,IF('Your Debts'!$G$5=0,0,INDEX('Your Debts'!$D$5:$D$12,'Your Debts'!$G$5)))</f>
        <v/>
      </c>
      <c r="H66" s="28">
        <f>G66+MIN((I65)+F66-G66,MAX(0,$E66-(0)))</f>
        <v/>
      </c>
      <c r="I66" s="28">
        <f>ROUND(MAX(0,(I65)+F66-H66),2)</f>
        <v/>
      </c>
      <c r="J66" s="28">
        <f>ROUND((M65)*(IF('Your Debts'!$G$6=0,0,INDEX('Your Debts'!$C$5:$C$12,'Your Debts'!$G$6)/12)),2)</f>
        <v/>
      </c>
      <c r="K66" s="28">
        <f>MIN((M65)+J66,IF('Your Debts'!$G$6=0,0,INDEX('Your Debts'!$D$5:$D$12,'Your Debts'!$G$6)))</f>
        <v/>
      </c>
      <c r="L66" s="28">
        <f>K66+MIN((M65)+J66-K66,MAX(0,$E66-((H66-G66))))</f>
        <v/>
      </c>
      <c r="M66" s="28">
        <f>ROUND(MAX(0,(M65)+J66-L66),2)</f>
        <v/>
      </c>
      <c r="N66" s="28">
        <f>ROUND((Q65)*(IF('Your Debts'!$G$7=0,0,INDEX('Your Debts'!$C$5:$C$12,'Your Debts'!$G$7)/12)),2)</f>
        <v/>
      </c>
      <c r="O66" s="28">
        <f>MIN((Q65)+N66,IF('Your Debts'!$G$7=0,0,INDEX('Your Debts'!$D$5:$D$12,'Your Debts'!$G$7)))</f>
        <v/>
      </c>
      <c r="P66" s="28">
        <f>O66+MIN((Q65)+N66-O66,MAX(0,$E66-((H66-G66)+(L66-K66))))</f>
        <v/>
      </c>
      <c r="Q66" s="28">
        <f>ROUND(MAX(0,(Q65)+N66-P66),2)</f>
        <v/>
      </c>
      <c r="R66" s="28">
        <f>ROUND((U65)*(IF('Your Debts'!$G$8=0,0,INDEX('Your Debts'!$C$5:$C$12,'Your Debts'!$G$8)/12)),2)</f>
        <v/>
      </c>
      <c r="S66" s="28">
        <f>MIN((U65)+R66,IF('Your Debts'!$G$8=0,0,INDEX('Your Debts'!$D$5:$D$12,'Your Debts'!$G$8)))</f>
        <v/>
      </c>
      <c r="T66" s="28">
        <f>S66+MIN((U65)+R66-S66,MAX(0,$E66-((H66-G66)+(L66-K66)+(P66-O66))))</f>
        <v/>
      </c>
      <c r="U66" s="28">
        <f>ROUND(MAX(0,(U65)+R66-T66),2)</f>
        <v/>
      </c>
      <c r="V66" s="28">
        <f>ROUND((Y65)*(IF('Your Debts'!$G$9=0,0,INDEX('Your Debts'!$C$5:$C$12,'Your Debts'!$G$9)/12)),2)</f>
        <v/>
      </c>
      <c r="W66" s="28">
        <f>MIN((Y65)+V66,IF('Your Debts'!$G$9=0,0,INDEX('Your Debts'!$D$5:$D$12,'Your Debts'!$G$9)))</f>
        <v/>
      </c>
      <c r="X66" s="28">
        <f>W66+MIN((Y65)+V66-W66,MAX(0,$E66-((H66-G66)+(L66-K66)+(P66-O66)+(T66-S66))))</f>
        <v/>
      </c>
      <c r="Y66" s="28">
        <f>ROUND(MAX(0,(Y65)+V66-X66),2)</f>
        <v/>
      </c>
      <c r="Z66" s="28">
        <f>ROUND((AC65)*(IF('Your Debts'!$G$10=0,0,INDEX('Your Debts'!$C$5:$C$12,'Your Debts'!$G$10)/12)),2)</f>
        <v/>
      </c>
      <c r="AA66" s="28">
        <f>MIN((AC65)+Z66,IF('Your Debts'!$G$10=0,0,INDEX('Your Debts'!$D$5:$D$12,'Your Debts'!$G$10)))</f>
        <v/>
      </c>
      <c r="AB66" s="28">
        <f>AA66+MIN((AC65)+Z66-AA66,MAX(0,$E66-((H66-G66)+(L66-K66)+(P66-O66)+(T66-S66)+(X66-W66))))</f>
        <v/>
      </c>
      <c r="AC66" s="28">
        <f>ROUND(MAX(0,(AC65)+Z66-AB66),2)</f>
        <v/>
      </c>
      <c r="AD66" s="28">
        <f>ROUND((AG65)*(IF('Your Debts'!$G$11=0,0,INDEX('Your Debts'!$C$5:$C$12,'Your Debts'!$G$11)/12)),2)</f>
        <v/>
      </c>
      <c r="AE66" s="28">
        <f>MIN((AG65)+AD66,IF('Your Debts'!$G$11=0,0,INDEX('Your Debts'!$D$5:$D$12,'Your Debts'!$G$11)))</f>
        <v/>
      </c>
      <c r="AF66" s="28">
        <f>AE66+MIN((AG65)+AD66-AE66,MAX(0,$E66-((H66-G66)+(L66-K66)+(P66-O66)+(T66-S66)+(X66-W66)+(AB66-AA66))))</f>
        <v/>
      </c>
      <c r="AG66" s="28">
        <f>ROUND(MAX(0,(AG65)+AD66-AF66),2)</f>
        <v/>
      </c>
      <c r="AH66" s="28">
        <f>ROUND((AK65)*(IF('Your Debts'!$G$12=0,0,INDEX('Your Debts'!$C$5:$C$12,'Your Debts'!$G$12)/12)),2)</f>
        <v/>
      </c>
      <c r="AI66" s="28">
        <f>MIN((AK65)+AH66,IF('Your Debts'!$G$12=0,0,INDEX('Your Debts'!$D$5:$D$12,'Your Debts'!$G$12)))</f>
        <v/>
      </c>
      <c r="AJ66" s="28">
        <f>AI66+MIN((AK65)+AH66-AI66,MAX(0,$E66-((H66-G66)+(L66-K66)+(P66-O66)+(T66-S66)+(X66-W66)+(AB66-AA66)+(AF66-AE66))))</f>
        <v/>
      </c>
      <c r="AK66" s="28">
        <f>ROUND(MAX(0,(AK65)+AH66-AJ66),2)</f>
        <v/>
      </c>
      <c r="AL66" s="18">
        <f>I66+M66+Q66+U66+Y66+AC66+AG66+AK66</f>
        <v/>
      </c>
      <c r="AM66" s="27">
        <f>AM65+F66+J66+N66+R66+V66+Z66+AD66+AH66</f>
        <v/>
      </c>
    </row>
    <row r="67">
      <c r="A67" s="25" t="n">
        <v>62</v>
      </c>
      <c r="B67" s="26">
        <f>EDATE('Your Debts'!$B$19,61)</f>
        <v/>
      </c>
      <c r="C67" s="27">
        <f>'Your Debts'!$B$18</f>
        <v/>
      </c>
      <c r="D67" s="27">
        <f>G67+K67+O67+S67+W67+AA67+AE67+AI67</f>
        <v/>
      </c>
      <c r="E67" s="27">
        <f>MAX(0,C67-D67)</f>
        <v/>
      </c>
      <c r="F67" s="28">
        <f>ROUND((I66)*(IF('Your Debts'!$G$5=0,0,INDEX('Your Debts'!$C$5:$C$12,'Your Debts'!$G$5)/12)),2)</f>
        <v/>
      </c>
      <c r="G67" s="28">
        <f>MIN((I66)+F67,IF('Your Debts'!$G$5=0,0,INDEX('Your Debts'!$D$5:$D$12,'Your Debts'!$G$5)))</f>
        <v/>
      </c>
      <c r="H67" s="28">
        <f>G67+MIN((I66)+F67-G67,MAX(0,$E67-(0)))</f>
        <v/>
      </c>
      <c r="I67" s="28">
        <f>ROUND(MAX(0,(I66)+F67-H67),2)</f>
        <v/>
      </c>
      <c r="J67" s="28">
        <f>ROUND((M66)*(IF('Your Debts'!$G$6=0,0,INDEX('Your Debts'!$C$5:$C$12,'Your Debts'!$G$6)/12)),2)</f>
        <v/>
      </c>
      <c r="K67" s="28">
        <f>MIN((M66)+J67,IF('Your Debts'!$G$6=0,0,INDEX('Your Debts'!$D$5:$D$12,'Your Debts'!$G$6)))</f>
        <v/>
      </c>
      <c r="L67" s="28">
        <f>K67+MIN((M66)+J67-K67,MAX(0,$E67-((H67-G67))))</f>
        <v/>
      </c>
      <c r="M67" s="28">
        <f>ROUND(MAX(0,(M66)+J67-L67),2)</f>
        <v/>
      </c>
      <c r="N67" s="28">
        <f>ROUND((Q66)*(IF('Your Debts'!$G$7=0,0,INDEX('Your Debts'!$C$5:$C$12,'Your Debts'!$G$7)/12)),2)</f>
        <v/>
      </c>
      <c r="O67" s="28">
        <f>MIN((Q66)+N67,IF('Your Debts'!$G$7=0,0,INDEX('Your Debts'!$D$5:$D$12,'Your Debts'!$G$7)))</f>
        <v/>
      </c>
      <c r="P67" s="28">
        <f>O67+MIN((Q66)+N67-O67,MAX(0,$E67-((H67-G67)+(L67-K67))))</f>
        <v/>
      </c>
      <c r="Q67" s="28">
        <f>ROUND(MAX(0,(Q66)+N67-P67),2)</f>
        <v/>
      </c>
      <c r="R67" s="28">
        <f>ROUND((U66)*(IF('Your Debts'!$G$8=0,0,INDEX('Your Debts'!$C$5:$C$12,'Your Debts'!$G$8)/12)),2)</f>
        <v/>
      </c>
      <c r="S67" s="28">
        <f>MIN((U66)+R67,IF('Your Debts'!$G$8=0,0,INDEX('Your Debts'!$D$5:$D$12,'Your Debts'!$G$8)))</f>
        <v/>
      </c>
      <c r="T67" s="28">
        <f>S67+MIN((U66)+R67-S67,MAX(0,$E67-((H67-G67)+(L67-K67)+(P67-O67))))</f>
        <v/>
      </c>
      <c r="U67" s="28">
        <f>ROUND(MAX(0,(U66)+R67-T67),2)</f>
        <v/>
      </c>
      <c r="V67" s="28">
        <f>ROUND((Y66)*(IF('Your Debts'!$G$9=0,0,INDEX('Your Debts'!$C$5:$C$12,'Your Debts'!$G$9)/12)),2)</f>
        <v/>
      </c>
      <c r="W67" s="28">
        <f>MIN((Y66)+V67,IF('Your Debts'!$G$9=0,0,INDEX('Your Debts'!$D$5:$D$12,'Your Debts'!$G$9)))</f>
        <v/>
      </c>
      <c r="X67" s="28">
        <f>W67+MIN((Y66)+V67-W67,MAX(0,$E67-((H67-G67)+(L67-K67)+(P67-O67)+(T67-S67))))</f>
        <v/>
      </c>
      <c r="Y67" s="28">
        <f>ROUND(MAX(0,(Y66)+V67-X67),2)</f>
        <v/>
      </c>
      <c r="Z67" s="28">
        <f>ROUND((AC66)*(IF('Your Debts'!$G$10=0,0,INDEX('Your Debts'!$C$5:$C$12,'Your Debts'!$G$10)/12)),2)</f>
        <v/>
      </c>
      <c r="AA67" s="28">
        <f>MIN((AC66)+Z67,IF('Your Debts'!$G$10=0,0,INDEX('Your Debts'!$D$5:$D$12,'Your Debts'!$G$10)))</f>
        <v/>
      </c>
      <c r="AB67" s="28">
        <f>AA67+MIN((AC66)+Z67-AA67,MAX(0,$E67-((H67-G67)+(L67-K67)+(P67-O67)+(T67-S67)+(X67-W67))))</f>
        <v/>
      </c>
      <c r="AC67" s="28">
        <f>ROUND(MAX(0,(AC66)+Z67-AB67),2)</f>
        <v/>
      </c>
      <c r="AD67" s="28">
        <f>ROUND((AG66)*(IF('Your Debts'!$G$11=0,0,INDEX('Your Debts'!$C$5:$C$12,'Your Debts'!$G$11)/12)),2)</f>
        <v/>
      </c>
      <c r="AE67" s="28">
        <f>MIN((AG66)+AD67,IF('Your Debts'!$G$11=0,0,INDEX('Your Debts'!$D$5:$D$12,'Your Debts'!$G$11)))</f>
        <v/>
      </c>
      <c r="AF67" s="28">
        <f>AE67+MIN((AG66)+AD67-AE67,MAX(0,$E67-((H67-G67)+(L67-K67)+(P67-O67)+(T67-S67)+(X67-W67)+(AB67-AA67))))</f>
        <v/>
      </c>
      <c r="AG67" s="28">
        <f>ROUND(MAX(0,(AG66)+AD67-AF67),2)</f>
        <v/>
      </c>
      <c r="AH67" s="28">
        <f>ROUND((AK66)*(IF('Your Debts'!$G$12=0,0,INDEX('Your Debts'!$C$5:$C$12,'Your Debts'!$G$12)/12)),2)</f>
        <v/>
      </c>
      <c r="AI67" s="28">
        <f>MIN((AK66)+AH67,IF('Your Debts'!$G$12=0,0,INDEX('Your Debts'!$D$5:$D$12,'Your Debts'!$G$12)))</f>
        <v/>
      </c>
      <c r="AJ67" s="28">
        <f>AI67+MIN((AK66)+AH67-AI67,MAX(0,$E67-((H67-G67)+(L67-K67)+(P67-O67)+(T67-S67)+(X67-W67)+(AB67-AA67)+(AF67-AE67))))</f>
        <v/>
      </c>
      <c r="AK67" s="28">
        <f>ROUND(MAX(0,(AK66)+AH67-AJ67),2)</f>
        <v/>
      </c>
      <c r="AL67" s="18">
        <f>I67+M67+Q67+U67+Y67+AC67+AG67+AK67</f>
        <v/>
      </c>
      <c r="AM67" s="27">
        <f>AM66+F67+J67+N67+R67+V67+Z67+AD67+AH67</f>
        <v/>
      </c>
    </row>
    <row r="68">
      <c r="A68" s="25" t="n">
        <v>63</v>
      </c>
      <c r="B68" s="26">
        <f>EDATE('Your Debts'!$B$19,62)</f>
        <v/>
      </c>
      <c r="C68" s="27">
        <f>'Your Debts'!$B$18</f>
        <v/>
      </c>
      <c r="D68" s="27">
        <f>G68+K68+O68+S68+W68+AA68+AE68+AI68</f>
        <v/>
      </c>
      <c r="E68" s="27">
        <f>MAX(0,C68-D68)</f>
        <v/>
      </c>
      <c r="F68" s="28">
        <f>ROUND((I67)*(IF('Your Debts'!$G$5=0,0,INDEX('Your Debts'!$C$5:$C$12,'Your Debts'!$G$5)/12)),2)</f>
        <v/>
      </c>
      <c r="G68" s="28">
        <f>MIN((I67)+F68,IF('Your Debts'!$G$5=0,0,INDEX('Your Debts'!$D$5:$D$12,'Your Debts'!$G$5)))</f>
        <v/>
      </c>
      <c r="H68" s="28">
        <f>G68+MIN((I67)+F68-G68,MAX(0,$E68-(0)))</f>
        <v/>
      </c>
      <c r="I68" s="28">
        <f>ROUND(MAX(0,(I67)+F68-H68),2)</f>
        <v/>
      </c>
      <c r="J68" s="28">
        <f>ROUND((M67)*(IF('Your Debts'!$G$6=0,0,INDEX('Your Debts'!$C$5:$C$12,'Your Debts'!$G$6)/12)),2)</f>
        <v/>
      </c>
      <c r="K68" s="28">
        <f>MIN((M67)+J68,IF('Your Debts'!$G$6=0,0,INDEX('Your Debts'!$D$5:$D$12,'Your Debts'!$G$6)))</f>
        <v/>
      </c>
      <c r="L68" s="28">
        <f>K68+MIN((M67)+J68-K68,MAX(0,$E68-((H68-G68))))</f>
        <v/>
      </c>
      <c r="M68" s="28">
        <f>ROUND(MAX(0,(M67)+J68-L68),2)</f>
        <v/>
      </c>
      <c r="N68" s="28">
        <f>ROUND((Q67)*(IF('Your Debts'!$G$7=0,0,INDEX('Your Debts'!$C$5:$C$12,'Your Debts'!$G$7)/12)),2)</f>
        <v/>
      </c>
      <c r="O68" s="28">
        <f>MIN((Q67)+N68,IF('Your Debts'!$G$7=0,0,INDEX('Your Debts'!$D$5:$D$12,'Your Debts'!$G$7)))</f>
        <v/>
      </c>
      <c r="P68" s="28">
        <f>O68+MIN((Q67)+N68-O68,MAX(0,$E68-((H68-G68)+(L68-K68))))</f>
        <v/>
      </c>
      <c r="Q68" s="28">
        <f>ROUND(MAX(0,(Q67)+N68-P68),2)</f>
        <v/>
      </c>
      <c r="R68" s="28">
        <f>ROUND((U67)*(IF('Your Debts'!$G$8=0,0,INDEX('Your Debts'!$C$5:$C$12,'Your Debts'!$G$8)/12)),2)</f>
        <v/>
      </c>
      <c r="S68" s="28">
        <f>MIN((U67)+R68,IF('Your Debts'!$G$8=0,0,INDEX('Your Debts'!$D$5:$D$12,'Your Debts'!$G$8)))</f>
        <v/>
      </c>
      <c r="T68" s="28">
        <f>S68+MIN((U67)+R68-S68,MAX(0,$E68-((H68-G68)+(L68-K68)+(P68-O68))))</f>
        <v/>
      </c>
      <c r="U68" s="28">
        <f>ROUND(MAX(0,(U67)+R68-T68),2)</f>
        <v/>
      </c>
      <c r="V68" s="28">
        <f>ROUND((Y67)*(IF('Your Debts'!$G$9=0,0,INDEX('Your Debts'!$C$5:$C$12,'Your Debts'!$G$9)/12)),2)</f>
        <v/>
      </c>
      <c r="W68" s="28">
        <f>MIN((Y67)+V68,IF('Your Debts'!$G$9=0,0,INDEX('Your Debts'!$D$5:$D$12,'Your Debts'!$G$9)))</f>
        <v/>
      </c>
      <c r="X68" s="28">
        <f>W68+MIN((Y67)+V68-W68,MAX(0,$E68-((H68-G68)+(L68-K68)+(P68-O68)+(T68-S68))))</f>
        <v/>
      </c>
      <c r="Y68" s="28">
        <f>ROUND(MAX(0,(Y67)+V68-X68),2)</f>
        <v/>
      </c>
      <c r="Z68" s="28">
        <f>ROUND((AC67)*(IF('Your Debts'!$G$10=0,0,INDEX('Your Debts'!$C$5:$C$12,'Your Debts'!$G$10)/12)),2)</f>
        <v/>
      </c>
      <c r="AA68" s="28">
        <f>MIN((AC67)+Z68,IF('Your Debts'!$G$10=0,0,INDEX('Your Debts'!$D$5:$D$12,'Your Debts'!$G$10)))</f>
        <v/>
      </c>
      <c r="AB68" s="28">
        <f>AA68+MIN((AC67)+Z68-AA68,MAX(0,$E68-((H68-G68)+(L68-K68)+(P68-O68)+(T68-S68)+(X68-W68))))</f>
        <v/>
      </c>
      <c r="AC68" s="28">
        <f>ROUND(MAX(0,(AC67)+Z68-AB68),2)</f>
        <v/>
      </c>
      <c r="AD68" s="28">
        <f>ROUND((AG67)*(IF('Your Debts'!$G$11=0,0,INDEX('Your Debts'!$C$5:$C$12,'Your Debts'!$G$11)/12)),2)</f>
        <v/>
      </c>
      <c r="AE68" s="28">
        <f>MIN((AG67)+AD68,IF('Your Debts'!$G$11=0,0,INDEX('Your Debts'!$D$5:$D$12,'Your Debts'!$G$11)))</f>
        <v/>
      </c>
      <c r="AF68" s="28">
        <f>AE68+MIN((AG67)+AD68-AE68,MAX(0,$E68-((H68-G68)+(L68-K68)+(P68-O68)+(T68-S68)+(X68-W68)+(AB68-AA68))))</f>
        <v/>
      </c>
      <c r="AG68" s="28">
        <f>ROUND(MAX(0,(AG67)+AD68-AF68),2)</f>
        <v/>
      </c>
      <c r="AH68" s="28">
        <f>ROUND((AK67)*(IF('Your Debts'!$G$12=0,0,INDEX('Your Debts'!$C$5:$C$12,'Your Debts'!$G$12)/12)),2)</f>
        <v/>
      </c>
      <c r="AI68" s="28">
        <f>MIN((AK67)+AH68,IF('Your Debts'!$G$12=0,0,INDEX('Your Debts'!$D$5:$D$12,'Your Debts'!$G$12)))</f>
        <v/>
      </c>
      <c r="AJ68" s="28">
        <f>AI68+MIN((AK67)+AH68-AI68,MAX(0,$E68-((H68-G68)+(L68-K68)+(P68-O68)+(T68-S68)+(X68-W68)+(AB68-AA68)+(AF68-AE68))))</f>
        <v/>
      </c>
      <c r="AK68" s="28">
        <f>ROUND(MAX(0,(AK67)+AH68-AJ68),2)</f>
        <v/>
      </c>
      <c r="AL68" s="18">
        <f>I68+M68+Q68+U68+Y68+AC68+AG68+AK68</f>
        <v/>
      </c>
      <c r="AM68" s="27">
        <f>AM67+F68+J68+N68+R68+V68+Z68+AD68+AH68</f>
        <v/>
      </c>
    </row>
    <row r="69">
      <c r="A69" s="25" t="n">
        <v>64</v>
      </c>
      <c r="B69" s="26">
        <f>EDATE('Your Debts'!$B$19,63)</f>
        <v/>
      </c>
      <c r="C69" s="27">
        <f>'Your Debts'!$B$18</f>
        <v/>
      </c>
      <c r="D69" s="27">
        <f>G69+K69+O69+S69+W69+AA69+AE69+AI69</f>
        <v/>
      </c>
      <c r="E69" s="27">
        <f>MAX(0,C69-D69)</f>
        <v/>
      </c>
      <c r="F69" s="28">
        <f>ROUND((I68)*(IF('Your Debts'!$G$5=0,0,INDEX('Your Debts'!$C$5:$C$12,'Your Debts'!$G$5)/12)),2)</f>
        <v/>
      </c>
      <c r="G69" s="28">
        <f>MIN((I68)+F69,IF('Your Debts'!$G$5=0,0,INDEX('Your Debts'!$D$5:$D$12,'Your Debts'!$G$5)))</f>
        <v/>
      </c>
      <c r="H69" s="28">
        <f>G69+MIN((I68)+F69-G69,MAX(0,$E69-(0)))</f>
        <v/>
      </c>
      <c r="I69" s="28">
        <f>ROUND(MAX(0,(I68)+F69-H69),2)</f>
        <v/>
      </c>
      <c r="J69" s="28">
        <f>ROUND((M68)*(IF('Your Debts'!$G$6=0,0,INDEX('Your Debts'!$C$5:$C$12,'Your Debts'!$G$6)/12)),2)</f>
        <v/>
      </c>
      <c r="K69" s="28">
        <f>MIN((M68)+J69,IF('Your Debts'!$G$6=0,0,INDEX('Your Debts'!$D$5:$D$12,'Your Debts'!$G$6)))</f>
        <v/>
      </c>
      <c r="L69" s="28">
        <f>K69+MIN((M68)+J69-K69,MAX(0,$E69-((H69-G69))))</f>
        <v/>
      </c>
      <c r="M69" s="28">
        <f>ROUND(MAX(0,(M68)+J69-L69),2)</f>
        <v/>
      </c>
      <c r="N69" s="28">
        <f>ROUND((Q68)*(IF('Your Debts'!$G$7=0,0,INDEX('Your Debts'!$C$5:$C$12,'Your Debts'!$G$7)/12)),2)</f>
        <v/>
      </c>
      <c r="O69" s="28">
        <f>MIN((Q68)+N69,IF('Your Debts'!$G$7=0,0,INDEX('Your Debts'!$D$5:$D$12,'Your Debts'!$G$7)))</f>
        <v/>
      </c>
      <c r="P69" s="28">
        <f>O69+MIN((Q68)+N69-O69,MAX(0,$E69-((H69-G69)+(L69-K69))))</f>
        <v/>
      </c>
      <c r="Q69" s="28">
        <f>ROUND(MAX(0,(Q68)+N69-P69),2)</f>
        <v/>
      </c>
      <c r="R69" s="28">
        <f>ROUND((U68)*(IF('Your Debts'!$G$8=0,0,INDEX('Your Debts'!$C$5:$C$12,'Your Debts'!$G$8)/12)),2)</f>
        <v/>
      </c>
      <c r="S69" s="28">
        <f>MIN((U68)+R69,IF('Your Debts'!$G$8=0,0,INDEX('Your Debts'!$D$5:$D$12,'Your Debts'!$G$8)))</f>
        <v/>
      </c>
      <c r="T69" s="28">
        <f>S69+MIN((U68)+R69-S69,MAX(0,$E69-((H69-G69)+(L69-K69)+(P69-O69))))</f>
        <v/>
      </c>
      <c r="U69" s="28">
        <f>ROUND(MAX(0,(U68)+R69-T69),2)</f>
        <v/>
      </c>
      <c r="V69" s="28">
        <f>ROUND((Y68)*(IF('Your Debts'!$G$9=0,0,INDEX('Your Debts'!$C$5:$C$12,'Your Debts'!$G$9)/12)),2)</f>
        <v/>
      </c>
      <c r="W69" s="28">
        <f>MIN((Y68)+V69,IF('Your Debts'!$G$9=0,0,INDEX('Your Debts'!$D$5:$D$12,'Your Debts'!$G$9)))</f>
        <v/>
      </c>
      <c r="X69" s="28">
        <f>W69+MIN((Y68)+V69-W69,MAX(0,$E69-((H69-G69)+(L69-K69)+(P69-O69)+(T69-S69))))</f>
        <v/>
      </c>
      <c r="Y69" s="28">
        <f>ROUND(MAX(0,(Y68)+V69-X69),2)</f>
        <v/>
      </c>
      <c r="Z69" s="28">
        <f>ROUND((AC68)*(IF('Your Debts'!$G$10=0,0,INDEX('Your Debts'!$C$5:$C$12,'Your Debts'!$G$10)/12)),2)</f>
        <v/>
      </c>
      <c r="AA69" s="28">
        <f>MIN((AC68)+Z69,IF('Your Debts'!$G$10=0,0,INDEX('Your Debts'!$D$5:$D$12,'Your Debts'!$G$10)))</f>
        <v/>
      </c>
      <c r="AB69" s="28">
        <f>AA69+MIN((AC68)+Z69-AA69,MAX(0,$E69-((H69-G69)+(L69-K69)+(P69-O69)+(T69-S69)+(X69-W69))))</f>
        <v/>
      </c>
      <c r="AC69" s="28">
        <f>ROUND(MAX(0,(AC68)+Z69-AB69),2)</f>
        <v/>
      </c>
      <c r="AD69" s="28">
        <f>ROUND((AG68)*(IF('Your Debts'!$G$11=0,0,INDEX('Your Debts'!$C$5:$C$12,'Your Debts'!$G$11)/12)),2)</f>
        <v/>
      </c>
      <c r="AE69" s="28">
        <f>MIN((AG68)+AD69,IF('Your Debts'!$G$11=0,0,INDEX('Your Debts'!$D$5:$D$12,'Your Debts'!$G$11)))</f>
        <v/>
      </c>
      <c r="AF69" s="28">
        <f>AE69+MIN((AG68)+AD69-AE69,MAX(0,$E69-((H69-G69)+(L69-K69)+(P69-O69)+(T69-S69)+(X69-W69)+(AB69-AA69))))</f>
        <v/>
      </c>
      <c r="AG69" s="28">
        <f>ROUND(MAX(0,(AG68)+AD69-AF69),2)</f>
        <v/>
      </c>
      <c r="AH69" s="28">
        <f>ROUND((AK68)*(IF('Your Debts'!$G$12=0,0,INDEX('Your Debts'!$C$5:$C$12,'Your Debts'!$G$12)/12)),2)</f>
        <v/>
      </c>
      <c r="AI69" s="28">
        <f>MIN((AK68)+AH69,IF('Your Debts'!$G$12=0,0,INDEX('Your Debts'!$D$5:$D$12,'Your Debts'!$G$12)))</f>
        <v/>
      </c>
      <c r="AJ69" s="28">
        <f>AI69+MIN((AK68)+AH69-AI69,MAX(0,$E69-((H69-G69)+(L69-K69)+(P69-O69)+(T69-S69)+(X69-W69)+(AB69-AA69)+(AF69-AE69))))</f>
        <v/>
      </c>
      <c r="AK69" s="28">
        <f>ROUND(MAX(0,(AK68)+AH69-AJ69),2)</f>
        <v/>
      </c>
      <c r="AL69" s="18">
        <f>I69+M69+Q69+U69+Y69+AC69+AG69+AK69</f>
        <v/>
      </c>
      <c r="AM69" s="27">
        <f>AM68+F69+J69+N69+R69+V69+Z69+AD69+AH69</f>
        <v/>
      </c>
    </row>
    <row r="70">
      <c r="A70" s="25" t="n">
        <v>65</v>
      </c>
      <c r="B70" s="26">
        <f>EDATE('Your Debts'!$B$19,64)</f>
        <v/>
      </c>
      <c r="C70" s="27">
        <f>'Your Debts'!$B$18</f>
        <v/>
      </c>
      <c r="D70" s="27">
        <f>G70+K70+O70+S70+W70+AA70+AE70+AI70</f>
        <v/>
      </c>
      <c r="E70" s="27">
        <f>MAX(0,C70-D70)</f>
        <v/>
      </c>
      <c r="F70" s="28">
        <f>ROUND((I69)*(IF('Your Debts'!$G$5=0,0,INDEX('Your Debts'!$C$5:$C$12,'Your Debts'!$G$5)/12)),2)</f>
        <v/>
      </c>
      <c r="G70" s="28">
        <f>MIN((I69)+F70,IF('Your Debts'!$G$5=0,0,INDEX('Your Debts'!$D$5:$D$12,'Your Debts'!$G$5)))</f>
        <v/>
      </c>
      <c r="H70" s="28">
        <f>G70+MIN((I69)+F70-G70,MAX(0,$E70-(0)))</f>
        <v/>
      </c>
      <c r="I70" s="28">
        <f>ROUND(MAX(0,(I69)+F70-H70),2)</f>
        <v/>
      </c>
      <c r="J70" s="28">
        <f>ROUND((M69)*(IF('Your Debts'!$G$6=0,0,INDEX('Your Debts'!$C$5:$C$12,'Your Debts'!$G$6)/12)),2)</f>
        <v/>
      </c>
      <c r="K70" s="28">
        <f>MIN((M69)+J70,IF('Your Debts'!$G$6=0,0,INDEX('Your Debts'!$D$5:$D$12,'Your Debts'!$G$6)))</f>
        <v/>
      </c>
      <c r="L70" s="28">
        <f>K70+MIN((M69)+J70-K70,MAX(0,$E70-((H70-G70))))</f>
        <v/>
      </c>
      <c r="M70" s="28">
        <f>ROUND(MAX(0,(M69)+J70-L70),2)</f>
        <v/>
      </c>
      <c r="N70" s="28">
        <f>ROUND((Q69)*(IF('Your Debts'!$G$7=0,0,INDEX('Your Debts'!$C$5:$C$12,'Your Debts'!$G$7)/12)),2)</f>
        <v/>
      </c>
      <c r="O70" s="28">
        <f>MIN((Q69)+N70,IF('Your Debts'!$G$7=0,0,INDEX('Your Debts'!$D$5:$D$12,'Your Debts'!$G$7)))</f>
        <v/>
      </c>
      <c r="P70" s="28">
        <f>O70+MIN((Q69)+N70-O70,MAX(0,$E70-((H70-G70)+(L70-K70))))</f>
        <v/>
      </c>
      <c r="Q70" s="28">
        <f>ROUND(MAX(0,(Q69)+N70-P70),2)</f>
        <v/>
      </c>
      <c r="R70" s="28">
        <f>ROUND((U69)*(IF('Your Debts'!$G$8=0,0,INDEX('Your Debts'!$C$5:$C$12,'Your Debts'!$G$8)/12)),2)</f>
        <v/>
      </c>
      <c r="S70" s="28">
        <f>MIN((U69)+R70,IF('Your Debts'!$G$8=0,0,INDEX('Your Debts'!$D$5:$D$12,'Your Debts'!$G$8)))</f>
        <v/>
      </c>
      <c r="T70" s="28">
        <f>S70+MIN((U69)+R70-S70,MAX(0,$E70-((H70-G70)+(L70-K70)+(P70-O70))))</f>
        <v/>
      </c>
      <c r="U70" s="28">
        <f>ROUND(MAX(0,(U69)+R70-T70),2)</f>
        <v/>
      </c>
      <c r="V70" s="28">
        <f>ROUND((Y69)*(IF('Your Debts'!$G$9=0,0,INDEX('Your Debts'!$C$5:$C$12,'Your Debts'!$G$9)/12)),2)</f>
        <v/>
      </c>
      <c r="W70" s="28">
        <f>MIN((Y69)+V70,IF('Your Debts'!$G$9=0,0,INDEX('Your Debts'!$D$5:$D$12,'Your Debts'!$G$9)))</f>
        <v/>
      </c>
      <c r="X70" s="28">
        <f>W70+MIN((Y69)+V70-W70,MAX(0,$E70-((H70-G70)+(L70-K70)+(P70-O70)+(T70-S70))))</f>
        <v/>
      </c>
      <c r="Y70" s="28">
        <f>ROUND(MAX(0,(Y69)+V70-X70),2)</f>
        <v/>
      </c>
      <c r="Z70" s="28">
        <f>ROUND((AC69)*(IF('Your Debts'!$G$10=0,0,INDEX('Your Debts'!$C$5:$C$12,'Your Debts'!$G$10)/12)),2)</f>
        <v/>
      </c>
      <c r="AA70" s="28">
        <f>MIN((AC69)+Z70,IF('Your Debts'!$G$10=0,0,INDEX('Your Debts'!$D$5:$D$12,'Your Debts'!$G$10)))</f>
        <v/>
      </c>
      <c r="AB70" s="28">
        <f>AA70+MIN((AC69)+Z70-AA70,MAX(0,$E70-((H70-G70)+(L70-K70)+(P70-O70)+(T70-S70)+(X70-W70))))</f>
        <v/>
      </c>
      <c r="AC70" s="28">
        <f>ROUND(MAX(0,(AC69)+Z70-AB70),2)</f>
        <v/>
      </c>
      <c r="AD70" s="28">
        <f>ROUND((AG69)*(IF('Your Debts'!$G$11=0,0,INDEX('Your Debts'!$C$5:$C$12,'Your Debts'!$G$11)/12)),2)</f>
        <v/>
      </c>
      <c r="AE70" s="28">
        <f>MIN((AG69)+AD70,IF('Your Debts'!$G$11=0,0,INDEX('Your Debts'!$D$5:$D$12,'Your Debts'!$G$11)))</f>
        <v/>
      </c>
      <c r="AF70" s="28">
        <f>AE70+MIN((AG69)+AD70-AE70,MAX(0,$E70-((H70-G70)+(L70-K70)+(P70-O70)+(T70-S70)+(X70-W70)+(AB70-AA70))))</f>
        <v/>
      </c>
      <c r="AG70" s="28">
        <f>ROUND(MAX(0,(AG69)+AD70-AF70),2)</f>
        <v/>
      </c>
      <c r="AH70" s="28">
        <f>ROUND((AK69)*(IF('Your Debts'!$G$12=0,0,INDEX('Your Debts'!$C$5:$C$12,'Your Debts'!$G$12)/12)),2)</f>
        <v/>
      </c>
      <c r="AI70" s="28">
        <f>MIN((AK69)+AH70,IF('Your Debts'!$G$12=0,0,INDEX('Your Debts'!$D$5:$D$12,'Your Debts'!$G$12)))</f>
        <v/>
      </c>
      <c r="AJ70" s="28">
        <f>AI70+MIN((AK69)+AH70-AI70,MAX(0,$E70-((H70-G70)+(L70-K70)+(P70-O70)+(T70-S70)+(X70-W70)+(AB70-AA70)+(AF70-AE70))))</f>
        <v/>
      </c>
      <c r="AK70" s="28">
        <f>ROUND(MAX(0,(AK69)+AH70-AJ70),2)</f>
        <v/>
      </c>
      <c r="AL70" s="18">
        <f>I70+M70+Q70+U70+Y70+AC70+AG70+AK70</f>
        <v/>
      </c>
      <c r="AM70" s="27">
        <f>AM69+F70+J70+N70+R70+V70+Z70+AD70+AH70</f>
        <v/>
      </c>
    </row>
    <row r="71">
      <c r="A71" s="25" t="n">
        <v>66</v>
      </c>
      <c r="B71" s="26">
        <f>EDATE('Your Debts'!$B$19,65)</f>
        <v/>
      </c>
      <c r="C71" s="27">
        <f>'Your Debts'!$B$18</f>
        <v/>
      </c>
      <c r="D71" s="27">
        <f>G71+K71+O71+S71+W71+AA71+AE71+AI71</f>
        <v/>
      </c>
      <c r="E71" s="27">
        <f>MAX(0,C71-D71)</f>
        <v/>
      </c>
      <c r="F71" s="28">
        <f>ROUND((I70)*(IF('Your Debts'!$G$5=0,0,INDEX('Your Debts'!$C$5:$C$12,'Your Debts'!$G$5)/12)),2)</f>
        <v/>
      </c>
      <c r="G71" s="28">
        <f>MIN((I70)+F71,IF('Your Debts'!$G$5=0,0,INDEX('Your Debts'!$D$5:$D$12,'Your Debts'!$G$5)))</f>
        <v/>
      </c>
      <c r="H71" s="28">
        <f>G71+MIN((I70)+F71-G71,MAX(0,$E71-(0)))</f>
        <v/>
      </c>
      <c r="I71" s="28">
        <f>ROUND(MAX(0,(I70)+F71-H71),2)</f>
        <v/>
      </c>
      <c r="J71" s="28">
        <f>ROUND((M70)*(IF('Your Debts'!$G$6=0,0,INDEX('Your Debts'!$C$5:$C$12,'Your Debts'!$G$6)/12)),2)</f>
        <v/>
      </c>
      <c r="K71" s="28">
        <f>MIN((M70)+J71,IF('Your Debts'!$G$6=0,0,INDEX('Your Debts'!$D$5:$D$12,'Your Debts'!$G$6)))</f>
        <v/>
      </c>
      <c r="L71" s="28">
        <f>K71+MIN((M70)+J71-K71,MAX(0,$E71-((H71-G71))))</f>
        <v/>
      </c>
      <c r="M71" s="28">
        <f>ROUND(MAX(0,(M70)+J71-L71),2)</f>
        <v/>
      </c>
      <c r="N71" s="28">
        <f>ROUND((Q70)*(IF('Your Debts'!$G$7=0,0,INDEX('Your Debts'!$C$5:$C$12,'Your Debts'!$G$7)/12)),2)</f>
        <v/>
      </c>
      <c r="O71" s="28">
        <f>MIN((Q70)+N71,IF('Your Debts'!$G$7=0,0,INDEX('Your Debts'!$D$5:$D$12,'Your Debts'!$G$7)))</f>
        <v/>
      </c>
      <c r="P71" s="28">
        <f>O71+MIN((Q70)+N71-O71,MAX(0,$E71-((H71-G71)+(L71-K71))))</f>
        <v/>
      </c>
      <c r="Q71" s="28">
        <f>ROUND(MAX(0,(Q70)+N71-P71),2)</f>
        <v/>
      </c>
      <c r="R71" s="28">
        <f>ROUND((U70)*(IF('Your Debts'!$G$8=0,0,INDEX('Your Debts'!$C$5:$C$12,'Your Debts'!$G$8)/12)),2)</f>
        <v/>
      </c>
      <c r="S71" s="28">
        <f>MIN((U70)+R71,IF('Your Debts'!$G$8=0,0,INDEX('Your Debts'!$D$5:$D$12,'Your Debts'!$G$8)))</f>
        <v/>
      </c>
      <c r="T71" s="28">
        <f>S71+MIN((U70)+R71-S71,MAX(0,$E71-((H71-G71)+(L71-K71)+(P71-O71))))</f>
        <v/>
      </c>
      <c r="U71" s="28">
        <f>ROUND(MAX(0,(U70)+R71-T71),2)</f>
        <v/>
      </c>
      <c r="V71" s="28">
        <f>ROUND((Y70)*(IF('Your Debts'!$G$9=0,0,INDEX('Your Debts'!$C$5:$C$12,'Your Debts'!$G$9)/12)),2)</f>
        <v/>
      </c>
      <c r="W71" s="28">
        <f>MIN((Y70)+V71,IF('Your Debts'!$G$9=0,0,INDEX('Your Debts'!$D$5:$D$12,'Your Debts'!$G$9)))</f>
        <v/>
      </c>
      <c r="X71" s="28">
        <f>W71+MIN((Y70)+V71-W71,MAX(0,$E71-((H71-G71)+(L71-K71)+(P71-O71)+(T71-S71))))</f>
        <v/>
      </c>
      <c r="Y71" s="28">
        <f>ROUND(MAX(0,(Y70)+V71-X71),2)</f>
        <v/>
      </c>
      <c r="Z71" s="28">
        <f>ROUND((AC70)*(IF('Your Debts'!$G$10=0,0,INDEX('Your Debts'!$C$5:$C$12,'Your Debts'!$G$10)/12)),2)</f>
        <v/>
      </c>
      <c r="AA71" s="28">
        <f>MIN((AC70)+Z71,IF('Your Debts'!$G$10=0,0,INDEX('Your Debts'!$D$5:$D$12,'Your Debts'!$G$10)))</f>
        <v/>
      </c>
      <c r="AB71" s="28">
        <f>AA71+MIN((AC70)+Z71-AA71,MAX(0,$E71-((H71-G71)+(L71-K71)+(P71-O71)+(T71-S71)+(X71-W71))))</f>
        <v/>
      </c>
      <c r="AC71" s="28">
        <f>ROUND(MAX(0,(AC70)+Z71-AB71),2)</f>
        <v/>
      </c>
      <c r="AD71" s="28">
        <f>ROUND((AG70)*(IF('Your Debts'!$G$11=0,0,INDEX('Your Debts'!$C$5:$C$12,'Your Debts'!$G$11)/12)),2)</f>
        <v/>
      </c>
      <c r="AE71" s="28">
        <f>MIN((AG70)+AD71,IF('Your Debts'!$G$11=0,0,INDEX('Your Debts'!$D$5:$D$12,'Your Debts'!$G$11)))</f>
        <v/>
      </c>
      <c r="AF71" s="28">
        <f>AE71+MIN((AG70)+AD71-AE71,MAX(0,$E71-((H71-G71)+(L71-K71)+(P71-O71)+(T71-S71)+(X71-W71)+(AB71-AA71))))</f>
        <v/>
      </c>
      <c r="AG71" s="28">
        <f>ROUND(MAX(0,(AG70)+AD71-AF71),2)</f>
        <v/>
      </c>
      <c r="AH71" s="28">
        <f>ROUND((AK70)*(IF('Your Debts'!$G$12=0,0,INDEX('Your Debts'!$C$5:$C$12,'Your Debts'!$G$12)/12)),2)</f>
        <v/>
      </c>
      <c r="AI71" s="28">
        <f>MIN((AK70)+AH71,IF('Your Debts'!$G$12=0,0,INDEX('Your Debts'!$D$5:$D$12,'Your Debts'!$G$12)))</f>
        <v/>
      </c>
      <c r="AJ71" s="28">
        <f>AI71+MIN((AK70)+AH71-AI71,MAX(0,$E71-((H71-G71)+(L71-K71)+(P71-O71)+(T71-S71)+(X71-W71)+(AB71-AA71)+(AF71-AE71))))</f>
        <v/>
      </c>
      <c r="AK71" s="28">
        <f>ROUND(MAX(0,(AK70)+AH71-AJ71),2)</f>
        <v/>
      </c>
      <c r="AL71" s="18">
        <f>I71+M71+Q71+U71+Y71+AC71+AG71+AK71</f>
        <v/>
      </c>
      <c r="AM71" s="27">
        <f>AM70+F71+J71+N71+R71+V71+Z71+AD71+AH71</f>
        <v/>
      </c>
    </row>
    <row r="72">
      <c r="A72" s="25" t="n">
        <v>67</v>
      </c>
      <c r="B72" s="26">
        <f>EDATE('Your Debts'!$B$19,66)</f>
        <v/>
      </c>
      <c r="C72" s="27">
        <f>'Your Debts'!$B$18</f>
        <v/>
      </c>
      <c r="D72" s="27">
        <f>G72+K72+O72+S72+W72+AA72+AE72+AI72</f>
        <v/>
      </c>
      <c r="E72" s="27">
        <f>MAX(0,C72-D72)</f>
        <v/>
      </c>
      <c r="F72" s="28">
        <f>ROUND((I71)*(IF('Your Debts'!$G$5=0,0,INDEX('Your Debts'!$C$5:$C$12,'Your Debts'!$G$5)/12)),2)</f>
        <v/>
      </c>
      <c r="G72" s="28">
        <f>MIN((I71)+F72,IF('Your Debts'!$G$5=0,0,INDEX('Your Debts'!$D$5:$D$12,'Your Debts'!$G$5)))</f>
        <v/>
      </c>
      <c r="H72" s="28">
        <f>G72+MIN((I71)+F72-G72,MAX(0,$E72-(0)))</f>
        <v/>
      </c>
      <c r="I72" s="28">
        <f>ROUND(MAX(0,(I71)+F72-H72),2)</f>
        <v/>
      </c>
      <c r="J72" s="28">
        <f>ROUND((M71)*(IF('Your Debts'!$G$6=0,0,INDEX('Your Debts'!$C$5:$C$12,'Your Debts'!$G$6)/12)),2)</f>
        <v/>
      </c>
      <c r="K72" s="28">
        <f>MIN((M71)+J72,IF('Your Debts'!$G$6=0,0,INDEX('Your Debts'!$D$5:$D$12,'Your Debts'!$G$6)))</f>
        <v/>
      </c>
      <c r="L72" s="28">
        <f>K72+MIN((M71)+J72-K72,MAX(0,$E72-((H72-G72))))</f>
        <v/>
      </c>
      <c r="M72" s="28">
        <f>ROUND(MAX(0,(M71)+J72-L72),2)</f>
        <v/>
      </c>
      <c r="N72" s="28">
        <f>ROUND((Q71)*(IF('Your Debts'!$G$7=0,0,INDEX('Your Debts'!$C$5:$C$12,'Your Debts'!$G$7)/12)),2)</f>
        <v/>
      </c>
      <c r="O72" s="28">
        <f>MIN((Q71)+N72,IF('Your Debts'!$G$7=0,0,INDEX('Your Debts'!$D$5:$D$12,'Your Debts'!$G$7)))</f>
        <v/>
      </c>
      <c r="P72" s="28">
        <f>O72+MIN((Q71)+N72-O72,MAX(0,$E72-((H72-G72)+(L72-K72))))</f>
        <v/>
      </c>
      <c r="Q72" s="28">
        <f>ROUND(MAX(0,(Q71)+N72-P72),2)</f>
        <v/>
      </c>
      <c r="R72" s="28">
        <f>ROUND((U71)*(IF('Your Debts'!$G$8=0,0,INDEX('Your Debts'!$C$5:$C$12,'Your Debts'!$G$8)/12)),2)</f>
        <v/>
      </c>
      <c r="S72" s="28">
        <f>MIN((U71)+R72,IF('Your Debts'!$G$8=0,0,INDEX('Your Debts'!$D$5:$D$12,'Your Debts'!$G$8)))</f>
        <v/>
      </c>
      <c r="T72" s="28">
        <f>S72+MIN((U71)+R72-S72,MAX(0,$E72-((H72-G72)+(L72-K72)+(P72-O72))))</f>
        <v/>
      </c>
      <c r="U72" s="28">
        <f>ROUND(MAX(0,(U71)+R72-T72),2)</f>
        <v/>
      </c>
      <c r="V72" s="28">
        <f>ROUND((Y71)*(IF('Your Debts'!$G$9=0,0,INDEX('Your Debts'!$C$5:$C$12,'Your Debts'!$G$9)/12)),2)</f>
        <v/>
      </c>
      <c r="W72" s="28">
        <f>MIN((Y71)+V72,IF('Your Debts'!$G$9=0,0,INDEX('Your Debts'!$D$5:$D$12,'Your Debts'!$G$9)))</f>
        <v/>
      </c>
      <c r="X72" s="28">
        <f>W72+MIN((Y71)+V72-W72,MAX(0,$E72-((H72-G72)+(L72-K72)+(P72-O72)+(T72-S72))))</f>
        <v/>
      </c>
      <c r="Y72" s="28">
        <f>ROUND(MAX(0,(Y71)+V72-X72),2)</f>
        <v/>
      </c>
      <c r="Z72" s="28">
        <f>ROUND((AC71)*(IF('Your Debts'!$G$10=0,0,INDEX('Your Debts'!$C$5:$C$12,'Your Debts'!$G$10)/12)),2)</f>
        <v/>
      </c>
      <c r="AA72" s="28">
        <f>MIN((AC71)+Z72,IF('Your Debts'!$G$10=0,0,INDEX('Your Debts'!$D$5:$D$12,'Your Debts'!$G$10)))</f>
        <v/>
      </c>
      <c r="AB72" s="28">
        <f>AA72+MIN((AC71)+Z72-AA72,MAX(0,$E72-((H72-G72)+(L72-K72)+(P72-O72)+(T72-S72)+(X72-W72))))</f>
        <v/>
      </c>
      <c r="AC72" s="28">
        <f>ROUND(MAX(0,(AC71)+Z72-AB72),2)</f>
        <v/>
      </c>
      <c r="AD72" s="28">
        <f>ROUND((AG71)*(IF('Your Debts'!$G$11=0,0,INDEX('Your Debts'!$C$5:$C$12,'Your Debts'!$G$11)/12)),2)</f>
        <v/>
      </c>
      <c r="AE72" s="28">
        <f>MIN((AG71)+AD72,IF('Your Debts'!$G$11=0,0,INDEX('Your Debts'!$D$5:$D$12,'Your Debts'!$G$11)))</f>
        <v/>
      </c>
      <c r="AF72" s="28">
        <f>AE72+MIN((AG71)+AD72-AE72,MAX(0,$E72-((H72-G72)+(L72-K72)+(P72-O72)+(T72-S72)+(X72-W72)+(AB72-AA72))))</f>
        <v/>
      </c>
      <c r="AG72" s="28">
        <f>ROUND(MAX(0,(AG71)+AD72-AF72),2)</f>
        <v/>
      </c>
      <c r="AH72" s="28">
        <f>ROUND((AK71)*(IF('Your Debts'!$G$12=0,0,INDEX('Your Debts'!$C$5:$C$12,'Your Debts'!$G$12)/12)),2)</f>
        <v/>
      </c>
      <c r="AI72" s="28">
        <f>MIN((AK71)+AH72,IF('Your Debts'!$G$12=0,0,INDEX('Your Debts'!$D$5:$D$12,'Your Debts'!$G$12)))</f>
        <v/>
      </c>
      <c r="AJ72" s="28">
        <f>AI72+MIN((AK71)+AH72-AI72,MAX(0,$E72-((H72-G72)+(L72-K72)+(P72-O72)+(T72-S72)+(X72-W72)+(AB72-AA72)+(AF72-AE72))))</f>
        <v/>
      </c>
      <c r="AK72" s="28">
        <f>ROUND(MAX(0,(AK71)+AH72-AJ72),2)</f>
        <v/>
      </c>
      <c r="AL72" s="18">
        <f>I72+M72+Q72+U72+Y72+AC72+AG72+AK72</f>
        <v/>
      </c>
      <c r="AM72" s="27">
        <f>AM71+F72+J72+N72+R72+V72+Z72+AD72+AH72</f>
        <v/>
      </c>
    </row>
    <row r="73">
      <c r="A73" s="25" t="n">
        <v>68</v>
      </c>
      <c r="B73" s="26">
        <f>EDATE('Your Debts'!$B$19,67)</f>
        <v/>
      </c>
      <c r="C73" s="27">
        <f>'Your Debts'!$B$18</f>
        <v/>
      </c>
      <c r="D73" s="27">
        <f>G73+K73+O73+S73+W73+AA73+AE73+AI73</f>
        <v/>
      </c>
      <c r="E73" s="27">
        <f>MAX(0,C73-D73)</f>
        <v/>
      </c>
      <c r="F73" s="28">
        <f>ROUND((I72)*(IF('Your Debts'!$G$5=0,0,INDEX('Your Debts'!$C$5:$C$12,'Your Debts'!$G$5)/12)),2)</f>
        <v/>
      </c>
      <c r="G73" s="28">
        <f>MIN((I72)+F73,IF('Your Debts'!$G$5=0,0,INDEX('Your Debts'!$D$5:$D$12,'Your Debts'!$G$5)))</f>
        <v/>
      </c>
      <c r="H73" s="28">
        <f>G73+MIN((I72)+F73-G73,MAX(0,$E73-(0)))</f>
        <v/>
      </c>
      <c r="I73" s="28">
        <f>ROUND(MAX(0,(I72)+F73-H73),2)</f>
        <v/>
      </c>
      <c r="J73" s="28">
        <f>ROUND((M72)*(IF('Your Debts'!$G$6=0,0,INDEX('Your Debts'!$C$5:$C$12,'Your Debts'!$G$6)/12)),2)</f>
        <v/>
      </c>
      <c r="K73" s="28">
        <f>MIN((M72)+J73,IF('Your Debts'!$G$6=0,0,INDEX('Your Debts'!$D$5:$D$12,'Your Debts'!$G$6)))</f>
        <v/>
      </c>
      <c r="L73" s="28">
        <f>K73+MIN((M72)+J73-K73,MAX(0,$E73-((H73-G73))))</f>
        <v/>
      </c>
      <c r="M73" s="28">
        <f>ROUND(MAX(0,(M72)+J73-L73),2)</f>
        <v/>
      </c>
      <c r="N73" s="28">
        <f>ROUND((Q72)*(IF('Your Debts'!$G$7=0,0,INDEX('Your Debts'!$C$5:$C$12,'Your Debts'!$G$7)/12)),2)</f>
        <v/>
      </c>
      <c r="O73" s="28">
        <f>MIN((Q72)+N73,IF('Your Debts'!$G$7=0,0,INDEX('Your Debts'!$D$5:$D$12,'Your Debts'!$G$7)))</f>
        <v/>
      </c>
      <c r="P73" s="28">
        <f>O73+MIN((Q72)+N73-O73,MAX(0,$E73-((H73-G73)+(L73-K73))))</f>
        <v/>
      </c>
      <c r="Q73" s="28">
        <f>ROUND(MAX(0,(Q72)+N73-P73),2)</f>
        <v/>
      </c>
      <c r="R73" s="28">
        <f>ROUND((U72)*(IF('Your Debts'!$G$8=0,0,INDEX('Your Debts'!$C$5:$C$12,'Your Debts'!$G$8)/12)),2)</f>
        <v/>
      </c>
      <c r="S73" s="28">
        <f>MIN((U72)+R73,IF('Your Debts'!$G$8=0,0,INDEX('Your Debts'!$D$5:$D$12,'Your Debts'!$G$8)))</f>
        <v/>
      </c>
      <c r="T73" s="28">
        <f>S73+MIN((U72)+R73-S73,MAX(0,$E73-((H73-G73)+(L73-K73)+(P73-O73))))</f>
        <v/>
      </c>
      <c r="U73" s="28">
        <f>ROUND(MAX(0,(U72)+R73-T73),2)</f>
        <v/>
      </c>
      <c r="V73" s="28">
        <f>ROUND((Y72)*(IF('Your Debts'!$G$9=0,0,INDEX('Your Debts'!$C$5:$C$12,'Your Debts'!$G$9)/12)),2)</f>
        <v/>
      </c>
      <c r="W73" s="28">
        <f>MIN((Y72)+V73,IF('Your Debts'!$G$9=0,0,INDEX('Your Debts'!$D$5:$D$12,'Your Debts'!$G$9)))</f>
        <v/>
      </c>
      <c r="X73" s="28">
        <f>W73+MIN((Y72)+V73-W73,MAX(0,$E73-((H73-G73)+(L73-K73)+(P73-O73)+(T73-S73))))</f>
        <v/>
      </c>
      <c r="Y73" s="28">
        <f>ROUND(MAX(0,(Y72)+V73-X73),2)</f>
        <v/>
      </c>
      <c r="Z73" s="28">
        <f>ROUND((AC72)*(IF('Your Debts'!$G$10=0,0,INDEX('Your Debts'!$C$5:$C$12,'Your Debts'!$G$10)/12)),2)</f>
        <v/>
      </c>
      <c r="AA73" s="28">
        <f>MIN((AC72)+Z73,IF('Your Debts'!$G$10=0,0,INDEX('Your Debts'!$D$5:$D$12,'Your Debts'!$G$10)))</f>
        <v/>
      </c>
      <c r="AB73" s="28">
        <f>AA73+MIN((AC72)+Z73-AA73,MAX(0,$E73-((H73-G73)+(L73-K73)+(P73-O73)+(T73-S73)+(X73-W73))))</f>
        <v/>
      </c>
      <c r="AC73" s="28">
        <f>ROUND(MAX(0,(AC72)+Z73-AB73),2)</f>
        <v/>
      </c>
      <c r="AD73" s="28">
        <f>ROUND((AG72)*(IF('Your Debts'!$G$11=0,0,INDEX('Your Debts'!$C$5:$C$12,'Your Debts'!$G$11)/12)),2)</f>
        <v/>
      </c>
      <c r="AE73" s="28">
        <f>MIN((AG72)+AD73,IF('Your Debts'!$G$11=0,0,INDEX('Your Debts'!$D$5:$D$12,'Your Debts'!$G$11)))</f>
        <v/>
      </c>
      <c r="AF73" s="28">
        <f>AE73+MIN((AG72)+AD73-AE73,MAX(0,$E73-((H73-G73)+(L73-K73)+(P73-O73)+(T73-S73)+(X73-W73)+(AB73-AA73))))</f>
        <v/>
      </c>
      <c r="AG73" s="28">
        <f>ROUND(MAX(0,(AG72)+AD73-AF73),2)</f>
        <v/>
      </c>
      <c r="AH73" s="28">
        <f>ROUND((AK72)*(IF('Your Debts'!$G$12=0,0,INDEX('Your Debts'!$C$5:$C$12,'Your Debts'!$G$12)/12)),2)</f>
        <v/>
      </c>
      <c r="AI73" s="28">
        <f>MIN((AK72)+AH73,IF('Your Debts'!$G$12=0,0,INDEX('Your Debts'!$D$5:$D$12,'Your Debts'!$G$12)))</f>
        <v/>
      </c>
      <c r="AJ73" s="28">
        <f>AI73+MIN((AK72)+AH73-AI73,MAX(0,$E73-((H73-G73)+(L73-K73)+(P73-O73)+(T73-S73)+(X73-W73)+(AB73-AA73)+(AF73-AE73))))</f>
        <v/>
      </c>
      <c r="AK73" s="28">
        <f>ROUND(MAX(0,(AK72)+AH73-AJ73),2)</f>
        <v/>
      </c>
      <c r="AL73" s="18">
        <f>I73+M73+Q73+U73+Y73+AC73+AG73+AK73</f>
        <v/>
      </c>
      <c r="AM73" s="27">
        <f>AM72+F73+J73+N73+R73+V73+Z73+AD73+AH73</f>
        <v/>
      </c>
    </row>
    <row r="74">
      <c r="A74" s="25" t="n">
        <v>69</v>
      </c>
      <c r="B74" s="26">
        <f>EDATE('Your Debts'!$B$19,68)</f>
        <v/>
      </c>
      <c r="C74" s="27">
        <f>'Your Debts'!$B$18</f>
        <v/>
      </c>
      <c r="D74" s="27">
        <f>G74+K74+O74+S74+W74+AA74+AE74+AI74</f>
        <v/>
      </c>
      <c r="E74" s="27">
        <f>MAX(0,C74-D74)</f>
        <v/>
      </c>
      <c r="F74" s="28">
        <f>ROUND((I73)*(IF('Your Debts'!$G$5=0,0,INDEX('Your Debts'!$C$5:$C$12,'Your Debts'!$G$5)/12)),2)</f>
        <v/>
      </c>
      <c r="G74" s="28">
        <f>MIN((I73)+F74,IF('Your Debts'!$G$5=0,0,INDEX('Your Debts'!$D$5:$D$12,'Your Debts'!$G$5)))</f>
        <v/>
      </c>
      <c r="H74" s="28">
        <f>G74+MIN((I73)+F74-G74,MAX(0,$E74-(0)))</f>
        <v/>
      </c>
      <c r="I74" s="28">
        <f>ROUND(MAX(0,(I73)+F74-H74),2)</f>
        <v/>
      </c>
      <c r="J74" s="28">
        <f>ROUND((M73)*(IF('Your Debts'!$G$6=0,0,INDEX('Your Debts'!$C$5:$C$12,'Your Debts'!$G$6)/12)),2)</f>
        <v/>
      </c>
      <c r="K74" s="28">
        <f>MIN((M73)+J74,IF('Your Debts'!$G$6=0,0,INDEX('Your Debts'!$D$5:$D$12,'Your Debts'!$G$6)))</f>
        <v/>
      </c>
      <c r="L74" s="28">
        <f>K74+MIN((M73)+J74-K74,MAX(0,$E74-((H74-G74))))</f>
        <v/>
      </c>
      <c r="M74" s="28">
        <f>ROUND(MAX(0,(M73)+J74-L74),2)</f>
        <v/>
      </c>
      <c r="N74" s="28">
        <f>ROUND((Q73)*(IF('Your Debts'!$G$7=0,0,INDEX('Your Debts'!$C$5:$C$12,'Your Debts'!$G$7)/12)),2)</f>
        <v/>
      </c>
      <c r="O74" s="28">
        <f>MIN((Q73)+N74,IF('Your Debts'!$G$7=0,0,INDEX('Your Debts'!$D$5:$D$12,'Your Debts'!$G$7)))</f>
        <v/>
      </c>
      <c r="P74" s="28">
        <f>O74+MIN((Q73)+N74-O74,MAX(0,$E74-((H74-G74)+(L74-K74))))</f>
        <v/>
      </c>
      <c r="Q74" s="28">
        <f>ROUND(MAX(0,(Q73)+N74-P74),2)</f>
        <v/>
      </c>
      <c r="R74" s="28">
        <f>ROUND((U73)*(IF('Your Debts'!$G$8=0,0,INDEX('Your Debts'!$C$5:$C$12,'Your Debts'!$G$8)/12)),2)</f>
        <v/>
      </c>
      <c r="S74" s="28">
        <f>MIN((U73)+R74,IF('Your Debts'!$G$8=0,0,INDEX('Your Debts'!$D$5:$D$12,'Your Debts'!$G$8)))</f>
        <v/>
      </c>
      <c r="T74" s="28">
        <f>S74+MIN((U73)+R74-S74,MAX(0,$E74-((H74-G74)+(L74-K74)+(P74-O74))))</f>
        <v/>
      </c>
      <c r="U74" s="28">
        <f>ROUND(MAX(0,(U73)+R74-T74),2)</f>
        <v/>
      </c>
      <c r="V74" s="28">
        <f>ROUND((Y73)*(IF('Your Debts'!$G$9=0,0,INDEX('Your Debts'!$C$5:$C$12,'Your Debts'!$G$9)/12)),2)</f>
        <v/>
      </c>
      <c r="W74" s="28">
        <f>MIN((Y73)+V74,IF('Your Debts'!$G$9=0,0,INDEX('Your Debts'!$D$5:$D$12,'Your Debts'!$G$9)))</f>
        <v/>
      </c>
      <c r="X74" s="28">
        <f>W74+MIN((Y73)+V74-W74,MAX(0,$E74-((H74-G74)+(L74-K74)+(P74-O74)+(T74-S74))))</f>
        <v/>
      </c>
      <c r="Y74" s="28">
        <f>ROUND(MAX(0,(Y73)+V74-X74),2)</f>
        <v/>
      </c>
      <c r="Z74" s="28">
        <f>ROUND((AC73)*(IF('Your Debts'!$G$10=0,0,INDEX('Your Debts'!$C$5:$C$12,'Your Debts'!$G$10)/12)),2)</f>
        <v/>
      </c>
      <c r="AA74" s="28">
        <f>MIN((AC73)+Z74,IF('Your Debts'!$G$10=0,0,INDEX('Your Debts'!$D$5:$D$12,'Your Debts'!$G$10)))</f>
        <v/>
      </c>
      <c r="AB74" s="28">
        <f>AA74+MIN((AC73)+Z74-AA74,MAX(0,$E74-((H74-G74)+(L74-K74)+(P74-O74)+(T74-S74)+(X74-W74))))</f>
        <v/>
      </c>
      <c r="AC74" s="28">
        <f>ROUND(MAX(0,(AC73)+Z74-AB74),2)</f>
        <v/>
      </c>
      <c r="AD74" s="28">
        <f>ROUND((AG73)*(IF('Your Debts'!$G$11=0,0,INDEX('Your Debts'!$C$5:$C$12,'Your Debts'!$G$11)/12)),2)</f>
        <v/>
      </c>
      <c r="AE74" s="28">
        <f>MIN((AG73)+AD74,IF('Your Debts'!$G$11=0,0,INDEX('Your Debts'!$D$5:$D$12,'Your Debts'!$G$11)))</f>
        <v/>
      </c>
      <c r="AF74" s="28">
        <f>AE74+MIN((AG73)+AD74-AE74,MAX(0,$E74-((H74-G74)+(L74-K74)+(P74-O74)+(T74-S74)+(X74-W74)+(AB74-AA74))))</f>
        <v/>
      </c>
      <c r="AG74" s="28">
        <f>ROUND(MAX(0,(AG73)+AD74-AF74),2)</f>
        <v/>
      </c>
      <c r="AH74" s="28">
        <f>ROUND((AK73)*(IF('Your Debts'!$G$12=0,0,INDEX('Your Debts'!$C$5:$C$12,'Your Debts'!$G$12)/12)),2)</f>
        <v/>
      </c>
      <c r="AI74" s="28">
        <f>MIN((AK73)+AH74,IF('Your Debts'!$G$12=0,0,INDEX('Your Debts'!$D$5:$D$12,'Your Debts'!$G$12)))</f>
        <v/>
      </c>
      <c r="AJ74" s="28">
        <f>AI74+MIN((AK73)+AH74-AI74,MAX(0,$E74-((H74-G74)+(L74-K74)+(P74-O74)+(T74-S74)+(X74-W74)+(AB74-AA74)+(AF74-AE74))))</f>
        <v/>
      </c>
      <c r="AK74" s="28">
        <f>ROUND(MAX(0,(AK73)+AH74-AJ74),2)</f>
        <v/>
      </c>
      <c r="AL74" s="18">
        <f>I74+M74+Q74+U74+Y74+AC74+AG74+AK74</f>
        <v/>
      </c>
      <c r="AM74" s="27">
        <f>AM73+F74+J74+N74+R74+V74+Z74+AD74+AH74</f>
        <v/>
      </c>
    </row>
    <row r="75">
      <c r="A75" s="25" t="n">
        <v>70</v>
      </c>
      <c r="B75" s="26">
        <f>EDATE('Your Debts'!$B$19,69)</f>
        <v/>
      </c>
      <c r="C75" s="27">
        <f>'Your Debts'!$B$18</f>
        <v/>
      </c>
      <c r="D75" s="27">
        <f>G75+K75+O75+S75+W75+AA75+AE75+AI75</f>
        <v/>
      </c>
      <c r="E75" s="27">
        <f>MAX(0,C75-D75)</f>
        <v/>
      </c>
      <c r="F75" s="28">
        <f>ROUND((I74)*(IF('Your Debts'!$G$5=0,0,INDEX('Your Debts'!$C$5:$C$12,'Your Debts'!$G$5)/12)),2)</f>
        <v/>
      </c>
      <c r="G75" s="28">
        <f>MIN((I74)+F75,IF('Your Debts'!$G$5=0,0,INDEX('Your Debts'!$D$5:$D$12,'Your Debts'!$G$5)))</f>
        <v/>
      </c>
      <c r="H75" s="28">
        <f>G75+MIN((I74)+F75-G75,MAX(0,$E75-(0)))</f>
        <v/>
      </c>
      <c r="I75" s="28">
        <f>ROUND(MAX(0,(I74)+F75-H75),2)</f>
        <v/>
      </c>
      <c r="J75" s="28">
        <f>ROUND((M74)*(IF('Your Debts'!$G$6=0,0,INDEX('Your Debts'!$C$5:$C$12,'Your Debts'!$G$6)/12)),2)</f>
        <v/>
      </c>
      <c r="K75" s="28">
        <f>MIN((M74)+J75,IF('Your Debts'!$G$6=0,0,INDEX('Your Debts'!$D$5:$D$12,'Your Debts'!$G$6)))</f>
        <v/>
      </c>
      <c r="L75" s="28">
        <f>K75+MIN((M74)+J75-K75,MAX(0,$E75-((H75-G75))))</f>
        <v/>
      </c>
      <c r="M75" s="28">
        <f>ROUND(MAX(0,(M74)+J75-L75),2)</f>
        <v/>
      </c>
      <c r="N75" s="28">
        <f>ROUND((Q74)*(IF('Your Debts'!$G$7=0,0,INDEX('Your Debts'!$C$5:$C$12,'Your Debts'!$G$7)/12)),2)</f>
        <v/>
      </c>
      <c r="O75" s="28">
        <f>MIN((Q74)+N75,IF('Your Debts'!$G$7=0,0,INDEX('Your Debts'!$D$5:$D$12,'Your Debts'!$G$7)))</f>
        <v/>
      </c>
      <c r="P75" s="28">
        <f>O75+MIN((Q74)+N75-O75,MAX(0,$E75-((H75-G75)+(L75-K75))))</f>
        <v/>
      </c>
      <c r="Q75" s="28">
        <f>ROUND(MAX(0,(Q74)+N75-P75),2)</f>
        <v/>
      </c>
      <c r="R75" s="28">
        <f>ROUND((U74)*(IF('Your Debts'!$G$8=0,0,INDEX('Your Debts'!$C$5:$C$12,'Your Debts'!$G$8)/12)),2)</f>
        <v/>
      </c>
      <c r="S75" s="28">
        <f>MIN((U74)+R75,IF('Your Debts'!$G$8=0,0,INDEX('Your Debts'!$D$5:$D$12,'Your Debts'!$G$8)))</f>
        <v/>
      </c>
      <c r="T75" s="28">
        <f>S75+MIN((U74)+R75-S75,MAX(0,$E75-((H75-G75)+(L75-K75)+(P75-O75))))</f>
        <v/>
      </c>
      <c r="U75" s="28">
        <f>ROUND(MAX(0,(U74)+R75-T75),2)</f>
        <v/>
      </c>
      <c r="V75" s="28">
        <f>ROUND((Y74)*(IF('Your Debts'!$G$9=0,0,INDEX('Your Debts'!$C$5:$C$12,'Your Debts'!$G$9)/12)),2)</f>
        <v/>
      </c>
      <c r="W75" s="28">
        <f>MIN((Y74)+V75,IF('Your Debts'!$G$9=0,0,INDEX('Your Debts'!$D$5:$D$12,'Your Debts'!$G$9)))</f>
        <v/>
      </c>
      <c r="X75" s="28">
        <f>W75+MIN((Y74)+V75-W75,MAX(0,$E75-((H75-G75)+(L75-K75)+(P75-O75)+(T75-S75))))</f>
        <v/>
      </c>
      <c r="Y75" s="28">
        <f>ROUND(MAX(0,(Y74)+V75-X75),2)</f>
        <v/>
      </c>
      <c r="Z75" s="28">
        <f>ROUND((AC74)*(IF('Your Debts'!$G$10=0,0,INDEX('Your Debts'!$C$5:$C$12,'Your Debts'!$G$10)/12)),2)</f>
        <v/>
      </c>
      <c r="AA75" s="28">
        <f>MIN((AC74)+Z75,IF('Your Debts'!$G$10=0,0,INDEX('Your Debts'!$D$5:$D$12,'Your Debts'!$G$10)))</f>
        <v/>
      </c>
      <c r="AB75" s="28">
        <f>AA75+MIN((AC74)+Z75-AA75,MAX(0,$E75-((H75-G75)+(L75-K75)+(P75-O75)+(T75-S75)+(X75-W75))))</f>
        <v/>
      </c>
      <c r="AC75" s="28">
        <f>ROUND(MAX(0,(AC74)+Z75-AB75),2)</f>
        <v/>
      </c>
      <c r="AD75" s="28">
        <f>ROUND((AG74)*(IF('Your Debts'!$G$11=0,0,INDEX('Your Debts'!$C$5:$C$12,'Your Debts'!$G$11)/12)),2)</f>
        <v/>
      </c>
      <c r="AE75" s="28">
        <f>MIN((AG74)+AD75,IF('Your Debts'!$G$11=0,0,INDEX('Your Debts'!$D$5:$D$12,'Your Debts'!$G$11)))</f>
        <v/>
      </c>
      <c r="AF75" s="28">
        <f>AE75+MIN((AG74)+AD75-AE75,MAX(0,$E75-((H75-G75)+(L75-K75)+(P75-O75)+(T75-S75)+(X75-W75)+(AB75-AA75))))</f>
        <v/>
      </c>
      <c r="AG75" s="28">
        <f>ROUND(MAX(0,(AG74)+AD75-AF75),2)</f>
        <v/>
      </c>
      <c r="AH75" s="28">
        <f>ROUND((AK74)*(IF('Your Debts'!$G$12=0,0,INDEX('Your Debts'!$C$5:$C$12,'Your Debts'!$G$12)/12)),2)</f>
        <v/>
      </c>
      <c r="AI75" s="28">
        <f>MIN((AK74)+AH75,IF('Your Debts'!$G$12=0,0,INDEX('Your Debts'!$D$5:$D$12,'Your Debts'!$G$12)))</f>
        <v/>
      </c>
      <c r="AJ75" s="28">
        <f>AI75+MIN((AK74)+AH75-AI75,MAX(0,$E75-((H75-G75)+(L75-K75)+(P75-O75)+(T75-S75)+(X75-W75)+(AB75-AA75)+(AF75-AE75))))</f>
        <v/>
      </c>
      <c r="AK75" s="28">
        <f>ROUND(MAX(0,(AK74)+AH75-AJ75),2)</f>
        <v/>
      </c>
      <c r="AL75" s="18">
        <f>I75+M75+Q75+U75+Y75+AC75+AG75+AK75</f>
        <v/>
      </c>
      <c r="AM75" s="27">
        <f>AM74+F75+J75+N75+R75+V75+Z75+AD75+AH75</f>
        <v/>
      </c>
    </row>
    <row r="76">
      <c r="A76" s="25" t="n">
        <v>71</v>
      </c>
      <c r="B76" s="26">
        <f>EDATE('Your Debts'!$B$19,70)</f>
        <v/>
      </c>
      <c r="C76" s="27">
        <f>'Your Debts'!$B$18</f>
        <v/>
      </c>
      <c r="D76" s="27">
        <f>G76+K76+O76+S76+W76+AA76+AE76+AI76</f>
        <v/>
      </c>
      <c r="E76" s="27">
        <f>MAX(0,C76-D76)</f>
        <v/>
      </c>
      <c r="F76" s="28">
        <f>ROUND((I75)*(IF('Your Debts'!$G$5=0,0,INDEX('Your Debts'!$C$5:$C$12,'Your Debts'!$G$5)/12)),2)</f>
        <v/>
      </c>
      <c r="G76" s="28">
        <f>MIN((I75)+F76,IF('Your Debts'!$G$5=0,0,INDEX('Your Debts'!$D$5:$D$12,'Your Debts'!$G$5)))</f>
        <v/>
      </c>
      <c r="H76" s="28">
        <f>G76+MIN((I75)+F76-G76,MAX(0,$E76-(0)))</f>
        <v/>
      </c>
      <c r="I76" s="28">
        <f>ROUND(MAX(0,(I75)+F76-H76),2)</f>
        <v/>
      </c>
      <c r="J76" s="28">
        <f>ROUND((M75)*(IF('Your Debts'!$G$6=0,0,INDEX('Your Debts'!$C$5:$C$12,'Your Debts'!$G$6)/12)),2)</f>
        <v/>
      </c>
      <c r="K76" s="28">
        <f>MIN((M75)+J76,IF('Your Debts'!$G$6=0,0,INDEX('Your Debts'!$D$5:$D$12,'Your Debts'!$G$6)))</f>
        <v/>
      </c>
      <c r="L76" s="28">
        <f>K76+MIN((M75)+J76-K76,MAX(0,$E76-((H76-G76))))</f>
        <v/>
      </c>
      <c r="M76" s="28">
        <f>ROUND(MAX(0,(M75)+J76-L76),2)</f>
        <v/>
      </c>
      <c r="N76" s="28">
        <f>ROUND((Q75)*(IF('Your Debts'!$G$7=0,0,INDEX('Your Debts'!$C$5:$C$12,'Your Debts'!$G$7)/12)),2)</f>
        <v/>
      </c>
      <c r="O76" s="28">
        <f>MIN((Q75)+N76,IF('Your Debts'!$G$7=0,0,INDEX('Your Debts'!$D$5:$D$12,'Your Debts'!$G$7)))</f>
        <v/>
      </c>
      <c r="P76" s="28">
        <f>O76+MIN((Q75)+N76-O76,MAX(0,$E76-((H76-G76)+(L76-K76))))</f>
        <v/>
      </c>
      <c r="Q76" s="28">
        <f>ROUND(MAX(0,(Q75)+N76-P76),2)</f>
        <v/>
      </c>
      <c r="R76" s="28">
        <f>ROUND((U75)*(IF('Your Debts'!$G$8=0,0,INDEX('Your Debts'!$C$5:$C$12,'Your Debts'!$G$8)/12)),2)</f>
        <v/>
      </c>
      <c r="S76" s="28">
        <f>MIN((U75)+R76,IF('Your Debts'!$G$8=0,0,INDEX('Your Debts'!$D$5:$D$12,'Your Debts'!$G$8)))</f>
        <v/>
      </c>
      <c r="T76" s="28">
        <f>S76+MIN((U75)+R76-S76,MAX(0,$E76-((H76-G76)+(L76-K76)+(P76-O76))))</f>
        <v/>
      </c>
      <c r="U76" s="28">
        <f>ROUND(MAX(0,(U75)+R76-T76),2)</f>
        <v/>
      </c>
      <c r="V76" s="28">
        <f>ROUND((Y75)*(IF('Your Debts'!$G$9=0,0,INDEX('Your Debts'!$C$5:$C$12,'Your Debts'!$G$9)/12)),2)</f>
        <v/>
      </c>
      <c r="W76" s="28">
        <f>MIN((Y75)+V76,IF('Your Debts'!$G$9=0,0,INDEX('Your Debts'!$D$5:$D$12,'Your Debts'!$G$9)))</f>
        <v/>
      </c>
      <c r="X76" s="28">
        <f>W76+MIN((Y75)+V76-W76,MAX(0,$E76-((H76-G76)+(L76-K76)+(P76-O76)+(T76-S76))))</f>
        <v/>
      </c>
      <c r="Y76" s="28">
        <f>ROUND(MAX(0,(Y75)+V76-X76),2)</f>
        <v/>
      </c>
      <c r="Z76" s="28">
        <f>ROUND((AC75)*(IF('Your Debts'!$G$10=0,0,INDEX('Your Debts'!$C$5:$C$12,'Your Debts'!$G$10)/12)),2)</f>
        <v/>
      </c>
      <c r="AA76" s="28">
        <f>MIN((AC75)+Z76,IF('Your Debts'!$G$10=0,0,INDEX('Your Debts'!$D$5:$D$12,'Your Debts'!$G$10)))</f>
        <v/>
      </c>
      <c r="AB76" s="28">
        <f>AA76+MIN((AC75)+Z76-AA76,MAX(0,$E76-((H76-G76)+(L76-K76)+(P76-O76)+(T76-S76)+(X76-W76))))</f>
        <v/>
      </c>
      <c r="AC76" s="28">
        <f>ROUND(MAX(0,(AC75)+Z76-AB76),2)</f>
        <v/>
      </c>
      <c r="AD76" s="28">
        <f>ROUND((AG75)*(IF('Your Debts'!$G$11=0,0,INDEX('Your Debts'!$C$5:$C$12,'Your Debts'!$G$11)/12)),2)</f>
        <v/>
      </c>
      <c r="AE76" s="28">
        <f>MIN((AG75)+AD76,IF('Your Debts'!$G$11=0,0,INDEX('Your Debts'!$D$5:$D$12,'Your Debts'!$G$11)))</f>
        <v/>
      </c>
      <c r="AF76" s="28">
        <f>AE76+MIN((AG75)+AD76-AE76,MAX(0,$E76-((H76-G76)+(L76-K76)+(P76-O76)+(T76-S76)+(X76-W76)+(AB76-AA76))))</f>
        <v/>
      </c>
      <c r="AG76" s="28">
        <f>ROUND(MAX(0,(AG75)+AD76-AF76),2)</f>
        <v/>
      </c>
      <c r="AH76" s="28">
        <f>ROUND((AK75)*(IF('Your Debts'!$G$12=0,0,INDEX('Your Debts'!$C$5:$C$12,'Your Debts'!$G$12)/12)),2)</f>
        <v/>
      </c>
      <c r="AI76" s="28">
        <f>MIN((AK75)+AH76,IF('Your Debts'!$G$12=0,0,INDEX('Your Debts'!$D$5:$D$12,'Your Debts'!$G$12)))</f>
        <v/>
      </c>
      <c r="AJ76" s="28">
        <f>AI76+MIN((AK75)+AH76-AI76,MAX(0,$E76-((H76-G76)+(L76-K76)+(P76-O76)+(T76-S76)+(X76-W76)+(AB76-AA76)+(AF76-AE76))))</f>
        <v/>
      </c>
      <c r="AK76" s="28">
        <f>ROUND(MAX(0,(AK75)+AH76-AJ76),2)</f>
        <v/>
      </c>
      <c r="AL76" s="18">
        <f>I76+M76+Q76+U76+Y76+AC76+AG76+AK76</f>
        <v/>
      </c>
      <c r="AM76" s="27">
        <f>AM75+F76+J76+N76+R76+V76+Z76+AD76+AH76</f>
        <v/>
      </c>
    </row>
    <row r="77">
      <c r="A77" s="25" t="n">
        <v>72</v>
      </c>
      <c r="B77" s="26">
        <f>EDATE('Your Debts'!$B$19,71)</f>
        <v/>
      </c>
      <c r="C77" s="27">
        <f>'Your Debts'!$B$18</f>
        <v/>
      </c>
      <c r="D77" s="27">
        <f>G77+K77+O77+S77+W77+AA77+AE77+AI77</f>
        <v/>
      </c>
      <c r="E77" s="27">
        <f>MAX(0,C77-D77)</f>
        <v/>
      </c>
      <c r="F77" s="28">
        <f>ROUND((I76)*(IF('Your Debts'!$G$5=0,0,INDEX('Your Debts'!$C$5:$C$12,'Your Debts'!$G$5)/12)),2)</f>
        <v/>
      </c>
      <c r="G77" s="28">
        <f>MIN((I76)+F77,IF('Your Debts'!$G$5=0,0,INDEX('Your Debts'!$D$5:$D$12,'Your Debts'!$G$5)))</f>
        <v/>
      </c>
      <c r="H77" s="28">
        <f>G77+MIN((I76)+F77-G77,MAX(0,$E77-(0)))</f>
        <v/>
      </c>
      <c r="I77" s="28">
        <f>ROUND(MAX(0,(I76)+F77-H77),2)</f>
        <v/>
      </c>
      <c r="J77" s="28">
        <f>ROUND((M76)*(IF('Your Debts'!$G$6=0,0,INDEX('Your Debts'!$C$5:$C$12,'Your Debts'!$G$6)/12)),2)</f>
        <v/>
      </c>
      <c r="K77" s="28">
        <f>MIN((M76)+J77,IF('Your Debts'!$G$6=0,0,INDEX('Your Debts'!$D$5:$D$12,'Your Debts'!$G$6)))</f>
        <v/>
      </c>
      <c r="L77" s="28">
        <f>K77+MIN((M76)+J77-K77,MAX(0,$E77-((H77-G77))))</f>
        <v/>
      </c>
      <c r="M77" s="28">
        <f>ROUND(MAX(0,(M76)+J77-L77),2)</f>
        <v/>
      </c>
      <c r="N77" s="28">
        <f>ROUND((Q76)*(IF('Your Debts'!$G$7=0,0,INDEX('Your Debts'!$C$5:$C$12,'Your Debts'!$G$7)/12)),2)</f>
        <v/>
      </c>
      <c r="O77" s="28">
        <f>MIN((Q76)+N77,IF('Your Debts'!$G$7=0,0,INDEX('Your Debts'!$D$5:$D$12,'Your Debts'!$G$7)))</f>
        <v/>
      </c>
      <c r="P77" s="28">
        <f>O77+MIN((Q76)+N77-O77,MAX(0,$E77-((H77-G77)+(L77-K77))))</f>
        <v/>
      </c>
      <c r="Q77" s="28">
        <f>ROUND(MAX(0,(Q76)+N77-P77),2)</f>
        <v/>
      </c>
      <c r="R77" s="28">
        <f>ROUND((U76)*(IF('Your Debts'!$G$8=0,0,INDEX('Your Debts'!$C$5:$C$12,'Your Debts'!$G$8)/12)),2)</f>
        <v/>
      </c>
      <c r="S77" s="28">
        <f>MIN((U76)+R77,IF('Your Debts'!$G$8=0,0,INDEX('Your Debts'!$D$5:$D$12,'Your Debts'!$G$8)))</f>
        <v/>
      </c>
      <c r="T77" s="28">
        <f>S77+MIN((U76)+R77-S77,MAX(0,$E77-((H77-G77)+(L77-K77)+(P77-O77))))</f>
        <v/>
      </c>
      <c r="U77" s="28">
        <f>ROUND(MAX(0,(U76)+R77-T77),2)</f>
        <v/>
      </c>
      <c r="V77" s="28">
        <f>ROUND((Y76)*(IF('Your Debts'!$G$9=0,0,INDEX('Your Debts'!$C$5:$C$12,'Your Debts'!$G$9)/12)),2)</f>
        <v/>
      </c>
      <c r="W77" s="28">
        <f>MIN((Y76)+V77,IF('Your Debts'!$G$9=0,0,INDEX('Your Debts'!$D$5:$D$12,'Your Debts'!$G$9)))</f>
        <v/>
      </c>
      <c r="X77" s="28">
        <f>W77+MIN((Y76)+V77-W77,MAX(0,$E77-((H77-G77)+(L77-K77)+(P77-O77)+(T77-S77))))</f>
        <v/>
      </c>
      <c r="Y77" s="28">
        <f>ROUND(MAX(0,(Y76)+V77-X77),2)</f>
        <v/>
      </c>
      <c r="Z77" s="28">
        <f>ROUND((AC76)*(IF('Your Debts'!$G$10=0,0,INDEX('Your Debts'!$C$5:$C$12,'Your Debts'!$G$10)/12)),2)</f>
        <v/>
      </c>
      <c r="AA77" s="28">
        <f>MIN((AC76)+Z77,IF('Your Debts'!$G$10=0,0,INDEX('Your Debts'!$D$5:$D$12,'Your Debts'!$G$10)))</f>
        <v/>
      </c>
      <c r="AB77" s="28">
        <f>AA77+MIN((AC76)+Z77-AA77,MAX(0,$E77-((H77-G77)+(L77-K77)+(P77-O77)+(T77-S77)+(X77-W77))))</f>
        <v/>
      </c>
      <c r="AC77" s="28">
        <f>ROUND(MAX(0,(AC76)+Z77-AB77),2)</f>
        <v/>
      </c>
      <c r="AD77" s="28">
        <f>ROUND((AG76)*(IF('Your Debts'!$G$11=0,0,INDEX('Your Debts'!$C$5:$C$12,'Your Debts'!$G$11)/12)),2)</f>
        <v/>
      </c>
      <c r="AE77" s="28">
        <f>MIN((AG76)+AD77,IF('Your Debts'!$G$11=0,0,INDEX('Your Debts'!$D$5:$D$12,'Your Debts'!$G$11)))</f>
        <v/>
      </c>
      <c r="AF77" s="28">
        <f>AE77+MIN((AG76)+AD77-AE77,MAX(0,$E77-((H77-G77)+(L77-K77)+(P77-O77)+(T77-S77)+(X77-W77)+(AB77-AA77))))</f>
        <v/>
      </c>
      <c r="AG77" s="28">
        <f>ROUND(MAX(0,(AG76)+AD77-AF77),2)</f>
        <v/>
      </c>
      <c r="AH77" s="28">
        <f>ROUND((AK76)*(IF('Your Debts'!$G$12=0,0,INDEX('Your Debts'!$C$5:$C$12,'Your Debts'!$G$12)/12)),2)</f>
        <v/>
      </c>
      <c r="AI77" s="28">
        <f>MIN((AK76)+AH77,IF('Your Debts'!$G$12=0,0,INDEX('Your Debts'!$D$5:$D$12,'Your Debts'!$G$12)))</f>
        <v/>
      </c>
      <c r="AJ77" s="28">
        <f>AI77+MIN((AK76)+AH77-AI77,MAX(0,$E77-((H77-G77)+(L77-K77)+(P77-O77)+(T77-S77)+(X77-W77)+(AB77-AA77)+(AF77-AE77))))</f>
        <v/>
      </c>
      <c r="AK77" s="28">
        <f>ROUND(MAX(0,(AK76)+AH77-AJ77),2)</f>
        <v/>
      </c>
      <c r="AL77" s="18">
        <f>I77+M77+Q77+U77+Y77+AC77+AG77+AK77</f>
        <v/>
      </c>
      <c r="AM77" s="27">
        <f>AM76+F77+J77+N77+R77+V77+Z77+AD77+AH77</f>
        <v/>
      </c>
    </row>
    <row r="78">
      <c r="A78" s="25" t="n">
        <v>73</v>
      </c>
      <c r="B78" s="26">
        <f>EDATE('Your Debts'!$B$19,72)</f>
        <v/>
      </c>
      <c r="C78" s="27">
        <f>'Your Debts'!$B$18</f>
        <v/>
      </c>
      <c r="D78" s="27">
        <f>G78+K78+O78+S78+W78+AA78+AE78+AI78</f>
        <v/>
      </c>
      <c r="E78" s="27">
        <f>MAX(0,C78-D78)</f>
        <v/>
      </c>
      <c r="F78" s="28">
        <f>ROUND((I77)*(IF('Your Debts'!$G$5=0,0,INDEX('Your Debts'!$C$5:$C$12,'Your Debts'!$G$5)/12)),2)</f>
        <v/>
      </c>
      <c r="G78" s="28">
        <f>MIN((I77)+F78,IF('Your Debts'!$G$5=0,0,INDEX('Your Debts'!$D$5:$D$12,'Your Debts'!$G$5)))</f>
        <v/>
      </c>
      <c r="H78" s="28">
        <f>G78+MIN((I77)+F78-G78,MAX(0,$E78-(0)))</f>
        <v/>
      </c>
      <c r="I78" s="28">
        <f>ROUND(MAX(0,(I77)+F78-H78),2)</f>
        <v/>
      </c>
      <c r="J78" s="28">
        <f>ROUND((M77)*(IF('Your Debts'!$G$6=0,0,INDEX('Your Debts'!$C$5:$C$12,'Your Debts'!$G$6)/12)),2)</f>
        <v/>
      </c>
      <c r="K78" s="28">
        <f>MIN((M77)+J78,IF('Your Debts'!$G$6=0,0,INDEX('Your Debts'!$D$5:$D$12,'Your Debts'!$G$6)))</f>
        <v/>
      </c>
      <c r="L78" s="28">
        <f>K78+MIN((M77)+J78-K78,MAX(0,$E78-((H78-G78))))</f>
        <v/>
      </c>
      <c r="M78" s="28">
        <f>ROUND(MAX(0,(M77)+J78-L78),2)</f>
        <v/>
      </c>
      <c r="N78" s="28">
        <f>ROUND((Q77)*(IF('Your Debts'!$G$7=0,0,INDEX('Your Debts'!$C$5:$C$12,'Your Debts'!$G$7)/12)),2)</f>
        <v/>
      </c>
      <c r="O78" s="28">
        <f>MIN((Q77)+N78,IF('Your Debts'!$G$7=0,0,INDEX('Your Debts'!$D$5:$D$12,'Your Debts'!$G$7)))</f>
        <v/>
      </c>
      <c r="P78" s="28">
        <f>O78+MIN((Q77)+N78-O78,MAX(0,$E78-((H78-G78)+(L78-K78))))</f>
        <v/>
      </c>
      <c r="Q78" s="28">
        <f>ROUND(MAX(0,(Q77)+N78-P78),2)</f>
        <v/>
      </c>
      <c r="R78" s="28">
        <f>ROUND((U77)*(IF('Your Debts'!$G$8=0,0,INDEX('Your Debts'!$C$5:$C$12,'Your Debts'!$G$8)/12)),2)</f>
        <v/>
      </c>
      <c r="S78" s="28">
        <f>MIN((U77)+R78,IF('Your Debts'!$G$8=0,0,INDEX('Your Debts'!$D$5:$D$12,'Your Debts'!$G$8)))</f>
        <v/>
      </c>
      <c r="T78" s="28">
        <f>S78+MIN((U77)+R78-S78,MAX(0,$E78-((H78-G78)+(L78-K78)+(P78-O78))))</f>
        <v/>
      </c>
      <c r="U78" s="28">
        <f>ROUND(MAX(0,(U77)+R78-T78),2)</f>
        <v/>
      </c>
      <c r="V78" s="28">
        <f>ROUND((Y77)*(IF('Your Debts'!$G$9=0,0,INDEX('Your Debts'!$C$5:$C$12,'Your Debts'!$G$9)/12)),2)</f>
        <v/>
      </c>
      <c r="W78" s="28">
        <f>MIN((Y77)+V78,IF('Your Debts'!$G$9=0,0,INDEX('Your Debts'!$D$5:$D$12,'Your Debts'!$G$9)))</f>
        <v/>
      </c>
      <c r="X78" s="28">
        <f>W78+MIN((Y77)+V78-W78,MAX(0,$E78-((H78-G78)+(L78-K78)+(P78-O78)+(T78-S78))))</f>
        <v/>
      </c>
      <c r="Y78" s="28">
        <f>ROUND(MAX(0,(Y77)+V78-X78),2)</f>
        <v/>
      </c>
      <c r="Z78" s="28">
        <f>ROUND((AC77)*(IF('Your Debts'!$G$10=0,0,INDEX('Your Debts'!$C$5:$C$12,'Your Debts'!$G$10)/12)),2)</f>
        <v/>
      </c>
      <c r="AA78" s="28">
        <f>MIN((AC77)+Z78,IF('Your Debts'!$G$10=0,0,INDEX('Your Debts'!$D$5:$D$12,'Your Debts'!$G$10)))</f>
        <v/>
      </c>
      <c r="AB78" s="28">
        <f>AA78+MIN((AC77)+Z78-AA78,MAX(0,$E78-((H78-G78)+(L78-K78)+(P78-O78)+(T78-S78)+(X78-W78))))</f>
        <v/>
      </c>
      <c r="AC78" s="28">
        <f>ROUND(MAX(0,(AC77)+Z78-AB78),2)</f>
        <v/>
      </c>
      <c r="AD78" s="28">
        <f>ROUND((AG77)*(IF('Your Debts'!$G$11=0,0,INDEX('Your Debts'!$C$5:$C$12,'Your Debts'!$G$11)/12)),2)</f>
        <v/>
      </c>
      <c r="AE78" s="28">
        <f>MIN((AG77)+AD78,IF('Your Debts'!$G$11=0,0,INDEX('Your Debts'!$D$5:$D$12,'Your Debts'!$G$11)))</f>
        <v/>
      </c>
      <c r="AF78" s="28">
        <f>AE78+MIN((AG77)+AD78-AE78,MAX(0,$E78-((H78-G78)+(L78-K78)+(P78-O78)+(T78-S78)+(X78-W78)+(AB78-AA78))))</f>
        <v/>
      </c>
      <c r="AG78" s="28">
        <f>ROUND(MAX(0,(AG77)+AD78-AF78),2)</f>
        <v/>
      </c>
      <c r="AH78" s="28">
        <f>ROUND((AK77)*(IF('Your Debts'!$G$12=0,0,INDEX('Your Debts'!$C$5:$C$12,'Your Debts'!$G$12)/12)),2)</f>
        <v/>
      </c>
      <c r="AI78" s="28">
        <f>MIN((AK77)+AH78,IF('Your Debts'!$G$12=0,0,INDEX('Your Debts'!$D$5:$D$12,'Your Debts'!$G$12)))</f>
        <v/>
      </c>
      <c r="AJ78" s="28">
        <f>AI78+MIN((AK77)+AH78-AI78,MAX(0,$E78-((H78-G78)+(L78-K78)+(P78-O78)+(T78-S78)+(X78-W78)+(AB78-AA78)+(AF78-AE78))))</f>
        <v/>
      </c>
      <c r="AK78" s="28">
        <f>ROUND(MAX(0,(AK77)+AH78-AJ78),2)</f>
        <v/>
      </c>
      <c r="AL78" s="18">
        <f>I78+M78+Q78+U78+Y78+AC78+AG78+AK78</f>
        <v/>
      </c>
      <c r="AM78" s="27">
        <f>AM77+F78+J78+N78+R78+V78+Z78+AD78+AH78</f>
        <v/>
      </c>
    </row>
    <row r="79">
      <c r="A79" s="25" t="n">
        <v>74</v>
      </c>
      <c r="B79" s="26">
        <f>EDATE('Your Debts'!$B$19,73)</f>
        <v/>
      </c>
      <c r="C79" s="27">
        <f>'Your Debts'!$B$18</f>
        <v/>
      </c>
      <c r="D79" s="27">
        <f>G79+K79+O79+S79+W79+AA79+AE79+AI79</f>
        <v/>
      </c>
      <c r="E79" s="27">
        <f>MAX(0,C79-D79)</f>
        <v/>
      </c>
      <c r="F79" s="28">
        <f>ROUND((I78)*(IF('Your Debts'!$G$5=0,0,INDEX('Your Debts'!$C$5:$C$12,'Your Debts'!$G$5)/12)),2)</f>
        <v/>
      </c>
      <c r="G79" s="28">
        <f>MIN((I78)+F79,IF('Your Debts'!$G$5=0,0,INDEX('Your Debts'!$D$5:$D$12,'Your Debts'!$G$5)))</f>
        <v/>
      </c>
      <c r="H79" s="28">
        <f>G79+MIN((I78)+F79-G79,MAX(0,$E79-(0)))</f>
        <v/>
      </c>
      <c r="I79" s="28">
        <f>ROUND(MAX(0,(I78)+F79-H79),2)</f>
        <v/>
      </c>
      <c r="J79" s="28">
        <f>ROUND((M78)*(IF('Your Debts'!$G$6=0,0,INDEX('Your Debts'!$C$5:$C$12,'Your Debts'!$G$6)/12)),2)</f>
        <v/>
      </c>
      <c r="K79" s="28">
        <f>MIN((M78)+J79,IF('Your Debts'!$G$6=0,0,INDEX('Your Debts'!$D$5:$D$12,'Your Debts'!$G$6)))</f>
        <v/>
      </c>
      <c r="L79" s="28">
        <f>K79+MIN((M78)+J79-K79,MAX(0,$E79-((H79-G79))))</f>
        <v/>
      </c>
      <c r="M79" s="28">
        <f>ROUND(MAX(0,(M78)+J79-L79),2)</f>
        <v/>
      </c>
      <c r="N79" s="28">
        <f>ROUND((Q78)*(IF('Your Debts'!$G$7=0,0,INDEX('Your Debts'!$C$5:$C$12,'Your Debts'!$G$7)/12)),2)</f>
        <v/>
      </c>
      <c r="O79" s="28">
        <f>MIN((Q78)+N79,IF('Your Debts'!$G$7=0,0,INDEX('Your Debts'!$D$5:$D$12,'Your Debts'!$G$7)))</f>
        <v/>
      </c>
      <c r="P79" s="28">
        <f>O79+MIN((Q78)+N79-O79,MAX(0,$E79-((H79-G79)+(L79-K79))))</f>
        <v/>
      </c>
      <c r="Q79" s="28">
        <f>ROUND(MAX(0,(Q78)+N79-P79),2)</f>
        <v/>
      </c>
      <c r="R79" s="28">
        <f>ROUND((U78)*(IF('Your Debts'!$G$8=0,0,INDEX('Your Debts'!$C$5:$C$12,'Your Debts'!$G$8)/12)),2)</f>
        <v/>
      </c>
      <c r="S79" s="28">
        <f>MIN((U78)+R79,IF('Your Debts'!$G$8=0,0,INDEX('Your Debts'!$D$5:$D$12,'Your Debts'!$G$8)))</f>
        <v/>
      </c>
      <c r="T79" s="28">
        <f>S79+MIN((U78)+R79-S79,MAX(0,$E79-((H79-G79)+(L79-K79)+(P79-O79))))</f>
        <v/>
      </c>
      <c r="U79" s="28">
        <f>ROUND(MAX(0,(U78)+R79-T79),2)</f>
        <v/>
      </c>
      <c r="V79" s="28">
        <f>ROUND((Y78)*(IF('Your Debts'!$G$9=0,0,INDEX('Your Debts'!$C$5:$C$12,'Your Debts'!$G$9)/12)),2)</f>
        <v/>
      </c>
      <c r="W79" s="28">
        <f>MIN((Y78)+V79,IF('Your Debts'!$G$9=0,0,INDEX('Your Debts'!$D$5:$D$12,'Your Debts'!$G$9)))</f>
        <v/>
      </c>
      <c r="X79" s="28">
        <f>W79+MIN((Y78)+V79-W79,MAX(0,$E79-((H79-G79)+(L79-K79)+(P79-O79)+(T79-S79))))</f>
        <v/>
      </c>
      <c r="Y79" s="28">
        <f>ROUND(MAX(0,(Y78)+V79-X79),2)</f>
        <v/>
      </c>
      <c r="Z79" s="28">
        <f>ROUND((AC78)*(IF('Your Debts'!$G$10=0,0,INDEX('Your Debts'!$C$5:$C$12,'Your Debts'!$G$10)/12)),2)</f>
        <v/>
      </c>
      <c r="AA79" s="28">
        <f>MIN((AC78)+Z79,IF('Your Debts'!$G$10=0,0,INDEX('Your Debts'!$D$5:$D$12,'Your Debts'!$G$10)))</f>
        <v/>
      </c>
      <c r="AB79" s="28">
        <f>AA79+MIN((AC78)+Z79-AA79,MAX(0,$E79-((H79-G79)+(L79-K79)+(P79-O79)+(T79-S79)+(X79-W79))))</f>
        <v/>
      </c>
      <c r="AC79" s="28">
        <f>ROUND(MAX(0,(AC78)+Z79-AB79),2)</f>
        <v/>
      </c>
      <c r="AD79" s="28">
        <f>ROUND((AG78)*(IF('Your Debts'!$G$11=0,0,INDEX('Your Debts'!$C$5:$C$12,'Your Debts'!$G$11)/12)),2)</f>
        <v/>
      </c>
      <c r="AE79" s="28">
        <f>MIN((AG78)+AD79,IF('Your Debts'!$G$11=0,0,INDEX('Your Debts'!$D$5:$D$12,'Your Debts'!$G$11)))</f>
        <v/>
      </c>
      <c r="AF79" s="28">
        <f>AE79+MIN((AG78)+AD79-AE79,MAX(0,$E79-((H79-G79)+(L79-K79)+(P79-O79)+(T79-S79)+(X79-W79)+(AB79-AA79))))</f>
        <v/>
      </c>
      <c r="AG79" s="28">
        <f>ROUND(MAX(0,(AG78)+AD79-AF79),2)</f>
        <v/>
      </c>
      <c r="AH79" s="28">
        <f>ROUND((AK78)*(IF('Your Debts'!$G$12=0,0,INDEX('Your Debts'!$C$5:$C$12,'Your Debts'!$G$12)/12)),2)</f>
        <v/>
      </c>
      <c r="AI79" s="28">
        <f>MIN((AK78)+AH79,IF('Your Debts'!$G$12=0,0,INDEX('Your Debts'!$D$5:$D$12,'Your Debts'!$G$12)))</f>
        <v/>
      </c>
      <c r="AJ79" s="28">
        <f>AI79+MIN((AK78)+AH79-AI79,MAX(0,$E79-((H79-G79)+(L79-K79)+(P79-O79)+(T79-S79)+(X79-W79)+(AB79-AA79)+(AF79-AE79))))</f>
        <v/>
      </c>
      <c r="AK79" s="28">
        <f>ROUND(MAX(0,(AK78)+AH79-AJ79),2)</f>
        <v/>
      </c>
      <c r="AL79" s="18">
        <f>I79+M79+Q79+U79+Y79+AC79+AG79+AK79</f>
        <v/>
      </c>
      <c r="AM79" s="27">
        <f>AM78+F79+J79+N79+R79+V79+Z79+AD79+AH79</f>
        <v/>
      </c>
    </row>
    <row r="80">
      <c r="A80" s="25" t="n">
        <v>75</v>
      </c>
      <c r="B80" s="26">
        <f>EDATE('Your Debts'!$B$19,74)</f>
        <v/>
      </c>
      <c r="C80" s="27">
        <f>'Your Debts'!$B$18</f>
        <v/>
      </c>
      <c r="D80" s="27">
        <f>G80+K80+O80+S80+W80+AA80+AE80+AI80</f>
        <v/>
      </c>
      <c r="E80" s="27">
        <f>MAX(0,C80-D80)</f>
        <v/>
      </c>
      <c r="F80" s="28">
        <f>ROUND((I79)*(IF('Your Debts'!$G$5=0,0,INDEX('Your Debts'!$C$5:$C$12,'Your Debts'!$G$5)/12)),2)</f>
        <v/>
      </c>
      <c r="G80" s="28">
        <f>MIN((I79)+F80,IF('Your Debts'!$G$5=0,0,INDEX('Your Debts'!$D$5:$D$12,'Your Debts'!$G$5)))</f>
        <v/>
      </c>
      <c r="H80" s="28">
        <f>G80+MIN((I79)+F80-G80,MAX(0,$E80-(0)))</f>
        <v/>
      </c>
      <c r="I80" s="28">
        <f>ROUND(MAX(0,(I79)+F80-H80),2)</f>
        <v/>
      </c>
      <c r="J80" s="28">
        <f>ROUND((M79)*(IF('Your Debts'!$G$6=0,0,INDEX('Your Debts'!$C$5:$C$12,'Your Debts'!$G$6)/12)),2)</f>
        <v/>
      </c>
      <c r="K80" s="28">
        <f>MIN((M79)+J80,IF('Your Debts'!$G$6=0,0,INDEX('Your Debts'!$D$5:$D$12,'Your Debts'!$G$6)))</f>
        <v/>
      </c>
      <c r="L80" s="28">
        <f>K80+MIN((M79)+J80-K80,MAX(0,$E80-((H80-G80))))</f>
        <v/>
      </c>
      <c r="M80" s="28">
        <f>ROUND(MAX(0,(M79)+J80-L80),2)</f>
        <v/>
      </c>
      <c r="N80" s="28">
        <f>ROUND((Q79)*(IF('Your Debts'!$G$7=0,0,INDEX('Your Debts'!$C$5:$C$12,'Your Debts'!$G$7)/12)),2)</f>
        <v/>
      </c>
      <c r="O80" s="28">
        <f>MIN((Q79)+N80,IF('Your Debts'!$G$7=0,0,INDEX('Your Debts'!$D$5:$D$12,'Your Debts'!$G$7)))</f>
        <v/>
      </c>
      <c r="P80" s="28">
        <f>O80+MIN((Q79)+N80-O80,MAX(0,$E80-((H80-G80)+(L80-K80))))</f>
        <v/>
      </c>
      <c r="Q80" s="28">
        <f>ROUND(MAX(0,(Q79)+N80-P80),2)</f>
        <v/>
      </c>
      <c r="R80" s="28">
        <f>ROUND((U79)*(IF('Your Debts'!$G$8=0,0,INDEX('Your Debts'!$C$5:$C$12,'Your Debts'!$G$8)/12)),2)</f>
        <v/>
      </c>
      <c r="S80" s="28">
        <f>MIN((U79)+R80,IF('Your Debts'!$G$8=0,0,INDEX('Your Debts'!$D$5:$D$12,'Your Debts'!$G$8)))</f>
        <v/>
      </c>
      <c r="T80" s="28">
        <f>S80+MIN((U79)+R80-S80,MAX(0,$E80-((H80-G80)+(L80-K80)+(P80-O80))))</f>
        <v/>
      </c>
      <c r="U80" s="28">
        <f>ROUND(MAX(0,(U79)+R80-T80),2)</f>
        <v/>
      </c>
      <c r="V80" s="28">
        <f>ROUND((Y79)*(IF('Your Debts'!$G$9=0,0,INDEX('Your Debts'!$C$5:$C$12,'Your Debts'!$G$9)/12)),2)</f>
        <v/>
      </c>
      <c r="W80" s="28">
        <f>MIN((Y79)+V80,IF('Your Debts'!$G$9=0,0,INDEX('Your Debts'!$D$5:$D$12,'Your Debts'!$G$9)))</f>
        <v/>
      </c>
      <c r="X80" s="28">
        <f>W80+MIN((Y79)+V80-W80,MAX(0,$E80-((H80-G80)+(L80-K80)+(P80-O80)+(T80-S80))))</f>
        <v/>
      </c>
      <c r="Y80" s="28">
        <f>ROUND(MAX(0,(Y79)+V80-X80),2)</f>
        <v/>
      </c>
      <c r="Z80" s="28">
        <f>ROUND((AC79)*(IF('Your Debts'!$G$10=0,0,INDEX('Your Debts'!$C$5:$C$12,'Your Debts'!$G$10)/12)),2)</f>
        <v/>
      </c>
      <c r="AA80" s="28">
        <f>MIN((AC79)+Z80,IF('Your Debts'!$G$10=0,0,INDEX('Your Debts'!$D$5:$D$12,'Your Debts'!$G$10)))</f>
        <v/>
      </c>
      <c r="AB80" s="28">
        <f>AA80+MIN((AC79)+Z80-AA80,MAX(0,$E80-((H80-G80)+(L80-K80)+(P80-O80)+(T80-S80)+(X80-W80))))</f>
        <v/>
      </c>
      <c r="AC80" s="28">
        <f>ROUND(MAX(0,(AC79)+Z80-AB80),2)</f>
        <v/>
      </c>
      <c r="AD80" s="28">
        <f>ROUND((AG79)*(IF('Your Debts'!$G$11=0,0,INDEX('Your Debts'!$C$5:$C$12,'Your Debts'!$G$11)/12)),2)</f>
        <v/>
      </c>
      <c r="AE80" s="28">
        <f>MIN((AG79)+AD80,IF('Your Debts'!$G$11=0,0,INDEX('Your Debts'!$D$5:$D$12,'Your Debts'!$G$11)))</f>
        <v/>
      </c>
      <c r="AF80" s="28">
        <f>AE80+MIN((AG79)+AD80-AE80,MAX(0,$E80-((H80-G80)+(L80-K80)+(P80-O80)+(T80-S80)+(X80-W80)+(AB80-AA80))))</f>
        <v/>
      </c>
      <c r="AG80" s="28">
        <f>ROUND(MAX(0,(AG79)+AD80-AF80),2)</f>
        <v/>
      </c>
      <c r="AH80" s="28">
        <f>ROUND((AK79)*(IF('Your Debts'!$G$12=0,0,INDEX('Your Debts'!$C$5:$C$12,'Your Debts'!$G$12)/12)),2)</f>
        <v/>
      </c>
      <c r="AI80" s="28">
        <f>MIN((AK79)+AH80,IF('Your Debts'!$G$12=0,0,INDEX('Your Debts'!$D$5:$D$12,'Your Debts'!$G$12)))</f>
        <v/>
      </c>
      <c r="AJ80" s="28">
        <f>AI80+MIN((AK79)+AH80-AI80,MAX(0,$E80-((H80-G80)+(L80-K80)+(P80-O80)+(T80-S80)+(X80-W80)+(AB80-AA80)+(AF80-AE80))))</f>
        <v/>
      </c>
      <c r="AK80" s="28">
        <f>ROUND(MAX(0,(AK79)+AH80-AJ80),2)</f>
        <v/>
      </c>
      <c r="AL80" s="18">
        <f>I80+M80+Q80+U80+Y80+AC80+AG80+AK80</f>
        <v/>
      </c>
      <c r="AM80" s="27">
        <f>AM79+F80+J80+N80+R80+V80+Z80+AD80+AH80</f>
        <v/>
      </c>
    </row>
    <row r="81">
      <c r="A81" s="25" t="n">
        <v>76</v>
      </c>
      <c r="B81" s="26">
        <f>EDATE('Your Debts'!$B$19,75)</f>
        <v/>
      </c>
      <c r="C81" s="27">
        <f>'Your Debts'!$B$18</f>
        <v/>
      </c>
      <c r="D81" s="27">
        <f>G81+K81+O81+S81+W81+AA81+AE81+AI81</f>
        <v/>
      </c>
      <c r="E81" s="27">
        <f>MAX(0,C81-D81)</f>
        <v/>
      </c>
      <c r="F81" s="28">
        <f>ROUND((I80)*(IF('Your Debts'!$G$5=0,0,INDEX('Your Debts'!$C$5:$C$12,'Your Debts'!$G$5)/12)),2)</f>
        <v/>
      </c>
      <c r="G81" s="28">
        <f>MIN((I80)+F81,IF('Your Debts'!$G$5=0,0,INDEX('Your Debts'!$D$5:$D$12,'Your Debts'!$G$5)))</f>
        <v/>
      </c>
      <c r="H81" s="28">
        <f>G81+MIN((I80)+F81-G81,MAX(0,$E81-(0)))</f>
        <v/>
      </c>
      <c r="I81" s="28">
        <f>ROUND(MAX(0,(I80)+F81-H81),2)</f>
        <v/>
      </c>
      <c r="J81" s="28">
        <f>ROUND((M80)*(IF('Your Debts'!$G$6=0,0,INDEX('Your Debts'!$C$5:$C$12,'Your Debts'!$G$6)/12)),2)</f>
        <v/>
      </c>
      <c r="K81" s="28">
        <f>MIN((M80)+J81,IF('Your Debts'!$G$6=0,0,INDEX('Your Debts'!$D$5:$D$12,'Your Debts'!$G$6)))</f>
        <v/>
      </c>
      <c r="L81" s="28">
        <f>K81+MIN((M80)+J81-K81,MAX(0,$E81-((H81-G81))))</f>
        <v/>
      </c>
      <c r="M81" s="28">
        <f>ROUND(MAX(0,(M80)+J81-L81),2)</f>
        <v/>
      </c>
      <c r="N81" s="28">
        <f>ROUND((Q80)*(IF('Your Debts'!$G$7=0,0,INDEX('Your Debts'!$C$5:$C$12,'Your Debts'!$G$7)/12)),2)</f>
        <v/>
      </c>
      <c r="O81" s="28">
        <f>MIN((Q80)+N81,IF('Your Debts'!$G$7=0,0,INDEX('Your Debts'!$D$5:$D$12,'Your Debts'!$G$7)))</f>
        <v/>
      </c>
      <c r="P81" s="28">
        <f>O81+MIN((Q80)+N81-O81,MAX(0,$E81-((H81-G81)+(L81-K81))))</f>
        <v/>
      </c>
      <c r="Q81" s="28">
        <f>ROUND(MAX(0,(Q80)+N81-P81),2)</f>
        <v/>
      </c>
      <c r="R81" s="28">
        <f>ROUND((U80)*(IF('Your Debts'!$G$8=0,0,INDEX('Your Debts'!$C$5:$C$12,'Your Debts'!$G$8)/12)),2)</f>
        <v/>
      </c>
      <c r="S81" s="28">
        <f>MIN((U80)+R81,IF('Your Debts'!$G$8=0,0,INDEX('Your Debts'!$D$5:$D$12,'Your Debts'!$G$8)))</f>
        <v/>
      </c>
      <c r="T81" s="28">
        <f>S81+MIN((U80)+R81-S81,MAX(0,$E81-((H81-G81)+(L81-K81)+(P81-O81))))</f>
        <v/>
      </c>
      <c r="U81" s="28">
        <f>ROUND(MAX(0,(U80)+R81-T81),2)</f>
        <v/>
      </c>
      <c r="V81" s="28">
        <f>ROUND((Y80)*(IF('Your Debts'!$G$9=0,0,INDEX('Your Debts'!$C$5:$C$12,'Your Debts'!$G$9)/12)),2)</f>
        <v/>
      </c>
      <c r="W81" s="28">
        <f>MIN((Y80)+V81,IF('Your Debts'!$G$9=0,0,INDEX('Your Debts'!$D$5:$D$12,'Your Debts'!$G$9)))</f>
        <v/>
      </c>
      <c r="X81" s="28">
        <f>W81+MIN((Y80)+V81-W81,MAX(0,$E81-((H81-G81)+(L81-K81)+(P81-O81)+(T81-S81))))</f>
        <v/>
      </c>
      <c r="Y81" s="28">
        <f>ROUND(MAX(0,(Y80)+V81-X81),2)</f>
        <v/>
      </c>
      <c r="Z81" s="28">
        <f>ROUND((AC80)*(IF('Your Debts'!$G$10=0,0,INDEX('Your Debts'!$C$5:$C$12,'Your Debts'!$G$10)/12)),2)</f>
        <v/>
      </c>
      <c r="AA81" s="28">
        <f>MIN((AC80)+Z81,IF('Your Debts'!$G$10=0,0,INDEX('Your Debts'!$D$5:$D$12,'Your Debts'!$G$10)))</f>
        <v/>
      </c>
      <c r="AB81" s="28">
        <f>AA81+MIN((AC80)+Z81-AA81,MAX(0,$E81-((H81-G81)+(L81-K81)+(P81-O81)+(T81-S81)+(X81-W81))))</f>
        <v/>
      </c>
      <c r="AC81" s="28">
        <f>ROUND(MAX(0,(AC80)+Z81-AB81),2)</f>
        <v/>
      </c>
      <c r="AD81" s="28">
        <f>ROUND((AG80)*(IF('Your Debts'!$G$11=0,0,INDEX('Your Debts'!$C$5:$C$12,'Your Debts'!$G$11)/12)),2)</f>
        <v/>
      </c>
      <c r="AE81" s="28">
        <f>MIN((AG80)+AD81,IF('Your Debts'!$G$11=0,0,INDEX('Your Debts'!$D$5:$D$12,'Your Debts'!$G$11)))</f>
        <v/>
      </c>
      <c r="AF81" s="28">
        <f>AE81+MIN((AG80)+AD81-AE81,MAX(0,$E81-((H81-G81)+(L81-K81)+(P81-O81)+(T81-S81)+(X81-W81)+(AB81-AA81))))</f>
        <v/>
      </c>
      <c r="AG81" s="28">
        <f>ROUND(MAX(0,(AG80)+AD81-AF81),2)</f>
        <v/>
      </c>
      <c r="AH81" s="28">
        <f>ROUND((AK80)*(IF('Your Debts'!$G$12=0,0,INDEX('Your Debts'!$C$5:$C$12,'Your Debts'!$G$12)/12)),2)</f>
        <v/>
      </c>
      <c r="AI81" s="28">
        <f>MIN((AK80)+AH81,IF('Your Debts'!$G$12=0,0,INDEX('Your Debts'!$D$5:$D$12,'Your Debts'!$G$12)))</f>
        <v/>
      </c>
      <c r="AJ81" s="28">
        <f>AI81+MIN((AK80)+AH81-AI81,MAX(0,$E81-((H81-G81)+(L81-K81)+(P81-O81)+(T81-S81)+(X81-W81)+(AB81-AA81)+(AF81-AE81))))</f>
        <v/>
      </c>
      <c r="AK81" s="28">
        <f>ROUND(MAX(0,(AK80)+AH81-AJ81),2)</f>
        <v/>
      </c>
      <c r="AL81" s="18">
        <f>I81+M81+Q81+U81+Y81+AC81+AG81+AK81</f>
        <v/>
      </c>
      <c r="AM81" s="27">
        <f>AM80+F81+J81+N81+R81+V81+Z81+AD81+AH81</f>
        <v/>
      </c>
    </row>
    <row r="82">
      <c r="A82" s="25" t="n">
        <v>77</v>
      </c>
      <c r="B82" s="26">
        <f>EDATE('Your Debts'!$B$19,76)</f>
        <v/>
      </c>
      <c r="C82" s="27">
        <f>'Your Debts'!$B$18</f>
        <v/>
      </c>
      <c r="D82" s="27">
        <f>G82+K82+O82+S82+W82+AA82+AE82+AI82</f>
        <v/>
      </c>
      <c r="E82" s="27">
        <f>MAX(0,C82-D82)</f>
        <v/>
      </c>
      <c r="F82" s="28">
        <f>ROUND((I81)*(IF('Your Debts'!$G$5=0,0,INDEX('Your Debts'!$C$5:$C$12,'Your Debts'!$G$5)/12)),2)</f>
        <v/>
      </c>
      <c r="G82" s="28">
        <f>MIN((I81)+F82,IF('Your Debts'!$G$5=0,0,INDEX('Your Debts'!$D$5:$D$12,'Your Debts'!$G$5)))</f>
        <v/>
      </c>
      <c r="H82" s="28">
        <f>G82+MIN((I81)+F82-G82,MAX(0,$E82-(0)))</f>
        <v/>
      </c>
      <c r="I82" s="28">
        <f>ROUND(MAX(0,(I81)+F82-H82),2)</f>
        <v/>
      </c>
      <c r="J82" s="28">
        <f>ROUND((M81)*(IF('Your Debts'!$G$6=0,0,INDEX('Your Debts'!$C$5:$C$12,'Your Debts'!$G$6)/12)),2)</f>
        <v/>
      </c>
      <c r="K82" s="28">
        <f>MIN((M81)+J82,IF('Your Debts'!$G$6=0,0,INDEX('Your Debts'!$D$5:$D$12,'Your Debts'!$G$6)))</f>
        <v/>
      </c>
      <c r="L82" s="28">
        <f>K82+MIN((M81)+J82-K82,MAX(0,$E82-((H82-G82))))</f>
        <v/>
      </c>
      <c r="M82" s="28">
        <f>ROUND(MAX(0,(M81)+J82-L82),2)</f>
        <v/>
      </c>
      <c r="N82" s="28">
        <f>ROUND((Q81)*(IF('Your Debts'!$G$7=0,0,INDEX('Your Debts'!$C$5:$C$12,'Your Debts'!$G$7)/12)),2)</f>
        <v/>
      </c>
      <c r="O82" s="28">
        <f>MIN((Q81)+N82,IF('Your Debts'!$G$7=0,0,INDEX('Your Debts'!$D$5:$D$12,'Your Debts'!$G$7)))</f>
        <v/>
      </c>
      <c r="P82" s="28">
        <f>O82+MIN((Q81)+N82-O82,MAX(0,$E82-((H82-G82)+(L82-K82))))</f>
        <v/>
      </c>
      <c r="Q82" s="28">
        <f>ROUND(MAX(0,(Q81)+N82-P82),2)</f>
        <v/>
      </c>
      <c r="R82" s="28">
        <f>ROUND((U81)*(IF('Your Debts'!$G$8=0,0,INDEX('Your Debts'!$C$5:$C$12,'Your Debts'!$G$8)/12)),2)</f>
        <v/>
      </c>
      <c r="S82" s="28">
        <f>MIN((U81)+R82,IF('Your Debts'!$G$8=0,0,INDEX('Your Debts'!$D$5:$D$12,'Your Debts'!$G$8)))</f>
        <v/>
      </c>
      <c r="T82" s="28">
        <f>S82+MIN((U81)+R82-S82,MAX(0,$E82-((H82-G82)+(L82-K82)+(P82-O82))))</f>
        <v/>
      </c>
      <c r="U82" s="28">
        <f>ROUND(MAX(0,(U81)+R82-T82),2)</f>
        <v/>
      </c>
      <c r="V82" s="28">
        <f>ROUND((Y81)*(IF('Your Debts'!$G$9=0,0,INDEX('Your Debts'!$C$5:$C$12,'Your Debts'!$G$9)/12)),2)</f>
        <v/>
      </c>
      <c r="W82" s="28">
        <f>MIN((Y81)+V82,IF('Your Debts'!$G$9=0,0,INDEX('Your Debts'!$D$5:$D$12,'Your Debts'!$G$9)))</f>
        <v/>
      </c>
      <c r="X82" s="28">
        <f>W82+MIN((Y81)+V82-W82,MAX(0,$E82-((H82-G82)+(L82-K82)+(P82-O82)+(T82-S82))))</f>
        <v/>
      </c>
      <c r="Y82" s="28">
        <f>ROUND(MAX(0,(Y81)+V82-X82),2)</f>
        <v/>
      </c>
      <c r="Z82" s="28">
        <f>ROUND((AC81)*(IF('Your Debts'!$G$10=0,0,INDEX('Your Debts'!$C$5:$C$12,'Your Debts'!$G$10)/12)),2)</f>
        <v/>
      </c>
      <c r="AA82" s="28">
        <f>MIN((AC81)+Z82,IF('Your Debts'!$G$10=0,0,INDEX('Your Debts'!$D$5:$D$12,'Your Debts'!$G$10)))</f>
        <v/>
      </c>
      <c r="AB82" s="28">
        <f>AA82+MIN((AC81)+Z82-AA82,MAX(0,$E82-((H82-G82)+(L82-K82)+(P82-O82)+(T82-S82)+(X82-W82))))</f>
        <v/>
      </c>
      <c r="AC82" s="28">
        <f>ROUND(MAX(0,(AC81)+Z82-AB82),2)</f>
        <v/>
      </c>
      <c r="AD82" s="28">
        <f>ROUND((AG81)*(IF('Your Debts'!$G$11=0,0,INDEX('Your Debts'!$C$5:$C$12,'Your Debts'!$G$11)/12)),2)</f>
        <v/>
      </c>
      <c r="AE82" s="28">
        <f>MIN((AG81)+AD82,IF('Your Debts'!$G$11=0,0,INDEX('Your Debts'!$D$5:$D$12,'Your Debts'!$G$11)))</f>
        <v/>
      </c>
      <c r="AF82" s="28">
        <f>AE82+MIN((AG81)+AD82-AE82,MAX(0,$E82-((H82-G82)+(L82-K82)+(P82-O82)+(T82-S82)+(X82-W82)+(AB82-AA82))))</f>
        <v/>
      </c>
      <c r="AG82" s="28">
        <f>ROUND(MAX(0,(AG81)+AD82-AF82),2)</f>
        <v/>
      </c>
      <c r="AH82" s="28">
        <f>ROUND((AK81)*(IF('Your Debts'!$G$12=0,0,INDEX('Your Debts'!$C$5:$C$12,'Your Debts'!$G$12)/12)),2)</f>
        <v/>
      </c>
      <c r="AI82" s="28">
        <f>MIN((AK81)+AH82,IF('Your Debts'!$G$12=0,0,INDEX('Your Debts'!$D$5:$D$12,'Your Debts'!$G$12)))</f>
        <v/>
      </c>
      <c r="AJ82" s="28">
        <f>AI82+MIN((AK81)+AH82-AI82,MAX(0,$E82-((H82-G82)+(L82-K82)+(P82-O82)+(T82-S82)+(X82-W82)+(AB82-AA82)+(AF82-AE82))))</f>
        <v/>
      </c>
      <c r="AK82" s="28">
        <f>ROUND(MAX(0,(AK81)+AH82-AJ82),2)</f>
        <v/>
      </c>
      <c r="AL82" s="18">
        <f>I82+M82+Q82+U82+Y82+AC82+AG82+AK82</f>
        <v/>
      </c>
      <c r="AM82" s="27">
        <f>AM81+F82+J82+N82+R82+V82+Z82+AD82+AH82</f>
        <v/>
      </c>
    </row>
    <row r="83">
      <c r="A83" s="25" t="n">
        <v>78</v>
      </c>
      <c r="B83" s="26">
        <f>EDATE('Your Debts'!$B$19,77)</f>
        <v/>
      </c>
      <c r="C83" s="27">
        <f>'Your Debts'!$B$18</f>
        <v/>
      </c>
      <c r="D83" s="27">
        <f>G83+K83+O83+S83+W83+AA83+AE83+AI83</f>
        <v/>
      </c>
      <c r="E83" s="27">
        <f>MAX(0,C83-D83)</f>
        <v/>
      </c>
      <c r="F83" s="28">
        <f>ROUND((I82)*(IF('Your Debts'!$G$5=0,0,INDEX('Your Debts'!$C$5:$C$12,'Your Debts'!$G$5)/12)),2)</f>
        <v/>
      </c>
      <c r="G83" s="28">
        <f>MIN((I82)+F83,IF('Your Debts'!$G$5=0,0,INDEX('Your Debts'!$D$5:$D$12,'Your Debts'!$G$5)))</f>
        <v/>
      </c>
      <c r="H83" s="28">
        <f>G83+MIN((I82)+F83-G83,MAX(0,$E83-(0)))</f>
        <v/>
      </c>
      <c r="I83" s="28">
        <f>ROUND(MAX(0,(I82)+F83-H83),2)</f>
        <v/>
      </c>
      <c r="J83" s="28">
        <f>ROUND((M82)*(IF('Your Debts'!$G$6=0,0,INDEX('Your Debts'!$C$5:$C$12,'Your Debts'!$G$6)/12)),2)</f>
        <v/>
      </c>
      <c r="K83" s="28">
        <f>MIN((M82)+J83,IF('Your Debts'!$G$6=0,0,INDEX('Your Debts'!$D$5:$D$12,'Your Debts'!$G$6)))</f>
        <v/>
      </c>
      <c r="L83" s="28">
        <f>K83+MIN((M82)+J83-K83,MAX(0,$E83-((H83-G83))))</f>
        <v/>
      </c>
      <c r="M83" s="28">
        <f>ROUND(MAX(0,(M82)+J83-L83),2)</f>
        <v/>
      </c>
      <c r="N83" s="28">
        <f>ROUND((Q82)*(IF('Your Debts'!$G$7=0,0,INDEX('Your Debts'!$C$5:$C$12,'Your Debts'!$G$7)/12)),2)</f>
        <v/>
      </c>
      <c r="O83" s="28">
        <f>MIN((Q82)+N83,IF('Your Debts'!$G$7=0,0,INDEX('Your Debts'!$D$5:$D$12,'Your Debts'!$G$7)))</f>
        <v/>
      </c>
      <c r="P83" s="28">
        <f>O83+MIN((Q82)+N83-O83,MAX(0,$E83-((H83-G83)+(L83-K83))))</f>
        <v/>
      </c>
      <c r="Q83" s="28">
        <f>ROUND(MAX(0,(Q82)+N83-P83),2)</f>
        <v/>
      </c>
      <c r="R83" s="28">
        <f>ROUND((U82)*(IF('Your Debts'!$G$8=0,0,INDEX('Your Debts'!$C$5:$C$12,'Your Debts'!$G$8)/12)),2)</f>
        <v/>
      </c>
      <c r="S83" s="28">
        <f>MIN((U82)+R83,IF('Your Debts'!$G$8=0,0,INDEX('Your Debts'!$D$5:$D$12,'Your Debts'!$G$8)))</f>
        <v/>
      </c>
      <c r="T83" s="28">
        <f>S83+MIN((U82)+R83-S83,MAX(0,$E83-((H83-G83)+(L83-K83)+(P83-O83))))</f>
        <v/>
      </c>
      <c r="U83" s="28">
        <f>ROUND(MAX(0,(U82)+R83-T83),2)</f>
        <v/>
      </c>
      <c r="V83" s="28">
        <f>ROUND((Y82)*(IF('Your Debts'!$G$9=0,0,INDEX('Your Debts'!$C$5:$C$12,'Your Debts'!$G$9)/12)),2)</f>
        <v/>
      </c>
      <c r="W83" s="28">
        <f>MIN((Y82)+V83,IF('Your Debts'!$G$9=0,0,INDEX('Your Debts'!$D$5:$D$12,'Your Debts'!$G$9)))</f>
        <v/>
      </c>
      <c r="X83" s="28">
        <f>W83+MIN((Y82)+V83-W83,MAX(0,$E83-((H83-G83)+(L83-K83)+(P83-O83)+(T83-S83))))</f>
        <v/>
      </c>
      <c r="Y83" s="28">
        <f>ROUND(MAX(0,(Y82)+V83-X83),2)</f>
        <v/>
      </c>
      <c r="Z83" s="28">
        <f>ROUND((AC82)*(IF('Your Debts'!$G$10=0,0,INDEX('Your Debts'!$C$5:$C$12,'Your Debts'!$G$10)/12)),2)</f>
        <v/>
      </c>
      <c r="AA83" s="28">
        <f>MIN((AC82)+Z83,IF('Your Debts'!$G$10=0,0,INDEX('Your Debts'!$D$5:$D$12,'Your Debts'!$G$10)))</f>
        <v/>
      </c>
      <c r="AB83" s="28">
        <f>AA83+MIN((AC82)+Z83-AA83,MAX(0,$E83-((H83-G83)+(L83-K83)+(P83-O83)+(T83-S83)+(X83-W83))))</f>
        <v/>
      </c>
      <c r="AC83" s="28">
        <f>ROUND(MAX(0,(AC82)+Z83-AB83),2)</f>
        <v/>
      </c>
      <c r="AD83" s="28">
        <f>ROUND((AG82)*(IF('Your Debts'!$G$11=0,0,INDEX('Your Debts'!$C$5:$C$12,'Your Debts'!$G$11)/12)),2)</f>
        <v/>
      </c>
      <c r="AE83" s="28">
        <f>MIN((AG82)+AD83,IF('Your Debts'!$G$11=0,0,INDEX('Your Debts'!$D$5:$D$12,'Your Debts'!$G$11)))</f>
        <v/>
      </c>
      <c r="AF83" s="28">
        <f>AE83+MIN((AG82)+AD83-AE83,MAX(0,$E83-((H83-G83)+(L83-K83)+(P83-O83)+(T83-S83)+(X83-W83)+(AB83-AA83))))</f>
        <v/>
      </c>
      <c r="AG83" s="28">
        <f>ROUND(MAX(0,(AG82)+AD83-AF83),2)</f>
        <v/>
      </c>
      <c r="AH83" s="28">
        <f>ROUND((AK82)*(IF('Your Debts'!$G$12=0,0,INDEX('Your Debts'!$C$5:$C$12,'Your Debts'!$G$12)/12)),2)</f>
        <v/>
      </c>
      <c r="AI83" s="28">
        <f>MIN((AK82)+AH83,IF('Your Debts'!$G$12=0,0,INDEX('Your Debts'!$D$5:$D$12,'Your Debts'!$G$12)))</f>
        <v/>
      </c>
      <c r="AJ83" s="28">
        <f>AI83+MIN((AK82)+AH83-AI83,MAX(0,$E83-((H83-G83)+(L83-K83)+(P83-O83)+(T83-S83)+(X83-W83)+(AB83-AA83)+(AF83-AE83))))</f>
        <v/>
      </c>
      <c r="AK83" s="28">
        <f>ROUND(MAX(0,(AK82)+AH83-AJ83),2)</f>
        <v/>
      </c>
      <c r="AL83" s="18">
        <f>I83+M83+Q83+U83+Y83+AC83+AG83+AK83</f>
        <v/>
      </c>
      <c r="AM83" s="27">
        <f>AM82+F83+J83+N83+R83+V83+Z83+AD83+AH83</f>
        <v/>
      </c>
    </row>
    <row r="84">
      <c r="A84" s="25" t="n">
        <v>79</v>
      </c>
      <c r="B84" s="26">
        <f>EDATE('Your Debts'!$B$19,78)</f>
        <v/>
      </c>
      <c r="C84" s="27">
        <f>'Your Debts'!$B$18</f>
        <v/>
      </c>
      <c r="D84" s="27">
        <f>G84+K84+O84+S84+W84+AA84+AE84+AI84</f>
        <v/>
      </c>
      <c r="E84" s="27">
        <f>MAX(0,C84-D84)</f>
        <v/>
      </c>
      <c r="F84" s="28">
        <f>ROUND((I83)*(IF('Your Debts'!$G$5=0,0,INDEX('Your Debts'!$C$5:$C$12,'Your Debts'!$G$5)/12)),2)</f>
        <v/>
      </c>
      <c r="G84" s="28">
        <f>MIN((I83)+F84,IF('Your Debts'!$G$5=0,0,INDEX('Your Debts'!$D$5:$D$12,'Your Debts'!$G$5)))</f>
        <v/>
      </c>
      <c r="H84" s="28">
        <f>G84+MIN((I83)+F84-G84,MAX(0,$E84-(0)))</f>
        <v/>
      </c>
      <c r="I84" s="28">
        <f>ROUND(MAX(0,(I83)+F84-H84),2)</f>
        <v/>
      </c>
      <c r="J84" s="28">
        <f>ROUND((M83)*(IF('Your Debts'!$G$6=0,0,INDEX('Your Debts'!$C$5:$C$12,'Your Debts'!$G$6)/12)),2)</f>
        <v/>
      </c>
      <c r="K84" s="28">
        <f>MIN((M83)+J84,IF('Your Debts'!$G$6=0,0,INDEX('Your Debts'!$D$5:$D$12,'Your Debts'!$G$6)))</f>
        <v/>
      </c>
      <c r="L84" s="28">
        <f>K84+MIN((M83)+J84-K84,MAX(0,$E84-((H84-G84))))</f>
        <v/>
      </c>
      <c r="M84" s="28">
        <f>ROUND(MAX(0,(M83)+J84-L84),2)</f>
        <v/>
      </c>
      <c r="N84" s="28">
        <f>ROUND((Q83)*(IF('Your Debts'!$G$7=0,0,INDEX('Your Debts'!$C$5:$C$12,'Your Debts'!$G$7)/12)),2)</f>
        <v/>
      </c>
      <c r="O84" s="28">
        <f>MIN((Q83)+N84,IF('Your Debts'!$G$7=0,0,INDEX('Your Debts'!$D$5:$D$12,'Your Debts'!$G$7)))</f>
        <v/>
      </c>
      <c r="P84" s="28">
        <f>O84+MIN((Q83)+N84-O84,MAX(0,$E84-((H84-G84)+(L84-K84))))</f>
        <v/>
      </c>
      <c r="Q84" s="28">
        <f>ROUND(MAX(0,(Q83)+N84-P84),2)</f>
        <v/>
      </c>
      <c r="R84" s="28">
        <f>ROUND((U83)*(IF('Your Debts'!$G$8=0,0,INDEX('Your Debts'!$C$5:$C$12,'Your Debts'!$G$8)/12)),2)</f>
        <v/>
      </c>
      <c r="S84" s="28">
        <f>MIN((U83)+R84,IF('Your Debts'!$G$8=0,0,INDEX('Your Debts'!$D$5:$D$12,'Your Debts'!$G$8)))</f>
        <v/>
      </c>
      <c r="T84" s="28">
        <f>S84+MIN((U83)+R84-S84,MAX(0,$E84-((H84-G84)+(L84-K84)+(P84-O84))))</f>
        <v/>
      </c>
      <c r="U84" s="28">
        <f>ROUND(MAX(0,(U83)+R84-T84),2)</f>
        <v/>
      </c>
      <c r="V84" s="28">
        <f>ROUND((Y83)*(IF('Your Debts'!$G$9=0,0,INDEX('Your Debts'!$C$5:$C$12,'Your Debts'!$G$9)/12)),2)</f>
        <v/>
      </c>
      <c r="W84" s="28">
        <f>MIN((Y83)+V84,IF('Your Debts'!$G$9=0,0,INDEX('Your Debts'!$D$5:$D$12,'Your Debts'!$G$9)))</f>
        <v/>
      </c>
      <c r="X84" s="28">
        <f>W84+MIN((Y83)+V84-W84,MAX(0,$E84-((H84-G84)+(L84-K84)+(P84-O84)+(T84-S84))))</f>
        <v/>
      </c>
      <c r="Y84" s="28">
        <f>ROUND(MAX(0,(Y83)+V84-X84),2)</f>
        <v/>
      </c>
      <c r="Z84" s="28">
        <f>ROUND((AC83)*(IF('Your Debts'!$G$10=0,0,INDEX('Your Debts'!$C$5:$C$12,'Your Debts'!$G$10)/12)),2)</f>
        <v/>
      </c>
      <c r="AA84" s="28">
        <f>MIN((AC83)+Z84,IF('Your Debts'!$G$10=0,0,INDEX('Your Debts'!$D$5:$D$12,'Your Debts'!$G$10)))</f>
        <v/>
      </c>
      <c r="AB84" s="28">
        <f>AA84+MIN((AC83)+Z84-AA84,MAX(0,$E84-((H84-G84)+(L84-K84)+(P84-O84)+(T84-S84)+(X84-W84))))</f>
        <v/>
      </c>
      <c r="AC84" s="28">
        <f>ROUND(MAX(0,(AC83)+Z84-AB84),2)</f>
        <v/>
      </c>
      <c r="AD84" s="28">
        <f>ROUND((AG83)*(IF('Your Debts'!$G$11=0,0,INDEX('Your Debts'!$C$5:$C$12,'Your Debts'!$G$11)/12)),2)</f>
        <v/>
      </c>
      <c r="AE84" s="28">
        <f>MIN((AG83)+AD84,IF('Your Debts'!$G$11=0,0,INDEX('Your Debts'!$D$5:$D$12,'Your Debts'!$G$11)))</f>
        <v/>
      </c>
      <c r="AF84" s="28">
        <f>AE84+MIN((AG83)+AD84-AE84,MAX(0,$E84-((H84-G84)+(L84-K84)+(P84-O84)+(T84-S84)+(X84-W84)+(AB84-AA84))))</f>
        <v/>
      </c>
      <c r="AG84" s="28">
        <f>ROUND(MAX(0,(AG83)+AD84-AF84),2)</f>
        <v/>
      </c>
      <c r="AH84" s="28">
        <f>ROUND((AK83)*(IF('Your Debts'!$G$12=0,0,INDEX('Your Debts'!$C$5:$C$12,'Your Debts'!$G$12)/12)),2)</f>
        <v/>
      </c>
      <c r="AI84" s="28">
        <f>MIN((AK83)+AH84,IF('Your Debts'!$G$12=0,0,INDEX('Your Debts'!$D$5:$D$12,'Your Debts'!$G$12)))</f>
        <v/>
      </c>
      <c r="AJ84" s="28">
        <f>AI84+MIN((AK83)+AH84-AI84,MAX(0,$E84-((H84-G84)+(L84-K84)+(P84-O84)+(T84-S84)+(X84-W84)+(AB84-AA84)+(AF84-AE84))))</f>
        <v/>
      </c>
      <c r="AK84" s="28">
        <f>ROUND(MAX(0,(AK83)+AH84-AJ84),2)</f>
        <v/>
      </c>
      <c r="AL84" s="18">
        <f>I84+M84+Q84+U84+Y84+AC84+AG84+AK84</f>
        <v/>
      </c>
      <c r="AM84" s="27">
        <f>AM83+F84+J84+N84+R84+V84+Z84+AD84+AH84</f>
        <v/>
      </c>
    </row>
    <row r="85">
      <c r="A85" s="25" t="n">
        <v>80</v>
      </c>
      <c r="B85" s="26">
        <f>EDATE('Your Debts'!$B$19,79)</f>
        <v/>
      </c>
      <c r="C85" s="27">
        <f>'Your Debts'!$B$18</f>
        <v/>
      </c>
      <c r="D85" s="27">
        <f>G85+K85+O85+S85+W85+AA85+AE85+AI85</f>
        <v/>
      </c>
      <c r="E85" s="27">
        <f>MAX(0,C85-D85)</f>
        <v/>
      </c>
      <c r="F85" s="28">
        <f>ROUND((I84)*(IF('Your Debts'!$G$5=0,0,INDEX('Your Debts'!$C$5:$C$12,'Your Debts'!$G$5)/12)),2)</f>
        <v/>
      </c>
      <c r="G85" s="28">
        <f>MIN((I84)+F85,IF('Your Debts'!$G$5=0,0,INDEX('Your Debts'!$D$5:$D$12,'Your Debts'!$G$5)))</f>
        <v/>
      </c>
      <c r="H85" s="28">
        <f>G85+MIN((I84)+F85-G85,MAX(0,$E85-(0)))</f>
        <v/>
      </c>
      <c r="I85" s="28">
        <f>ROUND(MAX(0,(I84)+F85-H85),2)</f>
        <v/>
      </c>
      <c r="J85" s="28">
        <f>ROUND((M84)*(IF('Your Debts'!$G$6=0,0,INDEX('Your Debts'!$C$5:$C$12,'Your Debts'!$G$6)/12)),2)</f>
        <v/>
      </c>
      <c r="K85" s="28">
        <f>MIN((M84)+J85,IF('Your Debts'!$G$6=0,0,INDEX('Your Debts'!$D$5:$D$12,'Your Debts'!$G$6)))</f>
        <v/>
      </c>
      <c r="L85" s="28">
        <f>K85+MIN((M84)+J85-K85,MAX(0,$E85-((H85-G85))))</f>
        <v/>
      </c>
      <c r="M85" s="28">
        <f>ROUND(MAX(0,(M84)+J85-L85),2)</f>
        <v/>
      </c>
      <c r="N85" s="28">
        <f>ROUND((Q84)*(IF('Your Debts'!$G$7=0,0,INDEX('Your Debts'!$C$5:$C$12,'Your Debts'!$G$7)/12)),2)</f>
        <v/>
      </c>
      <c r="O85" s="28">
        <f>MIN((Q84)+N85,IF('Your Debts'!$G$7=0,0,INDEX('Your Debts'!$D$5:$D$12,'Your Debts'!$G$7)))</f>
        <v/>
      </c>
      <c r="P85" s="28">
        <f>O85+MIN((Q84)+N85-O85,MAX(0,$E85-((H85-G85)+(L85-K85))))</f>
        <v/>
      </c>
      <c r="Q85" s="28">
        <f>ROUND(MAX(0,(Q84)+N85-P85),2)</f>
        <v/>
      </c>
      <c r="R85" s="28">
        <f>ROUND((U84)*(IF('Your Debts'!$G$8=0,0,INDEX('Your Debts'!$C$5:$C$12,'Your Debts'!$G$8)/12)),2)</f>
        <v/>
      </c>
      <c r="S85" s="28">
        <f>MIN((U84)+R85,IF('Your Debts'!$G$8=0,0,INDEX('Your Debts'!$D$5:$D$12,'Your Debts'!$G$8)))</f>
        <v/>
      </c>
      <c r="T85" s="28">
        <f>S85+MIN((U84)+R85-S85,MAX(0,$E85-((H85-G85)+(L85-K85)+(P85-O85))))</f>
        <v/>
      </c>
      <c r="U85" s="28">
        <f>ROUND(MAX(0,(U84)+R85-T85),2)</f>
        <v/>
      </c>
      <c r="V85" s="28">
        <f>ROUND((Y84)*(IF('Your Debts'!$G$9=0,0,INDEX('Your Debts'!$C$5:$C$12,'Your Debts'!$G$9)/12)),2)</f>
        <v/>
      </c>
      <c r="W85" s="28">
        <f>MIN((Y84)+V85,IF('Your Debts'!$G$9=0,0,INDEX('Your Debts'!$D$5:$D$12,'Your Debts'!$G$9)))</f>
        <v/>
      </c>
      <c r="X85" s="28">
        <f>W85+MIN((Y84)+V85-W85,MAX(0,$E85-((H85-G85)+(L85-K85)+(P85-O85)+(T85-S85))))</f>
        <v/>
      </c>
      <c r="Y85" s="28">
        <f>ROUND(MAX(0,(Y84)+V85-X85),2)</f>
        <v/>
      </c>
      <c r="Z85" s="28">
        <f>ROUND((AC84)*(IF('Your Debts'!$G$10=0,0,INDEX('Your Debts'!$C$5:$C$12,'Your Debts'!$G$10)/12)),2)</f>
        <v/>
      </c>
      <c r="AA85" s="28">
        <f>MIN((AC84)+Z85,IF('Your Debts'!$G$10=0,0,INDEX('Your Debts'!$D$5:$D$12,'Your Debts'!$G$10)))</f>
        <v/>
      </c>
      <c r="AB85" s="28">
        <f>AA85+MIN((AC84)+Z85-AA85,MAX(0,$E85-((H85-G85)+(L85-K85)+(P85-O85)+(T85-S85)+(X85-W85))))</f>
        <v/>
      </c>
      <c r="AC85" s="28">
        <f>ROUND(MAX(0,(AC84)+Z85-AB85),2)</f>
        <v/>
      </c>
      <c r="AD85" s="28">
        <f>ROUND((AG84)*(IF('Your Debts'!$G$11=0,0,INDEX('Your Debts'!$C$5:$C$12,'Your Debts'!$G$11)/12)),2)</f>
        <v/>
      </c>
      <c r="AE85" s="28">
        <f>MIN((AG84)+AD85,IF('Your Debts'!$G$11=0,0,INDEX('Your Debts'!$D$5:$D$12,'Your Debts'!$G$11)))</f>
        <v/>
      </c>
      <c r="AF85" s="28">
        <f>AE85+MIN((AG84)+AD85-AE85,MAX(0,$E85-((H85-G85)+(L85-K85)+(P85-O85)+(T85-S85)+(X85-W85)+(AB85-AA85))))</f>
        <v/>
      </c>
      <c r="AG85" s="28">
        <f>ROUND(MAX(0,(AG84)+AD85-AF85),2)</f>
        <v/>
      </c>
      <c r="AH85" s="28">
        <f>ROUND((AK84)*(IF('Your Debts'!$G$12=0,0,INDEX('Your Debts'!$C$5:$C$12,'Your Debts'!$G$12)/12)),2)</f>
        <v/>
      </c>
      <c r="AI85" s="28">
        <f>MIN((AK84)+AH85,IF('Your Debts'!$G$12=0,0,INDEX('Your Debts'!$D$5:$D$12,'Your Debts'!$G$12)))</f>
        <v/>
      </c>
      <c r="AJ85" s="28">
        <f>AI85+MIN((AK84)+AH85-AI85,MAX(0,$E85-((H85-G85)+(L85-K85)+(P85-O85)+(T85-S85)+(X85-W85)+(AB85-AA85)+(AF85-AE85))))</f>
        <v/>
      </c>
      <c r="AK85" s="28">
        <f>ROUND(MAX(0,(AK84)+AH85-AJ85),2)</f>
        <v/>
      </c>
      <c r="AL85" s="18">
        <f>I85+M85+Q85+U85+Y85+AC85+AG85+AK85</f>
        <v/>
      </c>
      <c r="AM85" s="27">
        <f>AM84+F85+J85+N85+R85+V85+Z85+AD85+AH85</f>
        <v/>
      </c>
    </row>
    <row r="86">
      <c r="A86" s="25" t="n">
        <v>81</v>
      </c>
      <c r="B86" s="26">
        <f>EDATE('Your Debts'!$B$19,80)</f>
        <v/>
      </c>
      <c r="C86" s="27">
        <f>'Your Debts'!$B$18</f>
        <v/>
      </c>
      <c r="D86" s="27">
        <f>G86+K86+O86+S86+W86+AA86+AE86+AI86</f>
        <v/>
      </c>
      <c r="E86" s="27">
        <f>MAX(0,C86-D86)</f>
        <v/>
      </c>
      <c r="F86" s="28">
        <f>ROUND((I85)*(IF('Your Debts'!$G$5=0,0,INDEX('Your Debts'!$C$5:$C$12,'Your Debts'!$G$5)/12)),2)</f>
        <v/>
      </c>
      <c r="G86" s="28">
        <f>MIN((I85)+F86,IF('Your Debts'!$G$5=0,0,INDEX('Your Debts'!$D$5:$D$12,'Your Debts'!$G$5)))</f>
        <v/>
      </c>
      <c r="H86" s="28">
        <f>G86+MIN((I85)+F86-G86,MAX(0,$E86-(0)))</f>
        <v/>
      </c>
      <c r="I86" s="28">
        <f>ROUND(MAX(0,(I85)+F86-H86),2)</f>
        <v/>
      </c>
      <c r="J86" s="28">
        <f>ROUND((M85)*(IF('Your Debts'!$G$6=0,0,INDEX('Your Debts'!$C$5:$C$12,'Your Debts'!$G$6)/12)),2)</f>
        <v/>
      </c>
      <c r="K86" s="28">
        <f>MIN((M85)+J86,IF('Your Debts'!$G$6=0,0,INDEX('Your Debts'!$D$5:$D$12,'Your Debts'!$G$6)))</f>
        <v/>
      </c>
      <c r="L86" s="28">
        <f>K86+MIN((M85)+J86-K86,MAX(0,$E86-((H86-G86))))</f>
        <v/>
      </c>
      <c r="M86" s="28">
        <f>ROUND(MAX(0,(M85)+J86-L86),2)</f>
        <v/>
      </c>
      <c r="N86" s="28">
        <f>ROUND((Q85)*(IF('Your Debts'!$G$7=0,0,INDEX('Your Debts'!$C$5:$C$12,'Your Debts'!$G$7)/12)),2)</f>
        <v/>
      </c>
      <c r="O86" s="28">
        <f>MIN((Q85)+N86,IF('Your Debts'!$G$7=0,0,INDEX('Your Debts'!$D$5:$D$12,'Your Debts'!$G$7)))</f>
        <v/>
      </c>
      <c r="P86" s="28">
        <f>O86+MIN((Q85)+N86-O86,MAX(0,$E86-((H86-G86)+(L86-K86))))</f>
        <v/>
      </c>
      <c r="Q86" s="28">
        <f>ROUND(MAX(0,(Q85)+N86-P86),2)</f>
        <v/>
      </c>
      <c r="R86" s="28">
        <f>ROUND((U85)*(IF('Your Debts'!$G$8=0,0,INDEX('Your Debts'!$C$5:$C$12,'Your Debts'!$G$8)/12)),2)</f>
        <v/>
      </c>
      <c r="S86" s="28">
        <f>MIN((U85)+R86,IF('Your Debts'!$G$8=0,0,INDEX('Your Debts'!$D$5:$D$12,'Your Debts'!$G$8)))</f>
        <v/>
      </c>
      <c r="T86" s="28">
        <f>S86+MIN((U85)+R86-S86,MAX(0,$E86-((H86-G86)+(L86-K86)+(P86-O86))))</f>
        <v/>
      </c>
      <c r="U86" s="28">
        <f>ROUND(MAX(0,(U85)+R86-T86),2)</f>
        <v/>
      </c>
      <c r="V86" s="28">
        <f>ROUND((Y85)*(IF('Your Debts'!$G$9=0,0,INDEX('Your Debts'!$C$5:$C$12,'Your Debts'!$G$9)/12)),2)</f>
        <v/>
      </c>
      <c r="W86" s="28">
        <f>MIN((Y85)+V86,IF('Your Debts'!$G$9=0,0,INDEX('Your Debts'!$D$5:$D$12,'Your Debts'!$G$9)))</f>
        <v/>
      </c>
      <c r="X86" s="28">
        <f>W86+MIN((Y85)+V86-W86,MAX(0,$E86-((H86-G86)+(L86-K86)+(P86-O86)+(T86-S86))))</f>
        <v/>
      </c>
      <c r="Y86" s="28">
        <f>ROUND(MAX(0,(Y85)+V86-X86),2)</f>
        <v/>
      </c>
      <c r="Z86" s="28">
        <f>ROUND((AC85)*(IF('Your Debts'!$G$10=0,0,INDEX('Your Debts'!$C$5:$C$12,'Your Debts'!$G$10)/12)),2)</f>
        <v/>
      </c>
      <c r="AA86" s="28">
        <f>MIN((AC85)+Z86,IF('Your Debts'!$G$10=0,0,INDEX('Your Debts'!$D$5:$D$12,'Your Debts'!$G$10)))</f>
        <v/>
      </c>
      <c r="AB86" s="28">
        <f>AA86+MIN((AC85)+Z86-AA86,MAX(0,$E86-((H86-G86)+(L86-K86)+(P86-O86)+(T86-S86)+(X86-W86))))</f>
        <v/>
      </c>
      <c r="AC86" s="28">
        <f>ROUND(MAX(0,(AC85)+Z86-AB86),2)</f>
        <v/>
      </c>
      <c r="AD86" s="28">
        <f>ROUND((AG85)*(IF('Your Debts'!$G$11=0,0,INDEX('Your Debts'!$C$5:$C$12,'Your Debts'!$G$11)/12)),2)</f>
        <v/>
      </c>
      <c r="AE86" s="28">
        <f>MIN((AG85)+AD86,IF('Your Debts'!$G$11=0,0,INDEX('Your Debts'!$D$5:$D$12,'Your Debts'!$G$11)))</f>
        <v/>
      </c>
      <c r="AF86" s="28">
        <f>AE86+MIN((AG85)+AD86-AE86,MAX(0,$E86-((H86-G86)+(L86-K86)+(P86-O86)+(T86-S86)+(X86-W86)+(AB86-AA86))))</f>
        <v/>
      </c>
      <c r="AG86" s="28">
        <f>ROUND(MAX(0,(AG85)+AD86-AF86),2)</f>
        <v/>
      </c>
      <c r="AH86" s="28">
        <f>ROUND((AK85)*(IF('Your Debts'!$G$12=0,0,INDEX('Your Debts'!$C$5:$C$12,'Your Debts'!$G$12)/12)),2)</f>
        <v/>
      </c>
      <c r="AI86" s="28">
        <f>MIN((AK85)+AH86,IF('Your Debts'!$G$12=0,0,INDEX('Your Debts'!$D$5:$D$12,'Your Debts'!$G$12)))</f>
        <v/>
      </c>
      <c r="AJ86" s="28">
        <f>AI86+MIN((AK85)+AH86-AI86,MAX(0,$E86-((H86-G86)+(L86-K86)+(P86-O86)+(T86-S86)+(X86-W86)+(AB86-AA86)+(AF86-AE86))))</f>
        <v/>
      </c>
      <c r="AK86" s="28">
        <f>ROUND(MAX(0,(AK85)+AH86-AJ86),2)</f>
        <v/>
      </c>
      <c r="AL86" s="18">
        <f>I86+M86+Q86+U86+Y86+AC86+AG86+AK86</f>
        <v/>
      </c>
      <c r="AM86" s="27">
        <f>AM85+F86+J86+N86+R86+V86+Z86+AD86+AH86</f>
        <v/>
      </c>
    </row>
    <row r="87">
      <c r="A87" s="25" t="n">
        <v>82</v>
      </c>
      <c r="B87" s="26">
        <f>EDATE('Your Debts'!$B$19,81)</f>
        <v/>
      </c>
      <c r="C87" s="27">
        <f>'Your Debts'!$B$18</f>
        <v/>
      </c>
      <c r="D87" s="27">
        <f>G87+K87+O87+S87+W87+AA87+AE87+AI87</f>
        <v/>
      </c>
      <c r="E87" s="27">
        <f>MAX(0,C87-D87)</f>
        <v/>
      </c>
      <c r="F87" s="28">
        <f>ROUND((I86)*(IF('Your Debts'!$G$5=0,0,INDEX('Your Debts'!$C$5:$C$12,'Your Debts'!$G$5)/12)),2)</f>
        <v/>
      </c>
      <c r="G87" s="28">
        <f>MIN((I86)+F87,IF('Your Debts'!$G$5=0,0,INDEX('Your Debts'!$D$5:$D$12,'Your Debts'!$G$5)))</f>
        <v/>
      </c>
      <c r="H87" s="28">
        <f>G87+MIN((I86)+F87-G87,MAX(0,$E87-(0)))</f>
        <v/>
      </c>
      <c r="I87" s="28">
        <f>ROUND(MAX(0,(I86)+F87-H87),2)</f>
        <v/>
      </c>
      <c r="J87" s="28">
        <f>ROUND((M86)*(IF('Your Debts'!$G$6=0,0,INDEX('Your Debts'!$C$5:$C$12,'Your Debts'!$G$6)/12)),2)</f>
        <v/>
      </c>
      <c r="K87" s="28">
        <f>MIN((M86)+J87,IF('Your Debts'!$G$6=0,0,INDEX('Your Debts'!$D$5:$D$12,'Your Debts'!$G$6)))</f>
        <v/>
      </c>
      <c r="L87" s="28">
        <f>K87+MIN((M86)+J87-K87,MAX(0,$E87-((H87-G87))))</f>
        <v/>
      </c>
      <c r="M87" s="28">
        <f>ROUND(MAX(0,(M86)+J87-L87),2)</f>
        <v/>
      </c>
      <c r="N87" s="28">
        <f>ROUND((Q86)*(IF('Your Debts'!$G$7=0,0,INDEX('Your Debts'!$C$5:$C$12,'Your Debts'!$G$7)/12)),2)</f>
        <v/>
      </c>
      <c r="O87" s="28">
        <f>MIN((Q86)+N87,IF('Your Debts'!$G$7=0,0,INDEX('Your Debts'!$D$5:$D$12,'Your Debts'!$G$7)))</f>
        <v/>
      </c>
      <c r="P87" s="28">
        <f>O87+MIN((Q86)+N87-O87,MAX(0,$E87-((H87-G87)+(L87-K87))))</f>
        <v/>
      </c>
      <c r="Q87" s="28">
        <f>ROUND(MAX(0,(Q86)+N87-P87),2)</f>
        <v/>
      </c>
      <c r="R87" s="28">
        <f>ROUND((U86)*(IF('Your Debts'!$G$8=0,0,INDEX('Your Debts'!$C$5:$C$12,'Your Debts'!$G$8)/12)),2)</f>
        <v/>
      </c>
      <c r="S87" s="28">
        <f>MIN((U86)+R87,IF('Your Debts'!$G$8=0,0,INDEX('Your Debts'!$D$5:$D$12,'Your Debts'!$G$8)))</f>
        <v/>
      </c>
      <c r="T87" s="28">
        <f>S87+MIN((U86)+R87-S87,MAX(0,$E87-((H87-G87)+(L87-K87)+(P87-O87))))</f>
        <v/>
      </c>
      <c r="U87" s="28">
        <f>ROUND(MAX(0,(U86)+R87-T87),2)</f>
        <v/>
      </c>
      <c r="V87" s="28">
        <f>ROUND((Y86)*(IF('Your Debts'!$G$9=0,0,INDEX('Your Debts'!$C$5:$C$12,'Your Debts'!$G$9)/12)),2)</f>
        <v/>
      </c>
      <c r="W87" s="28">
        <f>MIN((Y86)+V87,IF('Your Debts'!$G$9=0,0,INDEX('Your Debts'!$D$5:$D$12,'Your Debts'!$G$9)))</f>
        <v/>
      </c>
      <c r="X87" s="28">
        <f>W87+MIN((Y86)+V87-W87,MAX(0,$E87-((H87-G87)+(L87-K87)+(P87-O87)+(T87-S87))))</f>
        <v/>
      </c>
      <c r="Y87" s="28">
        <f>ROUND(MAX(0,(Y86)+V87-X87),2)</f>
        <v/>
      </c>
      <c r="Z87" s="28">
        <f>ROUND((AC86)*(IF('Your Debts'!$G$10=0,0,INDEX('Your Debts'!$C$5:$C$12,'Your Debts'!$G$10)/12)),2)</f>
        <v/>
      </c>
      <c r="AA87" s="28">
        <f>MIN((AC86)+Z87,IF('Your Debts'!$G$10=0,0,INDEX('Your Debts'!$D$5:$D$12,'Your Debts'!$G$10)))</f>
        <v/>
      </c>
      <c r="AB87" s="28">
        <f>AA87+MIN((AC86)+Z87-AA87,MAX(0,$E87-((H87-G87)+(L87-K87)+(P87-O87)+(T87-S87)+(X87-W87))))</f>
        <v/>
      </c>
      <c r="AC87" s="28">
        <f>ROUND(MAX(0,(AC86)+Z87-AB87),2)</f>
        <v/>
      </c>
      <c r="AD87" s="28">
        <f>ROUND((AG86)*(IF('Your Debts'!$G$11=0,0,INDEX('Your Debts'!$C$5:$C$12,'Your Debts'!$G$11)/12)),2)</f>
        <v/>
      </c>
      <c r="AE87" s="28">
        <f>MIN((AG86)+AD87,IF('Your Debts'!$G$11=0,0,INDEX('Your Debts'!$D$5:$D$12,'Your Debts'!$G$11)))</f>
        <v/>
      </c>
      <c r="AF87" s="28">
        <f>AE87+MIN((AG86)+AD87-AE87,MAX(0,$E87-((H87-G87)+(L87-K87)+(P87-O87)+(T87-S87)+(X87-W87)+(AB87-AA87))))</f>
        <v/>
      </c>
      <c r="AG87" s="28">
        <f>ROUND(MAX(0,(AG86)+AD87-AF87),2)</f>
        <v/>
      </c>
      <c r="AH87" s="28">
        <f>ROUND((AK86)*(IF('Your Debts'!$G$12=0,0,INDEX('Your Debts'!$C$5:$C$12,'Your Debts'!$G$12)/12)),2)</f>
        <v/>
      </c>
      <c r="AI87" s="28">
        <f>MIN((AK86)+AH87,IF('Your Debts'!$G$12=0,0,INDEX('Your Debts'!$D$5:$D$12,'Your Debts'!$G$12)))</f>
        <v/>
      </c>
      <c r="AJ87" s="28">
        <f>AI87+MIN((AK86)+AH87-AI87,MAX(0,$E87-((H87-G87)+(L87-K87)+(P87-O87)+(T87-S87)+(X87-W87)+(AB87-AA87)+(AF87-AE87))))</f>
        <v/>
      </c>
      <c r="AK87" s="28">
        <f>ROUND(MAX(0,(AK86)+AH87-AJ87),2)</f>
        <v/>
      </c>
      <c r="AL87" s="18">
        <f>I87+M87+Q87+U87+Y87+AC87+AG87+AK87</f>
        <v/>
      </c>
      <c r="AM87" s="27">
        <f>AM86+F87+J87+N87+R87+V87+Z87+AD87+AH87</f>
        <v/>
      </c>
    </row>
    <row r="88">
      <c r="A88" s="25" t="n">
        <v>83</v>
      </c>
      <c r="B88" s="26">
        <f>EDATE('Your Debts'!$B$19,82)</f>
        <v/>
      </c>
      <c r="C88" s="27">
        <f>'Your Debts'!$B$18</f>
        <v/>
      </c>
      <c r="D88" s="27">
        <f>G88+K88+O88+S88+W88+AA88+AE88+AI88</f>
        <v/>
      </c>
      <c r="E88" s="27">
        <f>MAX(0,C88-D88)</f>
        <v/>
      </c>
      <c r="F88" s="28">
        <f>ROUND((I87)*(IF('Your Debts'!$G$5=0,0,INDEX('Your Debts'!$C$5:$C$12,'Your Debts'!$G$5)/12)),2)</f>
        <v/>
      </c>
      <c r="G88" s="28">
        <f>MIN((I87)+F88,IF('Your Debts'!$G$5=0,0,INDEX('Your Debts'!$D$5:$D$12,'Your Debts'!$G$5)))</f>
        <v/>
      </c>
      <c r="H88" s="28">
        <f>G88+MIN((I87)+F88-G88,MAX(0,$E88-(0)))</f>
        <v/>
      </c>
      <c r="I88" s="28">
        <f>ROUND(MAX(0,(I87)+F88-H88),2)</f>
        <v/>
      </c>
      <c r="J88" s="28">
        <f>ROUND((M87)*(IF('Your Debts'!$G$6=0,0,INDEX('Your Debts'!$C$5:$C$12,'Your Debts'!$G$6)/12)),2)</f>
        <v/>
      </c>
      <c r="K88" s="28">
        <f>MIN((M87)+J88,IF('Your Debts'!$G$6=0,0,INDEX('Your Debts'!$D$5:$D$12,'Your Debts'!$G$6)))</f>
        <v/>
      </c>
      <c r="L88" s="28">
        <f>K88+MIN((M87)+J88-K88,MAX(0,$E88-((H88-G88))))</f>
        <v/>
      </c>
      <c r="M88" s="28">
        <f>ROUND(MAX(0,(M87)+J88-L88),2)</f>
        <v/>
      </c>
      <c r="N88" s="28">
        <f>ROUND((Q87)*(IF('Your Debts'!$G$7=0,0,INDEX('Your Debts'!$C$5:$C$12,'Your Debts'!$G$7)/12)),2)</f>
        <v/>
      </c>
      <c r="O88" s="28">
        <f>MIN((Q87)+N88,IF('Your Debts'!$G$7=0,0,INDEX('Your Debts'!$D$5:$D$12,'Your Debts'!$G$7)))</f>
        <v/>
      </c>
      <c r="P88" s="28">
        <f>O88+MIN((Q87)+N88-O88,MAX(0,$E88-((H88-G88)+(L88-K88))))</f>
        <v/>
      </c>
      <c r="Q88" s="28">
        <f>ROUND(MAX(0,(Q87)+N88-P88),2)</f>
        <v/>
      </c>
      <c r="R88" s="28">
        <f>ROUND((U87)*(IF('Your Debts'!$G$8=0,0,INDEX('Your Debts'!$C$5:$C$12,'Your Debts'!$G$8)/12)),2)</f>
        <v/>
      </c>
      <c r="S88" s="28">
        <f>MIN((U87)+R88,IF('Your Debts'!$G$8=0,0,INDEX('Your Debts'!$D$5:$D$12,'Your Debts'!$G$8)))</f>
        <v/>
      </c>
      <c r="T88" s="28">
        <f>S88+MIN((U87)+R88-S88,MAX(0,$E88-((H88-G88)+(L88-K88)+(P88-O88))))</f>
        <v/>
      </c>
      <c r="U88" s="28">
        <f>ROUND(MAX(0,(U87)+R88-T88),2)</f>
        <v/>
      </c>
      <c r="V88" s="28">
        <f>ROUND((Y87)*(IF('Your Debts'!$G$9=0,0,INDEX('Your Debts'!$C$5:$C$12,'Your Debts'!$G$9)/12)),2)</f>
        <v/>
      </c>
      <c r="W88" s="28">
        <f>MIN((Y87)+V88,IF('Your Debts'!$G$9=0,0,INDEX('Your Debts'!$D$5:$D$12,'Your Debts'!$G$9)))</f>
        <v/>
      </c>
      <c r="X88" s="28">
        <f>W88+MIN((Y87)+V88-W88,MAX(0,$E88-((H88-G88)+(L88-K88)+(P88-O88)+(T88-S88))))</f>
        <v/>
      </c>
      <c r="Y88" s="28">
        <f>ROUND(MAX(0,(Y87)+V88-X88),2)</f>
        <v/>
      </c>
      <c r="Z88" s="28">
        <f>ROUND((AC87)*(IF('Your Debts'!$G$10=0,0,INDEX('Your Debts'!$C$5:$C$12,'Your Debts'!$G$10)/12)),2)</f>
        <v/>
      </c>
      <c r="AA88" s="28">
        <f>MIN((AC87)+Z88,IF('Your Debts'!$G$10=0,0,INDEX('Your Debts'!$D$5:$D$12,'Your Debts'!$G$10)))</f>
        <v/>
      </c>
      <c r="AB88" s="28">
        <f>AA88+MIN((AC87)+Z88-AA88,MAX(0,$E88-((H88-G88)+(L88-K88)+(P88-O88)+(T88-S88)+(X88-W88))))</f>
        <v/>
      </c>
      <c r="AC88" s="28">
        <f>ROUND(MAX(0,(AC87)+Z88-AB88),2)</f>
        <v/>
      </c>
      <c r="AD88" s="28">
        <f>ROUND((AG87)*(IF('Your Debts'!$G$11=0,0,INDEX('Your Debts'!$C$5:$C$12,'Your Debts'!$G$11)/12)),2)</f>
        <v/>
      </c>
      <c r="AE88" s="28">
        <f>MIN((AG87)+AD88,IF('Your Debts'!$G$11=0,0,INDEX('Your Debts'!$D$5:$D$12,'Your Debts'!$G$11)))</f>
        <v/>
      </c>
      <c r="AF88" s="28">
        <f>AE88+MIN((AG87)+AD88-AE88,MAX(0,$E88-((H88-G88)+(L88-K88)+(P88-O88)+(T88-S88)+(X88-W88)+(AB88-AA88))))</f>
        <v/>
      </c>
      <c r="AG88" s="28">
        <f>ROUND(MAX(0,(AG87)+AD88-AF88),2)</f>
        <v/>
      </c>
      <c r="AH88" s="28">
        <f>ROUND((AK87)*(IF('Your Debts'!$G$12=0,0,INDEX('Your Debts'!$C$5:$C$12,'Your Debts'!$G$12)/12)),2)</f>
        <v/>
      </c>
      <c r="AI88" s="28">
        <f>MIN((AK87)+AH88,IF('Your Debts'!$G$12=0,0,INDEX('Your Debts'!$D$5:$D$12,'Your Debts'!$G$12)))</f>
        <v/>
      </c>
      <c r="AJ88" s="28">
        <f>AI88+MIN((AK87)+AH88-AI88,MAX(0,$E88-((H88-G88)+(L88-K88)+(P88-O88)+(T88-S88)+(X88-W88)+(AB88-AA88)+(AF88-AE88))))</f>
        <v/>
      </c>
      <c r="AK88" s="28">
        <f>ROUND(MAX(0,(AK87)+AH88-AJ88),2)</f>
        <v/>
      </c>
      <c r="AL88" s="18">
        <f>I88+M88+Q88+U88+Y88+AC88+AG88+AK88</f>
        <v/>
      </c>
      <c r="AM88" s="27">
        <f>AM87+F88+J88+N88+R88+V88+Z88+AD88+AH88</f>
        <v/>
      </c>
    </row>
    <row r="89">
      <c r="A89" s="25" t="n">
        <v>84</v>
      </c>
      <c r="B89" s="26">
        <f>EDATE('Your Debts'!$B$19,83)</f>
        <v/>
      </c>
      <c r="C89" s="27">
        <f>'Your Debts'!$B$18</f>
        <v/>
      </c>
      <c r="D89" s="27">
        <f>G89+K89+O89+S89+W89+AA89+AE89+AI89</f>
        <v/>
      </c>
      <c r="E89" s="27">
        <f>MAX(0,C89-D89)</f>
        <v/>
      </c>
      <c r="F89" s="28">
        <f>ROUND((I88)*(IF('Your Debts'!$G$5=0,0,INDEX('Your Debts'!$C$5:$C$12,'Your Debts'!$G$5)/12)),2)</f>
        <v/>
      </c>
      <c r="G89" s="28">
        <f>MIN((I88)+F89,IF('Your Debts'!$G$5=0,0,INDEX('Your Debts'!$D$5:$D$12,'Your Debts'!$G$5)))</f>
        <v/>
      </c>
      <c r="H89" s="28">
        <f>G89+MIN((I88)+F89-G89,MAX(0,$E89-(0)))</f>
        <v/>
      </c>
      <c r="I89" s="28">
        <f>ROUND(MAX(0,(I88)+F89-H89),2)</f>
        <v/>
      </c>
      <c r="J89" s="28">
        <f>ROUND((M88)*(IF('Your Debts'!$G$6=0,0,INDEX('Your Debts'!$C$5:$C$12,'Your Debts'!$G$6)/12)),2)</f>
        <v/>
      </c>
      <c r="K89" s="28">
        <f>MIN((M88)+J89,IF('Your Debts'!$G$6=0,0,INDEX('Your Debts'!$D$5:$D$12,'Your Debts'!$G$6)))</f>
        <v/>
      </c>
      <c r="L89" s="28">
        <f>K89+MIN((M88)+J89-K89,MAX(0,$E89-((H89-G89))))</f>
        <v/>
      </c>
      <c r="M89" s="28">
        <f>ROUND(MAX(0,(M88)+J89-L89),2)</f>
        <v/>
      </c>
      <c r="N89" s="28">
        <f>ROUND((Q88)*(IF('Your Debts'!$G$7=0,0,INDEX('Your Debts'!$C$5:$C$12,'Your Debts'!$G$7)/12)),2)</f>
        <v/>
      </c>
      <c r="O89" s="28">
        <f>MIN((Q88)+N89,IF('Your Debts'!$G$7=0,0,INDEX('Your Debts'!$D$5:$D$12,'Your Debts'!$G$7)))</f>
        <v/>
      </c>
      <c r="P89" s="28">
        <f>O89+MIN((Q88)+N89-O89,MAX(0,$E89-((H89-G89)+(L89-K89))))</f>
        <v/>
      </c>
      <c r="Q89" s="28">
        <f>ROUND(MAX(0,(Q88)+N89-P89),2)</f>
        <v/>
      </c>
      <c r="R89" s="28">
        <f>ROUND((U88)*(IF('Your Debts'!$G$8=0,0,INDEX('Your Debts'!$C$5:$C$12,'Your Debts'!$G$8)/12)),2)</f>
        <v/>
      </c>
      <c r="S89" s="28">
        <f>MIN((U88)+R89,IF('Your Debts'!$G$8=0,0,INDEX('Your Debts'!$D$5:$D$12,'Your Debts'!$G$8)))</f>
        <v/>
      </c>
      <c r="T89" s="28">
        <f>S89+MIN((U88)+R89-S89,MAX(0,$E89-((H89-G89)+(L89-K89)+(P89-O89))))</f>
        <v/>
      </c>
      <c r="U89" s="28">
        <f>ROUND(MAX(0,(U88)+R89-T89),2)</f>
        <v/>
      </c>
      <c r="V89" s="28">
        <f>ROUND((Y88)*(IF('Your Debts'!$G$9=0,0,INDEX('Your Debts'!$C$5:$C$12,'Your Debts'!$G$9)/12)),2)</f>
        <v/>
      </c>
      <c r="W89" s="28">
        <f>MIN((Y88)+V89,IF('Your Debts'!$G$9=0,0,INDEX('Your Debts'!$D$5:$D$12,'Your Debts'!$G$9)))</f>
        <v/>
      </c>
      <c r="X89" s="28">
        <f>W89+MIN((Y88)+V89-W89,MAX(0,$E89-((H89-G89)+(L89-K89)+(P89-O89)+(T89-S89))))</f>
        <v/>
      </c>
      <c r="Y89" s="28">
        <f>ROUND(MAX(0,(Y88)+V89-X89),2)</f>
        <v/>
      </c>
      <c r="Z89" s="28">
        <f>ROUND((AC88)*(IF('Your Debts'!$G$10=0,0,INDEX('Your Debts'!$C$5:$C$12,'Your Debts'!$G$10)/12)),2)</f>
        <v/>
      </c>
      <c r="AA89" s="28">
        <f>MIN((AC88)+Z89,IF('Your Debts'!$G$10=0,0,INDEX('Your Debts'!$D$5:$D$12,'Your Debts'!$G$10)))</f>
        <v/>
      </c>
      <c r="AB89" s="28">
        <f>AA89+MIN((AC88)+Z89-AA89,MAX(0,$E89-((H89-G89)+(L89-K89)+(P89-O89)+(T89-S89)+(X89-W89))))</f>
        <v/>
      </c>
      <c r="AC89" s="28">
        <f>ROUND(MAX(0,(AC88)+Z89-AB89),2)</f>
        <v/>
      </c>
      <c r="AD89" s="28">
        <f>ROUND((AG88)*(IF('Your Debts'!$G$11=0,0,INDEX('Your Debts'!$C$5:$C$12,'Your Debts'!$G$11)/12)),2)</f>
        <v/>
      </c>
      <c r="AE89" s="28">
        <f>MIN((AG88)+AD89,IF('Your Debts'!$G$11=0,0,INDEX('Your Debts'!$D$5:$D$12,'Your Debts'!$G$11)))</f>
        <v/>
      </c>
      <c r="AF89" s="28">
        <f>AE89+MIN((AG88)+AD89-AE89,MAX(0,$E89-((H89-G89)+(L89-K89)+(P89-O89)+(T89-S89)+(X89-W89)+(AB89-AA89))))</f>
        <v/>
      </c>
      <c r="AG89" s="28">
        <f>ROUND(MAX(0,(AG88)+AD89-AF89),2)</f>
        <v/>
      </c>
      <c r="AH89" s="28">
        <f>ROUND((AK88)*(IF('Your Debts'!$G$12=0,0,INDEX('Your Debts'!$C$5:$C$12,'Your Debts'!$G$12)/12)),2)</f>
        <v/>
      </c>
      <c r="AI89" s="28">
        <f>MIN((AK88)+AH89,IF('Your Debts'!$G$12=0,0,INDEX('Your Debts'!$D$5:$D$12,'Your Debts'!$G$12)))</f>
        <v/>
      </c>
      <c r="AJ89" s="28">
        <f>AI89+MIN((AK88)+AH89-AI89,MAX(0,$E89-((H89-G89)+(L89-K89)+(P89-O89)+(T89-S89)+(X89-W89)+(AB89-AA89)+(AF89-AE89))))</f>
        <v/>
      </c>
      <c r="AK89" s="28">
        <f>ROUND(MAX(0,(AK88)+AH89-AJ89),2)</f>
        <v/>
      </c>
      <c r="AL89" s="18">
        <f>I89+M89+Q89+U89+Y89+AC89+AG89+AK89</f>
        <v/>
      </c>
      <c r="AM89" s="27">
        <f>AM88+F89+J89+N89+R89+V89+Z89+AD89+AH89</f>
        <v/>
      </c>
    </row>
    <row r="90">
      <c r="A90" s="25" t="n">
        <v>85</v>
      </c>
      <c r="B90" s="26">
        <f>EDATE('Your Debts'!$B$19,84)</f>
        <v/>
      </c>
      <c r="C90" s="27">
        <f>'Your Debts'!$B$18</f>
        <v/>
      </c>
      <c r="D90" s="27">
        <f>G90+K90+O90+S90+W90+AA90+AE90+AI90</f>
        <v/>
      </c>
      <c r="E90" s="27">
        <f>MAX(0,C90-D90)</f>
        <v/>
      </c>
      <c r="F90" s="28">
        <f>ROUND((I89)*(IF('Your Debts'!$G$5=0,0,INDEX('Your Debts'!$C$5:$C$12,'Your Debts'!$G$5)/12)),2)</f>
        <v/>
      </c>
      <c r="G90" s="28">
        <f>MIN((I89)+F90,IF('Your Debts'!$G$5=0,0,INDEX('Your Debts'!$D$5:$D$12,'Your Debts'!$G$5)))</f>
        <v/>
      </c>
      <c r="H90" s="28">
        <f>G90+MIN((I89)+F90-G90,MAX(0,$E90-(0)))</f>
        <v/>
      </c>
      <c r="I90" s="28">
        <f>ROUND(MAX(0,(I89)+F90-H90),2)</f>
        <v/>
      </c>
      <c r="J90" s="28">
        <f>ROUND((M89)*(IF('Your Debts'!$G$6=0,0,INDEX('Your Debts'!$C$5:$C$12,'Your Debts'!$G$6)/12)),2)</f>
        <v/>
      </c>
      <c r="K90" s="28">
        <f>MIN((M89)+J90,IF('Your Debts'!$G$6=0,0,INDEX('Your Debts'!$D$5:$D$12,'Your Debts'!$G$6)))</f>
        <v/>
      </c>
      <c r="L90" s="28">
        <f>K90+MIN((M89)+J90-K90,MAX(0,$E90-((H90-G90))))</f>
        <v/>
      </c>
      <c r="M90" s="28">
        <f>ROUND(MAX(0,(M89)+J90-L90),2)</f>
        <v/>
      </c>
      <c r="N90" s="28">
        <f>ROUND((Q89)*(IF('Your Debts'!$G$7=0,0,INDEX('Your Debts'!$C$5:$C$12,'Your Debts'!$G$7)/12)),2)</f>
        <v/>
      </c>
      <c r="O90" s="28">
        <f>MIN((Q89)+N90,IF('Your Debts'!$G$7=0,0,INDEX('Your Debts'!$D$5:$D$12,'Your Debts'!$G$7)))</f>
        <v/>
      </c>
      <c r="P90" s="28">
        <f>O90+MIN((Q89)+N90-O90,MAX(0,$E90-((H90-G90)+(L90-K90))))</f>
        <v/>
      </c>
      <c r="Q90" s="28">
        <f>ROUND(MAX(0,(Q89)+N90-P90),2)</f>
        <v/>
      </c>
      <c r="R90" s="28">
        <f>ROUND((U89)*(IF('Your Debts'!$G$8=0,0,INDEX('Your Debts'!$C$5:$C$12,'Your Debts'!$G$8)/12)),2)</f>
        <v/>
      </c>
      <c r="S90" s="28">
        <f>MIN((U89)+R90,IF('Your Debts'!$G$8=0,0,INDEX('Your Debts'!$D$5:$D$12,'Your Debts'!$G$8)))</f>
        <v/>
      </c>
      <c r="T90" s="28">
        <f>S90+MIN((U89)+R90-S90,MAX(0,$E90-((H90-G90)+(L90-K90)+(P90-O90))))</f>
        <v/>
      </c>
      <c r="U90" s="28">
        <f>ROUND(MAX(0,(U89)+R90-T90),2)</f>
        <v/>
      </c>
      <c r="V90" s="28">
        <f>ROUND((Y89)*(IF('Your Debts'!$G$9=0,0,INDEX('Your Debts'!$C$5:$C$12,'Your Debts'!$G$9)/12)),2)</f>
        <v/>
      </c>
      <c r="W90" s="28">
        <f>MIN((Y89)+V90,IF('Your Debts'!$G$9=0,0,INDEX('Your Debts'!$D$5:$D$12,'Your Debts'!$G$9)))</f>
        <v/>
      </c>
      <c r="X90" s="28">
        <f>W90+MIN((Y89)+V90-W90,MAX(0,$E90-((H90-G90)+(L90-K90)+(P90-O90)+(T90-S90))))</f>
        <v/>
      </c>
      <c r="Y90" s="28">
        <f>ROUND(MAX(0,(Y89)+V90-X90),2)</f>
        <v/>
      </c>
      <c r="Z90" s="28">
        <f>ROUND((AC89)*(IF('Your Debts'!$G$10=0,0,INDEX('Your Debts'!$C$5:$C$12,'Your Debts'!$G$10)/12)),2)</f>
        <v/>
      </c>
      <c r="AA90" s="28">
        <f>MIN((AC89)+Z90,IF('Your Debts'!$G$10=0,0,INDEX('Your Debts'!$D$5:$D$12,'Your Debts'!$G$10)))</f>
        <v/>
      </c>
      <c r="AB90" s="28">
        <f>AA90+MIN((AC89)+Z90-AA90,MAX(0,$E90-((H90-G90)+(L90-K90)+(P90-O90)+(T90-S90)+(X90-W90))))</f>
        <v/>
      </c>
      <c r="AC90" s="28">
        <f>ROUND(MAX(0,(AC89)+Z90-AB90),2)</f>
        <v/>
      </c>
      <c r="AD90" s="28">
        <f>ROUND((AG89)*(IF('Your Debts'!$G$11=0,0,INDEX('Your Debts'!$C$5:$C$12,'Your Debts'!$G$11)/12)),2)</f>
        <v/>
      </c>
      <c r="AE90" s="28">
        <f>MIN((AG89)+AD90,IF('Your Debts'!$G$11=0,0,INDEX('Your Debts'!$D$5:$D$12,'Your Debts'!$G$11)))</f>
        <v/>
      </c>
      <c r="AF90" s="28">
        <f>AE90+MIN((AG89)+AD90-AE90,MAX(0,$E90-((H90-G90)+(L90-K90)+(P90-O90)+(T90-S90)+(X90-W90)+(AB90-AA90))))</f>
        <v/>
      </c>
      <c r="AG90" s="28">
        <f>ROUND(MAX(0,(AG89)+AD90-AF90),2)</f>
        <v/>
      </c>
      <c r="AH90" s="28">
        <f>ROUND((AK89)*(IF('Your Debts'!$G$12=0,0,INDEX('Your Debts'!$C$5:$C$12,'Your Debts'!$G$12)/12)),2)</f>
        <v/>
      </c>
      <c r="AI90" s="28">
        <f>MIN((AK89)+AH90,IF('Your Debts'!$G$12=0,0,INDEX('Your Debts'!$D$5:$D$12,'Your Debts'!$G$12)))</f>
        <v/>
      </c>
      <c r="AJ90" s="28">
        <f>AI90+MIN((AK89)+AH90-AI90,MAX(0,$E90-((H90-G90)+(L90-K90)+(P90-O90)+(T90-S90)+(X90-W90)+(AB90-AA90)+(AF90-AE90))))</f>
        <v/>
      </c>
      <c r="AK90" s="28">
        <f>ROUND(MAX(0,(AK89)+AH90-AJ90),2)</f>
        <v/>
      </c>
      <c r="AL90" s="18">
        <f>I90+M90+Q90+U90+Y90+AC90+AG90+AK90</f>
        <v/>
      </c>
      <c r="AM90" s="27">
        <f>AM89+F90+J90+N90+R90+V90+Z90+AD90+AH90</f>
        <v/>
      </c>
    </row>
    <row r="91">
      <c r="A91" s="25" t="n">
        <v>86</v>
      </c>
      <c r="B91" s="26">
        <f>EDATE('Your Debts'!$B$19,85)</f>
        <v/>
      </c>
      <c r="C91" s="27">
        <f>'Your Debts'!$B$18</f>
        <v/>
      </c>
      <c r="D91" s="27">
        <f>G91+K91+O91+S91+W91+AA91+AE91+AI91</f>
        <v/>
      </c>
      <c r="E91" s="27">
        <f>MAX(0,C91-D91)</f>
        <v/>
      </c>
      <c r="F91" s="28">
        <f>ROUND((I90)*(IF('Your Debts'!$G$5=0,0,INDEX('Your Debts'!$C$5:$C$12,'Your Debts'!$G$5)/12)),2)</f>
        <v/>
      </c>
      <c r="G91" s="28">
        <f>MIN((I90)+F91,IF('Your Debts'!$G$5=0,0,INDEX('Your Debts'!$D$5:$D$12,'Your Debts'!$G$5)))</f>
        <v/>
      </c>
      <c r="H91" s="28">
        <f>G91+MIN((I90)+F91-G91,MAX(0,$E91-(0)))</f>
        <v/>
      </c>
      <c r="I91" s="28">
        <f>ROUND(MAX(0,(I90)+F91-H91),2)</f>
        <v/>
      </c>
      <c r="J91" s="28">
        <f>ROUND((M90)*(IF('Your Debts'!$G$6=0,0,INDEX('Your Debts'!$C$5:$C$12,'Your Debts'!$G$6)/12)),2)</f>
        <v/>
      </c>
      <c r="K91" s="28">
        <f>MIN((M90)+J91,IF('Your Debts'!$G$6=0,0,INDEX('Your Debts'!$D$5:$D$12,'Your Debts'!$G$6)))</f>
        <v/>
      </c>
      <c r="L91" s="28">
        <f>K91+MIN((M90)+J91-K91,MAX(0,$E91-((H91-G91))))</f>
        <v/>
      </c>
      <c r="M91" s="28">
        <f>ROUND(MAX(0,(M90)+J91-L91),2)</f>
        <v/>
      </c>
      <c r="N91" s="28">
        <f>ROUND((Q90)*(IF('Your Debts'!$G$7=0,0,INDEX('Your Debts'!$C$5:$C$12,'Your Debts'!$G$7)/12)),2)</f>
        <v/>
      </c>
      <c r="O91" s="28">
        <f>MIN((Q90)+N91,IF('Your Debts'!$G$7=0,0,INDEX('Your Debts'!$D$5:$D$12,'Your Debts'!$G$7)))</f>
        <v/>
      </c>
      <c r="P91" s="28">
        <f>O91+MIN((Q90)+N91-O91,MAX(0,$E91-((H91-G91)+(L91-K91))))</f>
        <v/>
      </c>
      <c r="Q91" s="28">
        <f>ROUND(MAX(0,(Q90)+N91-P91),2)</f>
        <v/>
      </c>
      <c r="R91" s="28">
        <f>ROUND((U90)*(IF('Your Debts'!$G$8=0,0,INDEX('Your Debts'!$C$5:$C$12,'Your Debts'!$G$8)/12)),2)</f>
        <v/>
      </c>
      <c r="S91" s="28">
        <f>MIN((U90)+R91,IF('Your Debts'!$G$8=0,0,INDEX('Your Debts'!$D$5:$D$12,'Your Debts'!$G$8)))</f>
        <v/>
      </c>
      <c r="T91" s="28">
        <f>S91+MIN((U90)+R91-S91,MAX(0,$E91-((H91-G91)+(L91-K91)+(P91-O91))))</f>
        <v/>
      </c>
      <c r="U91" s="28">
        <f>ROUND(MAX(0,(U90)+R91-T91),2)</f>
        <v/>
      </c>
      <c r="V91" s="28">
        <f>ROUND((Y90)*(IF('Your Debts'!$G$9=0,0,INDEX('Your Debts'!$C$5:$C$12,'Your Debts'!$G$9)/12)),2)</f>
        <v/>
      </c>
      <c r="W91" s="28">
        <f>MIN((Y90)+V91,IF('Your Debts'!$G$9=0,0,INDEX('Your Debts'!$D$5:$D$12,'Your Debts'!$G$9)))</f>
        <v/>
      </c>
      <c r="X91" s="28">
        <f>W91+MIN((Y90)+V91-W91,MAX(0,$E91-((H91-G91)+(L91-K91)+(P91-O91)+(T91-S91))))</f>
        <v/>
      </c>
      <c r="Y91" s="28">
        <f>ROUND(MAX(0,(Y90)+V91-X91),2)</f>
        <v/>
      </c>
      <c r="Z91" s="28">
        <f>ROUND((AC90)*(IF('Your Debts'!$G$10=0,0,INDEX('Your Debts'!$C$5:$C$12,'Your Debts'!$G$10)/12)),2)</f>
        <v/>
      </c>
      <c r="AA91" s="28">
        <f>MIN((AC90)+Z91,IF('Your Debts'!$G$10=0,0,INDEX('Your Debts'!$D$5:$D$12,'Your Debts'!$G$10)))</f>
        <v/>
      </c>
      <c r="AB91" s="28">
        <f>AA91+MIN((AC90)+Z91-AA91,MAX(0,$E91-((H91-G91)+(L91-K91)+(P91-O91)+(T91-S91)+(X91-W91))))</f>
        <v/>
      </c>
      <c r="AC91" s="28">
        <f>ROUND(MAX(0,(AC90)+Z91-AB91),2)</f>
        <v/>
      </c>
      <c r="AD91" s="28">
        <f>ROUND((AG90)*(IF('Your Debts'!$G$11=0,0,INDEX('Your Debts'!$C$5:$C$12,'Your Debts'!$G$11)/12)),2)</f>
        <v/>
      </c>
      <c r="AE91" s="28">
        <f>MIN((AG90)+AD91,IF('Your Debts'!$G$11=0,0,INDEX('Your Debts'!$D$5:$D$12,'Your Debts'!$G$11)))</f>
        <v/>
      </c>
      <c r="AF91" s="28">
        <f>AE91+MIN((AG90)+AD91-AE91,MAX(0,$E91-((H91-G91)+(L91-K91)+(P91-O91)+(T91-S91)+(X91-W91)+(AB91-AA91))))</f>
        <v/>
      </c>
      <c r="AG91" s="28">
        <f>ROUND(MAX(0,(AG90)+AD91-AF91),2)</f>
        <v/>
      </c>
      <c r="AH91" s="28">
        <f>ROUND((AK90)*(IF('Your Debts'!$G$12=0,0,INDEX('Your Debts'!$C$5:$C$12,'Your Debts'!$G$12)/12)),2)</f>
        <v/>
      </c>
      <c r="AI91" s="28">
        <f>MIN((AK90)+AH91,IF('Your Debts'!$G$12=0,0,INDEX('Your Debts'!$D$5:$D$12,'Your Debts'!$G$12)))</f>
        <v/>
      </c>
      <c r="AJ91" s="28">
        <f>AI91+MIN((AK90)+AH91-AI91,MAX(0,$E91-((H91-G91)+(L91-K91)+(P91-O91)+(T91-S91)+(X91-W91)+(AB91-AA91)+(AF91-AE91))))</f>
        <v/>
      </c>
      <c r="AK91" s="28">
        <f>ROUND(MAX(0,(AK90)+AH91-AJ91),2)</f>
        <v/>
      </c>
      <c r="AL91" s="18">
        <f>I91+M91+Q91+U91+Y91+AC91+AG91+AK91</f>
        <v/>
      </c>
      <c r="AM91" s="27">
        <f>AM90+F91+J91+N91+R91+V91+Z91+AD91+AH91</f>
        <v/>
      </c>
    </row>
    <row r="92">
      <c r="A92" s="25" t="n">
        <v>87</v>
      </c>
      <c r="B92" s="26">
        <f>EDATE('Your Debts'!$B$19,86)</f>
        <v/>
      </c>
      <c r="C92" s="27">
        <f>'Your Debts'!$B$18</f>
        <v/>
      </c>
      <c r="D92" s="27">
        <f>G92+K92+O92+S92+W92+AA92+AE92+AI92</f>
        <v/>
      </c>
      <c r="E92" s="27">
        <f>MAX(0,C92-D92)</f>
        <v/>
      </c>
      <c r="F92" s="28">
        <f>ROUND((I91)*(IF('Your Debts'!$G$5=0,0,INDEX('Your Debts'!$C$5:$C$12,'Your Debts'!$G$5)/12)),2)</f>
        <v/>
      </c>
      <c r="G92" s="28">
        <f>MIN((I91)+F92,IF('Your Debts'!$G$5=0,0,INDEX('Your Debts'!$D$5:$D$12,'Your Debts'!$G$5)))</f>
        <v/>
      </c>
      <c r="H92" s="28">
        <f>G92+MIN((I91)+F92-G92,MAX(0,$E92-(0)))</f>
        <v/>
      </c>
      <c r="I92" s="28">
        <f>ROUND(MAX(0,(I91)+F92-H92),2)</f>
        <v/>
      </c>
      <c r="J92" s="28">
        <f>ROUND((M91)*(IF('Your Debts'!$G$6=0,0,INDEX('Your Debts'!$C$5:$C$12,'Your Debts'!$G$6)/12)),2)</f>
        <v/>
      </c>
      <c r="K92" s="28">
        <f>MIN((M91)+J92,IF('Your Debts'!$G$6=0,0,INDEX('Your Debts'!$D$5:$D$12,'Your Debts'!$G$6)))</f>
        <v/>
      </c>
      <c r="L92" s="28">
        <f>K92+MIN((M91)+J92-K92,MAX(0,$E92-((H92-G92))))</f>
        <v/>
      </c>
      <c r="M92" s="28">
        <f>ROUND(MAX(0,(M91)+J92-L92),2)</f>
        <v/>
      </c>
      <c r="N92" s="28">
        <f>ROUND((Q91)*(IF('Your Debts'!$G$7=0,0,INDEX('Your Debts'!$C$5:$C$12,'Your Debts'!$G$7)/12)),2)</f>
        <v/>
      </c>
      <c r="O92" s="28">
        <f>MIN((Q91)+N92,IF('Your Debts'!$G$7=0,0,INDEX('Your Debts'!$D$5:$D$12,'Your Debts'!$G$7)))</f>
        <v/>
      </c>
      <c r="P92" s="28">
        <f>O92+MIN((Q91)+N92-O92,MAX(0,$E92-((H92-G92)+(L92-K92))))</f>
        <v/>
      </c>
      <c r="Q92" s="28">
        <f>ROUND(MAX(0,(Q91)+N92-P92),2)</f>
        <v/>
      </c>
      <c r="R92" s="28">
        <f>ROUND((U91)*(IF('Your Debts'!$G$8=0,0,INDEX('Your Debts'!$C$5:$C$12,'Your Debts'!$G$8)/12)),2)</f>
        <v/>
      </c>
      <c r="S92" s="28">
        <f>MIN((U91)+R92,IF('Your Debts'!$G$8=0,0,INDEX('Your Debts'!$D$5:$D$12,'Your Debts'!$G$8)))</f>
        <v/>
      </c>
      <c r="T92" s="28">
        <f>S92+MIN((U91)+R92-S92,MAX(0,$E92-((H92-G92)+(L92-K92)+(P92-O92))))</f>
        <v/>
      </c>
      <c r="U92" s="28">
        <f>ROUND(MAX(0,(U91)+R92-T92),2)</f>
        <v/>
      </c>
      <c r="V92" s="28">
        <f>ROUND((Y91)*(IF('Your Debts'!$G$9=0,0,INDEX('Your Debts'!$C$5:$C$12,'Your Debts'!$G$9)/12)),2)</f>
        <v/>
      </c>
      <c r="W92" s="28">
        <f>MIN((Y91)+V92,IF('Your Debts'!$G$9=0,0,INDEX('Your Debts'!$D$5:$D$12,'Your Debts'!$G$9)))</f>
        <v/>
      </c>
      <c r="X92" s="28">
        <f>W92+MIN((Y91)+V92-W92,MAX(0,$E92-((H92-G92)+(L92-K92)+(P92-O92)+(T92-S92))))</f>
        <v/>
      </c>
      <c r="Y92" s="28">
        <f>ROUND(MAX(0,(Y91)+V92-X92),2)</f>
        <v/>
      </c>
      <c r="Z92" s="28">
        <f>ROUND((AC91)*(IF('Your Debts'!$G$10=0,0,INDEX('Your Debts'!$C$5:$C$12,'Your Debts'!$G$10)/12)),2)</f>
        <v/>
      </c>
      <c r="AA92" s="28">
        <f>MIN((AC91)+Z92,IF('Your Debts'!$G$10=0,0,INDEX('Your Debts'!$D$5:$D$12,'Your Debts'!$G$10)))</f>
        <v/>
      </c>
      <c r="AB92" s="28">
        <f>AA92+MIN((AC91)+Z92-AA92,MAX(0,$E92-((H92-G92)+(L92-K92)+(P92-O92)+(T92-S92)+(X92-W92))))</f>
        <v/>
      </c>
      <c r="AC92" s="28">
        <f>ROUND(MAX(0,(AC91)+Z92-AB92),2)</f>
        <v/>
      </c>
      <c r="AD92" s="28">
        <f>ROUND((AG91)*(IF('Your Debts'!$G$11=0,0,INDEX('Your Debts'!$C$5:$C$12,'Your Debts'!$G$11)/12)),2)</f>
        <v/>
      </c>
      <c r="AE92" s="28">
        <f>MIN((AG91)+AD92,IF('Your Debts'!$G$11=0,0,INDEX('Your Debts'!$D$5:$D$12,'Your Debts'!$G$11)))</f>
        <v/>
      </c>
      <c r="AF92" s="28">
        <f>AE92+MIN((AG91)+AD92-AE92,MAX(0,$E92-((H92-G92)+(L92-K92)+(P92-O92)+(T92-S92)+(X92-W92)+(AB92-AA92))))</f>
        <v/>
      </c>
      <c r="AG92" s="28">
        <f>ROUND(MAX(0,(AG91)+AD92-AF92),2)</f>
        <v/>
      </c>
      <c r="AH92" s="28">
        <f>ROUND((AK91)*(IF('Your Debts'!$G$12=0,0,INDEX('Your Debts'!$C$5:$C$12,'Your Debts'!$G$12)/12)),2)</f>
        <v/>
      </c>
      <c r="AI92" s="28">
        <f>MIN((AK91)+AH92,IF('Your Debts'!$G$12=0,0,INDEX('Your Debts'!$D$5:$D$12,'Your Debts'!$G$12)))</f>
        <v/>
      </c>
      <c r="AJ92" s="28">
        <f>AI92+MIN((AK91)+AH92-AI92,MAX(0,$E92-((H92-G92)+(L92-K92)+(P92-O92)+(T92-S92)+(X92-W92)+(AB92-AA92)+(AF92-AE92))))</f>
        <v/>
      </c>
      <c r="AK92" s="28">
        <f>ROUND(MAX(0,(AK91)+AH92-AJ92),2)</f>
        <v/>
      </c>
      <c r="AL92" s="18">
        <f>I92+M92+Q92+U92+Y92+AC92+AG92+AK92</f>
        <v/>
      </c>
      <c r="AM92" s="27">
        <f>AM91+F92+J92+N92+R92+V92+Z92+AD92+AH92</f>
        <v/>
      </c>
    </row>
    <row r="93">
      <c r="A93" s="25" t="n">
        <v>88</v>
      </c>
      <c r="B93" s="26">
        <f>EDATE('Your Debts'!$B$19,87)</f>
        <v/>
      </c>
      <c r="C93" s="27">
        <f>'Your Debts'!$B$18</f>
        <v/>
      </c>
      <c r="D93" s="27">
        <f>G93+K93+O93+S93+W93+AA93+AE93+AI93</f>
        <v/>
      </c>
      <c r="E93" s="27">
        <f>MAX(0,C93-D93)</f>
        <v/>
      </c>
      <c r="F93" s="28">
        <f>ROUND((I92)*(IF('Your Debts'!$G$5=0,0,INDEX('Your Debts'!$C$5:$C$12,'Your Debts'!$G$5)/12)),2)</f>
        <v/>
      </c>
      <c r="G93" s="28">
        <f>MIN((I92)+F93,IF('Your Debts'!$G$5=0,0,INDEX('Your Debts'!$D$5:$D$12,'Your Debts'!$G$5)))</f>
        <v/>
      </c>
      <c r="H93" s="28">
        <f>G93+MIN((I92)+F93-G93,MAX(0,$E93-(0)))</f>
        <v/>
      </c>
      <c r="I93" s="28">
        <f>ROUND(MAX(0,(I92)+F93-H93),2)</f>
        <v/>
      </c>
      <c r="J93" s="28">
        <f>ROUND((M92)*(IF('Your Debts'!$G$6=0,0,INDEX('Your Debts'!$C$5:$C$12,'Your Debts'!$G$6)/12)),2)</f>
        <v/>
      </c>
      <c r="K93" s="28">
        <f>MIN((M92)+J93,IF('Your Debts'!$G$6=0,0,INDEX('Your Debts'!$D$5:$D$12,'Your Debts'!$G$6)))</f>
        <v/>
      </c>
      <c r="L93" s="28">
        <f>K93+MIN((M92)+J93-K93,MAX(0,$E93-((H93-G93))))</f>
        <v/>
      </c>
      <c r="M93" s="28">
        <f>ROUND(MAX(0,(M92)+J93-L93),2)</f>
        <v/>
      </c>
      <c r="N93" s="28">
        <f>ROUND((Q92)*(IF('Your Debts'!$G$7=0,0,INDEX('Your Debts'!$C$5:$C$12,'Your Debts'!$G$7)/12)),2)</f>
        <v/>
      </c>
      <c r="O93" s="28">
        <f>MIN((Q92)+N93,IF('Your Debts'!$G$7=0,0,INDEX('Your Debts'!$D$5:$D$12,'Your Debts'!$G$7)))</f>
        <v/>
      </c>
      <c r="P93" s="28">
        <f>O93+MIN((Q92)+N93-O93,MAX(0,$E93-((H93-G93)+(L93-K93))))</f>
        <v/>
      </c>
      <c r="Q93" s="28">
        <f>ROUND(MAX(0,(Q92)+N93-P93),2)</f>
        <v/>
      </c>
      <c r="R93" s="28">
        <f>ROUND((U92)*(IF('Your Debts'!$G$8=0,0,INDEX('Your Debts'!$C$5:$C$12,'Your Debts'!$G$8)/12)),2)</f>
        <v/>
      </c>
      <c r="S93" s="28">
        <f>MIN((U92)+R93,IF('Your Debts'!$G$8=0,0,INDEX('Your Debts'!$D$5:$D$12,'Your Debts'!$G$8)))</f>
        <v/>
      </c>
      <c r="T93" s="28">
        <f>S93+MIN((U92)+R93-S93,MAX(0,$E93-((H93-G93)+(L93-K93)+(P93-O93))))</f>
        <v/>
      </c>
      <c r="U93" s="28">
        <f>ROUND(MAX(0,(U92)+R93-T93),2)</f>
        <v/>
      </c>
      <c r="V93" s="28">
        <f>ROUND((Y92)*(IF('Your Debts'!$G$9=0,0,INDEX('Your Debts'!$C$5:$C$12,'Your Debts'!$G$9)/12)),2)</f>
        <v/>
      </c>
      <c r="W93" s="28">
        <f>MIN((Y92)+V93,IF('Your Debts'!$G$9=0,0,INDEX('Your Debts'!$D$5:$D$12,'Your Debts'!$G$9)))</f>
        <v/>
      </c>
      <c r="X93" s="28">
        <f>W93+MIN((Y92)+V93-W93,MAX(0,$E93-((H93-G93)+(L93-K93)+(P93-O93)+(T93-S93))))</f>
        <v/>
      </c>
      <c r="Y93" s="28">
        <f>ROUND(MAX(0,(Y92)+V93-X93),2)</f>
        <v/>
      </c>
      <c r="Z93" s="28">
        <f>ROUND((AC92)*(IF('Your Debts'!$G$10=0,0,INDEX('Your Debts'!$C$5:$C$12,'Your Debts'!$G$10)/12)),2)</f>
        <v/>
      </c>
      <c r="AA93" s="28">
        <f>MIN((AC92)+Z93,IF('Your Debts'!$G$10=0,0,INDEX('Your Debts'!$D$5:$D$12,'Your Debts'!$G$10)))</f>
        <v/>
      </c>
      <c r="AB93" s="28">
        <f>AA93+MIN((AC92)+Z93-AA93,MAX(0,$E93-((H93-G93)+(L93-K93)+(P93-O93)+(T93-S93)+(X93-W93))))</f>
        <v/>
      </c>
      <c r="AC93" s="28">
        <f>ROUND(MAX(0,(AC92)+Z93-AB93),2)</f>
        <v/>
      </c>
      <c r="AD93" s="28">
        <f>ROUND((AG92)*(IF('Your Debts'!$G$11=0,0,INDEX('Your Debts'!$C$5:$C$12,'Your Debts'!$G$11)/12)),2)</f>
        <v/>
      </c>
      <c r="AE93" s="28">
        <f>MIN((AG92)+AD93,IF('Your Debts'!$G$11=0,0,INDEX('Your Debts'!$D$5:$D$12,'Your Debts'!$G$11)))</f>
        <v/>
      </c>
      <c r="AF93" s="28">
        <f>AE93+MIN((AG92)+AD93-AE93,MAX(0,$E93-((H93-G93)+(L93-K93)+(P93-O93)+(T93-S93)+(X93-W93)+(AB93-AA93))))</f>
        <v/>
      </c>
      <c r="AG93" s="28">
        <f>ROUND(MAX(0,(AG92)+AD93-AF93),2)</f>
        <v/>
      </c>
      <c r="AH93" s="28">
        <f>ROUND((AK92)*(IF('Your Debts'!$G$12=0,0,INDEX('Your Debts'!$C$5:$C$12,'Your Debts'!$G$12)/12)),2)</f>
        <v/>
      </c>
      <c r="AI93" s="28">
        <f>MIN((AK92)+AH93,IF('Your Debts'!$G$12=0,0,INDEX('Your Debts'!$D$5:$D$12,'Your Debts'!$G$12)))</f>
        <v/>
      </c>
      <c r="AJ93" s="28">
        <f>AI93+MIN((AK92)+AH93-AI93,MAX(0,$E93-((H93-G93)+(L93-K93)+(P93-O93)+(T93-S93)+(X93-W93)+(AB93-AA93)+(AF93-AE93))))</f>
        <v/>
      </c>
      <c r="AK93" s="28">
        <f>ROUND(MAX(0,(AK92)+AH93-AJ93),2)</f>
        <v/>
      </c>
      <c r="AL93" s="18">
        <f>I93+M93+Q93+U93+Y93+AC93+AG93+AK93</f>
        <v/>
      </c>
      <c r="AM93" s="27">
        <f>AM92+F93+J93+N93+R93+V93+Z93+AD93+AH93</f>
        <v/>
      </c>
    </row>
    <row r="94">
      <c r="A94" s="25" t="n">
        <v>89</v>
      </c>
      <c r="B94" s="26">
        <f>EDATE('Your Debts'!$B$19,88)</f>
        <v/>
      </c>
      <c r="C94" s="27">
        <f>'Your Debts'!$B$18</f>
        <v/>
      </c>
      <c r="D94" s="27">
        <f>G94+K94+O94+S94+W94+AA94+AE94+AI94</f>
        <v/>
      </c>
      <c r="E94" s="27">
        <f>MAX(0,C94-D94)</f>
        <v/>
      </c>
      <c r="F94" s="28">
        <f>ROUND((I93)*(IF('Your Debts'!$G$5=0,0,INDEX('Your Debts'!$C$5:$C$12,'Your Debts'!$G$5)/12)),2)</f>
        <v/>
      </c>
      <c r="G94" s="28">
        <f>MIN((I93)+F94,IF('Your Debts'!$G$5=0,0,INDEX('Your Debts'!$D$5:$D$12,'Your Debts'!$G$5)))</f>
        <v/>
      </c>
      <c r="H94" s="28">
        <f>G94+MIN((I93)+F94-G94,MAX(0,$E94-(0)))</f>
        <v/>
      </c>
      <c r="I94" s="28">
        <f>ROUND(MAX(0,(I93)+F94-H94),2)</f>
        <v/>
      </c>
      <c r="J94" s="28">
        <f>ROUND((M93)*(IF('Your Debts'!$G$6=0,0,INDEX('Your Debts'!$C$5:$C$12,'Your Debts'!$G$6)/12)),2)</f>
        <v/>
      </c>
      <c r="K94" s="28">
        <f>MIN((M93)+J94,IF('Your Debts'!$G$6=0,0,INDEX('Your Debts'!$D$5:$D$12,'Your Debts'!$G$6)))</f>
        <v/>
      </c>
      <c r="L94" s="28">
        <f>K94+MIN((M93)+J94-K94,MAX(0,$E94-((H94-G94))))</f>
        <v/>
      </c>
      <c r="M94" s="28">
        <f>ROUND(MAX(0,(M93)+J94-L94),2)</f>
        <v/>
      </c>
      <c r="N94" s="28">
        <f>ROUND((Q93)*(IF('Your Debts'!$G$7=0,0,INDEX('Your Debts'!$C$5:$C$12,'Your Debts'!$G$7)/12)),2)</f>
        <v/>
      </c>
      <c r="O94" s="28">
        <f>MIN((Q93)+N94,IF('Your Debts'!$G$7=0,0,INDEX('Your Debts'!$D$5:$D$12,'Your Debts'!$G$7)))</f>
        <v/>
      </c>
      <c r="P94" s="28">
        <f>O94+MIN((Q93)+N94-O94,MAX(0,$E94-((H94-G94)+(L94-K94))))</f>
        <v/>
      </c>
      <c r="Q94" s="28">
        <f>ROUND(MAX(0,(Q93)+N94-P94),2)</f>
        <v/>
      </c>
      <c r="R94" s="28">
        <f>ROUND((U93)*(IF('Your Debts'!$G$8=0,0,INDEX('Your Debts'!$C$5:$C$12,'Your Debts'!$G$8)/12)),2)</f>
        <v/>
      </c>
      <c r="S94" s="28">
        <f>MIN((U93)+R94,IF('Your Debts'!$G$8=0,0,INDEX('Your Debts'!$D$5:$D$12,'Your Debts'!$G$8)))</f>
        <v/>
      </c>
      <c r="T94" s="28">
        <f>S94+MIN((U93)+R94-S94,MAX(0,$E94-((H94-G94)+(L94-K94)+(P94-O94))))</f>
        <v/>
      </c>
      <c r="U94" s="28">
        <f>ROUND(MAX(0,(U93)+R94-T94),2)</f>
        <v/>
      </c>
      <c r="V94" s="28">
        <f>ROUND((Y93)*(IF('Your Debts'!$G$9=0,0,INDEX('Your Debts'!$C$5:$C$12,'Your Debts'!$G$9)/12)),2)</f>
        <v/>
      </c>
      <c r="W94" s="28">
        <f>MIN((Y93)+V94,IF('Your Debts'!$G$9=0,0,INDEX('Your Debts'!$D$5:$D$12,'Your Debts'!$G$9)))</f>
        <v/>
      </c>
      <c r="X94" s="28">
        <f>W94+MIN((Y93)+V94-W94,MAX(0,$E94-((H94-G94)+(L94-K94)+(P94-O94)+(T94-S94))))</f>
        <v/>
      </c>
      <c r="Y94" s="28">
        <f>ROUND(MAX(0,(Y93)+V94-X94),2)</f>
        <v/>
      </c>
      <c r="Z94" s="28">
        <f>ROUND((AC93)*(IF('Your Debts'!$G$10=0,0,INDEX('Your Debts'!$C$5:$C$12,'Your Debts'!$G$10)/12)),2)</f>
        <v/>
      </c>
      <c r="AA94" s="28">
        <f>MIN((AC93)+Z94,IF('Your Debts'!$G$10=0,0,INDEX('Your Debts'!$D$5:$D$12,'Your Debts'!$G$10)))</f>
        <v/>
      </c>
      <c r="AB94" s="28">
        <f>AA94+MIN((AC93)+Z94-AA94,MAX(0,$E94-((H94-G94)+(L94-K94)+(P94-O94)+(T94-S94)+(X94-W94))))</f>
        <v/>
      </c>
      <c r="AC94" s="28">
        <f>ROUND(MAX(0,(AC93)+Z94-AB94),2)</f>
        <v/>
      </c>
      <c r="AD94" s="28">
        <f>ROUND((AG93)*(IF('Your Debts'!$G$11=0,0,INDEX('Your Debts'!$C$5:$C$12,'Your Debts'!$G$11)/12)),2)</f>
        <v/>
      </c>
      <c r="AE94" s="28">
        <f>MIN((AG93)+AD94,IF('Your Debts'!$G$11=0,0,INDEX('Your Debts'!$D$5:$D$12,'Your Debts'!$G$11)))</f>
        <v/>
      </c>
      <c r="AF94" s="28">
        <f>AE94+MIN((AG93)+AD94-AE94,MAX(0,$E94-((H94-G94)+(L94-K94)+(P94-O94)+(T94-S94)+(X94-W94)+(AB94-AA94))))</f>
        <v/>
      </c>
      <c r="AG94" s="28">
        <f>ROUND(MAX(0,(AG93)+AD94-AF94),2)</f>
        <v/>
      </c>
      <c r="AH94" s="28">
        <f>ROUND((AK93)*(IF('Your Debts'!$G$12=0,0,INDEX('Your Debts'!$C$5:$C$12,'Your Debts'!$G$12)/12)),2)</f>
        <v/>
      </c>
      <c r="AI94" s="28">
        <f>MIN((AK93)+AH94,IF('Your Debts'!$G$12=0,0,INDEX('Your Debts'!$D$5:$D$12,'Your Debts'!$G$12)))</f>
        <v/>
      </c>
      <c r="AJ94" s="28">
        <f>AI94+MIN((AK93)+AH94-AI94,MAX(0,$E94-((H94-G94)+(L94-K94)+(P94-O94)+(T94-S94)+(X94-W94)+(AB94-AA94)+(AF94-AE94))))</f>
        <v/>
      </c>
      <c r="AK94" s="28">
        <f>ROUND(MAX(0,(AK93)+AH94-AJ94),2)</f>
        <v/>
      </c>
      <c r="AL94" s="18">
        <f>I94+M94+Q94+U94+Y94+AC94+AG94+AK94</f>
        <v/>
      </c>
      <c r="AM94" s="27">
        <f>AM93+F94+J94+N94+R94+V94+Z94+AD94+AH94</f>
        <v/>
      </c>
    </row>
    <row r="95">
      <c r="A95" s="25" t="n">
        <v>90</v>
      </c>
      <c r="B95" s="26">
        <f>EDATE('Your Debts'!$B$19,89)</f>
        <v/>
      </c>
      <c r="C95" s="27">
        <f>'Your Debts'!$B$18</f>
        <v/>
      </c>
      <c r="D95" s="27">
        <f>G95+K95+O95+S95+W95+AA95+AE95+AI95</f>
        <v/>
      </c>
      <c r="E95" s="27">
        <f>MAX(0,C95-D95)</f>
        <v/>
      </c>
      <c r="F95" s="28">
        <f>ROUND((I94)*(IF('Your Debts'!$G$5=0,0,INDEX('Your Debts'!$C$5:$C$12,'Your Debts'!$G$5)/12)),2)</f>
        <v/>
      </c>
      <c r="G95" s="28">
        <f>MIN((I94)+F95,IF('Your Debts'!$G$5=0,0,INDEX('Your Debts'!$D$5:$D$12,'Your Debts'!$G$5)))</f>
        <v/>
      </c>
      <c r="H95" s="28">
        <f>G95+MIN((I94)+F95-G95,MAX(0,$E95-(0)))</f>
        <v/>
      </c>
      <c r="I95" s="28">
        <f>ROUND(MAX(0,(I94)+F95-H95),2)</f>
        <v/>
      </c>
      <c r="J95" s="28">
        <f>ROUND((M94)*(IF('Your Debts'!$G$6=0,0,INDEX('Your Debts'!$C$5:$C$12,'Your Debts'!$G$6)/12)),2)</f>
        <v/>
      </c>
      <c r="K95" s="28">
        <f>MIN((M94)+J95,IF('Your Debts'!$G$6=0,0,INDEX('Your Debts'!$D$5:$D$12,'Your Debts'!$G$6)))</f>
        <v/>
      </c>
      <c r="L95" s="28">
        <f>K95+MIN((M94)+J95-K95,MAX(0,$E95-((H95-G95))))</f>
        <v/>
      </c>
      <c r="M95" s="28">
        <f>ROUND(MAX(0,(M94)+J95-L95),2)</f>
        <v/>
      </c>
      <c r="N95" s="28">
        <f>ROUND((Q94)*(IF('Your Debts'!$G$7=0,0,INDEX('Your Debts'!$C$5:$C$12,'Your Debts'!$G$7)/12)),2)</f>
        <v/>
      </c>
      <c r="O95" s="28">
        <f>MIN((Q94)+N95,IF('Your Debts'!$G$7=0,0,INDEX('Your Debts'!$D$5:$D$12,'Your Debts'!$G$7)))</f>
        <v/>
      </c>
      <c r="P95" s="28">
        <f>O95+MIN((Q94)+N95-O95,MAX(0,$E95-((H95-G95)+(L95-K95))))</f>
        <v/>
      </c>
      <c r="Q95" s="28">
        <f>ROUND(MAX(0,(Q94)+N95-P95),2)</f>
        <v/>
      </c>
      <c r="R95" s="28">
        <f>ROUND((U94)*(IF('Your Debts'!$G$8=0,0,INDEX('Your Debts'!$C$5:$C$12,'Your Debts'!$G$8)/12)),2)</f>
        <v/>
      </c>
      <c r="S95" s="28">
        <f>MIN((U94)+R95,IF('Your Debts'!$G$8=0,0,INDEX('Your Debts'!$D$5:$D$12,'Your Debts'!$G$8)))</f>
        <v/>
      </c>
      <c r="T95" s="28">
        <f>S95+MIN((U94)+R95-S95,MAX(0,$E95-((H95-G95)+(L95-K95)+(P95-O95))))</f>
        <v/>
      </c>
      <c r="U95" s="28">
        <f>ROUND(MAX(0,(U94)+R95-T95),2)</f>
        <v/>
      </c>
      <c r="V95" s="28">
        <f>ROUND((Y94)*(IF('Your Debts'!$G$9=0,0,INDEX('Your Debts'!$C$5:$C$12,'Your Debts'!$G$9)/12)),2)</f>
        <v/>
      </c>
      <c r="W95" s="28">
        <f>MIN((Y94)+V95,IF('Your Debts'!$G$9=0,0,INDEX('Your Debts'!$D$5:$D$12,'Your Debts'!$G$9)))</f>
        <v/>
      </c>
      <c r="X95" s="28">
        <f>W95+MIN((Y94)+V95-W95,MAX(0,$E95-((H95-G95)+(L95-K95)+(P95-O95)+(T95-S95))))</f>
        <v/>
      </c>
      <c r="Y95" s="28">
        <f>ROUND(MAX(0,(Y94)+V95-X95),2)</f>
        <v/>
      </c>
      <c r="Z95" s="28">
        <f>ROUND((AC94)*(IF('Your Debts'!$G$10=0,0,INDEX('Your Debts'!$C$5:$C$12,'Your Debts'!$G$10)/12)),2)</f>
        <v/>
      </c>
      <c r="AA95" s="28">
        <f>MIN((AC94)+Z95,IF('Your Debts'!$G$10=0,0,INDEX('Your Debts'!$D$5:$D$12,'Your Debts'!$G$10)))</f>
        <v/>
      </c>
      <c r="AB95" s="28">
        <f>AA95+MIN((AC94)+Z95-AA95,MAX(0,$E95-((H95-G95)+(L95-K95)+(P95-O95)+(T95-S95)+(X95-W95))))</f>
        <v/>
      </c>
      <c r="AC95" s="28">
        <f>ROUND(MAX(0,(AC94)+Z95-AB95),2)</f>
        <v/>
      </c>
      <c r="AD95" s="28">
        <f>ROUND((AG94)*(IF('Your Debts'!$G$11=0,0,INDEX('Your Debts'!$C$5:$C$12,'Your Debts'!$G$11)/12)),2)</f>
        <v/>
      </c>
      <c r="AE95" s="28">
        <f>MIN((AG94)+AD95,IF('Your Debts'!$G$11=0,0,INDEX('Your Debts'!$D$5:$D$12,'Your Debts'!$G$11)))</f>
        <v/>
      </c>
      <c r="AF95" s="28">
        <f>AE95+MIN((AG94)+AD95-AE95,MAX(0,$E95-((H95-G95)+(L95-K95)+(P95-O95)+(T95-S95)+(X95-W95)+(AB95-AA95))))</f>
        <v/>
      </c>
      <c r="AG95" s="28">
        <f>ROUND(MAX(0,(AG94)+AD95-AF95),2)</f>
        <v/>
      </c>
      <c r="AH95" s="28">
        <f>ROUND((AK94)*(IF('Your Debts'!$G$12=0,0,INDEX('Your Debts'!$C$5:$C$12,'Your Debts'!$G$12)/12)),2)</f>
        <v/>
      </c>
      <c r="AI95" s="28">
        <f>MIN((AK94)+AH95,IF('Your Debts'!$G$12=0,0,INDEX('Your Debts'!$D$5:$D$12,'Your Debts'!$G$12)))</f>
        <v/>
      </c>
      <c r="AJ95" s="28">
        <f>AI95+MIN((AK94)+AH95-AI95,MAX(0,$E95-((H95-G95)+(L95-K95)+(P95-O95)+(T95-S95)+(X95-W95)+(AB95-AA95)+(AF95-AE95))))</f>
        <v/>
      </c>
      <c r="AK95" s="28">
        <f>ROUND(MAX(0,(AK94)+AH95-AJ95),2)</f>
        <v/>
      </c>
      <c r="AL95" s="18">
        <f>I95+M95+Q95+U95+Y95+AC95+AG95+AK95</f>
        <v/>
      </c>
      <c r="AM95" s="27">
        <f>AM94+F95+J95+N95+R95+V95+Z95+AD95+AH95</f>
        <v/>
      </c>
    </row>
    <row r="96">
      <c r="A96" s="25" t="n">
        <v>91</v>
      </c>
      <c r="B96" s="26">
        <f>EDATE('Your Debts'!$B$19,90)</f>
        <v/>
      </c>
      <c r="C96" s="27">
        <f>'Your Debts'!$B$18</f>
        <v/>
      </c>
      <c r="D96" s="27">
        <f>G96+K96+O96+S96+W96+AA96+AE96+AI96</f>
        <v/>
      </c>
      <c r="E96" s="27">
        <f>MAX(0,C96-D96)</f>
        <v/>
      </c>
      <c r="F96" s="28">
        <f>ROUND((I95)*(IF('Your Debts'!$G$5=0,0,INDEX('Your Debts'!$C$5:$C$12,'Your Debts'!$G$5)/12)),2)</f>
        <v/>
      </c>
      <c r="G96" s="28">
        <f>MIN((I95)+F96,IF('Your Debts'!$G$5=0,0,INDEX('Your Debts'!$D$5:$D$12,'Your Debts'!$G$5)))</f>
        <v/>
      </c>
      <c r="H96" s="28">
        <f>G96+MIN((I95)+F96-G96,MAX(0,$E96-(0)))</f>
        <v/>
      </c>
      <c r="I96" s="28">
        <f>ROUND(MAX(0,(I95)+F96-H96),2)</f>
        <v/>
      </c>
      <c r="J96" s="28">
        <f>ROUND((M95)*(IF('Your Debts'!$G$6=0,0,INDEX('Your Debts'!$C$5:$C$12,'Your Debts'!$G$6)/12)),2)</f>
        <v/>
      </c>
      <c r="K96" s="28">
        <f>MIN((M95)+J96,IF('Your Debts'!$G$6=0,0,INDEX('Your Debts'!$D$5:$D$12,'Your Debts'!$G$6)))</f>
        <v/>
      </c>
      <c r="L96" s="28">
        <f>K96+MIN((M95)+J96-K96,MAX(0,$E96-((H96-G96))))</f>
        <v/>
      </c>
      <c r="M96" s="28">
        <f>ROUND(MAX(0,(M95)+J96-L96),2)</f>
        <v/>
      </c>
      <c r="N96" s="28">
        <f>ROUND((Q95)*(IF('Your Debts'!$G$7=0,0,INDEX('Your Debts'!$C$5:$C$12,'Your Debts'!$G$7)/12)),2)</f>
        <v/>
      </c>
      <c r="O96" s="28">
        <f>MIN((Q95)+N96,IF('Your Debts'!$G$7=0,0,INDEX('Your Debts'!$D$5:$D$12,'Your Debts'!$G$7)))</f>
        <v/>
      </c>
      <c r="P96" s="28">
        <f>O96+MIN((Q95)+N96-O96,MAX(0,$E96-((H96-G96)+(L96-K96))))</f>
        <v/>
      </c>
      <c r="Q96" s="28">
        <f>ROUND(MAX(0,(Q95)+N96-P96),2)</f>
        <v/>
      </c>
      <c r="R96" s="28">
        <f>ROUND((U95)*(IF('Your Debts'!$G$8=0,0,INDEX('Your Debts'!$C$5:$C$12,'Your Debts'!$G$8)/12)),2)</f>
        <v/>
      </c>
      <c r="S96" s="28">
        <f>MIN((U95)+R96,IF('Your Debts'!$G$8=0,0,INDEX('Your Debts'!$D$5:$D$12,'Your Debts'!$G$8)))</f>
        <v/>
      </c>
      <c r="T96" s="28">
        <f>S96+MIN((U95)+R96-S96,MAX(0,$E96-((H96-G96)+(L96-K96)+(P96-O96))))</f>
        <v/>
      </c>
      <c r="U96" s="28">
        <f>ROUND(MAX(0,(U95)+R96-T96),2)</f>
        <v/>
      </c>
      <c r="V96" s="28">
        <f>ROUND((Y95)*(IF('Your Debts'!$G$9=0,0,INDEX('Your Debts'!$C$5:$C$12,'Your Debts'!$G$9)/12)),2)</f>
        <v/>
      </c>
      <c r="W96" s="28">
        <f>MIN((Y95)+V96,IF('Your Debts'!$G$9=0,0,INDEX('Your Debts'!$D$5:$D$12,'Your Debts'!$G$9)))</f>
        <v/>
      </c>
      <c r="X96" s="28">
        <f>W96+MIN((Y95)+V96-W96,MAX(0,$E96-((H96-G96)+(L96-K96)+(P96-O96)+(T96-S96))))</f>
        <v/>
      </c>
      <c r="Y96" s="28">
        <f>ROUND(MAX(0,(Y95)+V96-X96),2)</f>
        <v/>
      </c>
      <c r="Z96" s="28">
        <f>ROUND((AC95)*(IF('Your Debts'!$G$10=0,0,INDEX('Your Debts'!$C$5:$C$12,'Your Debts'!$G$10)/12)),2)</f>
        <v/>
      </c>
      <c r="AA96" s="28">
        <f>MIN((AC95)+Z96,IF('Your Debts'!$G$10=0,0,INDEX('Your Debts'!$D$5:$D$12,'Your Debts'!$G$10)))</f>
        <v/>
      </c>
      <c r="AB96" s="28">
        <f>AA96+MIN((AC95)+Z96-AA96,MAX(0,$E96-((H96-G96)+(L96-K96)+(P96-O96)+(T96-S96)+(X96-W96))))</f>
        <v/>
      </c>
      <c r="AC96" s="28">
        <f>ROUND(MAX(0,(AC95)+Z96-AB96),2)</f>
        <v/>
      </c>
      <c r="AD96" s="28">
        <f>ROUND((AG95)*(IF('Your Debts'!$G$11=0,0,INDEX('Your Debts'!$C$5:$C$12,'Your Debts'!$G$11)/12)),2)</f>
        <v/>
      </c>
      <c r="AE96" s="28">
        <f>MIN((AG95)+AD96,IF('Your Debts'!$G$11=0,0,INDEX('Your Debts'!$D$5:$D$12,'Your Debts'!$G$11)))</f>
        <v/>
      </c>
      <c r="AF96" s="28">
        <f>AE96+MIN((AG95)+AD96-AE96,MAX(0,$E96-((H96-G96)+(L96-K96)+(P96-O96)+(T96-S96)+(X96-W96)+(AB96-AA96))))</f>
        <v/>
      </c>
      <c r="AG96" s="28">
        <f>ROUND(MAX(0,(AG95)+AD96-AF96),2)</f>
        <v/>
      </c>
      <c r="AH96" s="28">
        <f>ROUND((AK95)*(IF('Your Debts'!$G$12=0,0,INDEX('Your Debts'!$C$5:$C$12,'Your Debts'!$G$12)/12)),2)</f>
        <v/>
      </c>
      <c r="AI96" s="28">
        <f>MIN((AK95)+AH96,IF('Your Debts'!$G$12=0,0,INDEX('Your Debts'!$D$5:$D$12,'Your Debts'!$G$12)))</f>
        <v/>
      </c>
      <c r="AJ96" s="28">
        <f>AI96+MIN((AK95)+AH96-AI96,MAX(0,$E96-((H96-G96)+(L96-K96)+(P96-O96)+(T96-S96)+(X96-W96)+(AB96-AA96)+(AF96-AE96))))</f>
        <v/>
      </c>
      <c r="AK96" s="28">
        <f>ROUND(MAX(0,(AK95)+AH96-AJ96),2)</f>
        <v/>
      </c>
      <c r="AL96" s="18">
        <f>I96+M96+Q96+U96+Y96+AC96+AG96+AK96</f>
        <v/>
      </c>
      <c r="AM96" s="27">
        <f>AM95+F96+J96+N96+R96+V96+Z96+AD96+AH96</f>
        <v/>
      </c>
    </row>
    <row r="97">
      <c r="A97" s="25" t="n">
        <v>92</v>
      </c>
      <c r="B97" s="26">
        <f>EDATE('Your Debts'!$B$19,91)</f>
        <v/>
      </c>
      <c r="C97" s="27">
        <f>'Your Debts'!$B$18</f>
        <v/>
      </c>
      <c r="D97" s="27">
        <f>G97+K97+O97+S97+W97+AA97+AE97+AI97</f>
        <v/>
      </c>
      <c r="E97" s="27">
        <f>MAX(0,C97-D97)</f>
        <v/>
      </c>
      <c r="F97" s="28">
        <f>ROUND((I96)*(IF('Your Debts'!$G$5=0,0,INDEX('Your Debts'!$C$5:$C$12,'Your Debts'!$G$5)/12)),2)</f>
        <v/>
      </c>
      <c r="G97" s="28">
        <f>MIN((I96)+F97,IF('Your Debts'!$G$5=0,0,INDEX('Your Debts'!$D$5:$D$12,'Your Debts'!$G$5)))</f>
        <v/>
      </c>
      <c r="H97" s="28">
        <f>G97+MIN((I96)+F97-G97,MAX(0,$E97-(0)))</f>
        <v/>
      </c>
      <c r="I97" s="28">
        <f>ROUND(MAX(0,(I96)+F97-H97),2)</f>
        <v/>
      </c>
      <c r="J97" s="28">
        <f>ROUND((M96)*(IF('Your Debts'!$G$6=0,0,INDEX('Your Debts'!$C$5:$C$12,'Your Debts'!$G$6)/12)),2)</f>
        <v/>
      </c>
      <c r="K97" s="28">
        <f>MIN((M96)+J97,IF('Your Debts'!$G$6=0,0,INDEX('Your Debts'!$D$5:$D$12,'Your Debts'!$G$6)))</f>
        <v/>
      </c>
      <c r="L97" s="28">
        <f>K97+MIN((M96)+J97-K97,MAX(0,$E97-((H97-G97))))</f>
        <v/>
      </c>
      <c r="M97" s="28">
        <f>ROUND(MAX(0,(M96)+J97-L97),2)</f>
        <v/>
      </c>
      <c r="N97" s="28">
        <f>ROUND((Q96)*(IF('Your Debts'!$G$7=0,0,INDEX('Your Debts'!$C$5:$C$12,'Your Debts'!$G$7)/12)),2)</f>
        <v/>
      </c>
      <c r="O97" s="28">
        <f>MIN((Q96)+N97,IF('Your Debts'!$G$7=0,0,INDEX('Your Debts'!$D$5:$D$12,'Your Debts'!$G$7)))</f>
        <v/>
      </c>
      <c r="P97" s="28">
        <f>O97+MIN((Q96)+N97-O97,MAX(0,$E97-((H97-G97)+(L97-K97))))</f>
        <v/>
      </c>
      <c r="Q97" s="28">
        <f>ROUND(MAX(0,(Q96)+N97-P97),2)</f>
        <v/>
      </c>
      <c r="R97" s="28">
        <f>ROUND((U96)*(IF('Your Debts'!$G$8=0,0,INDEX('Your Debts'!$C$5:$C$12,'Your Debts'!$G$8)/12)),2)</f>
        <v/>
      </c>
      <c r="S97" s="28">
        <f>MIN((U96)+R97,IF('Your Debts'!$G$8=0,0,INDEX('Your Debts'!$D$5:$D$12,'Your Debts'!$G$8)))</f>
        <v/>
      </c>
      <c r="T97" s="28">
        <f>S97+MIN((U96)+R97-S97,MAX(0,$E97-((H97-G97)+(L97-K97)+(P97-O97))))</f>
        <v/>
      </c>
      <c r="U97" s="28">
        <f>ROUND(MAX(0,(U96)+R97-T97),2)</f>
        <v/>
      </c>
      <c r="V97" s="28">
        <f>ROUND((Y96)*(IF('Your Debts'!$G$9=0,0,INDEX('Your Debts'!$C$5:$C$12,'Your Debts'!$G$9)/12)),2)</f>
        <v/>
      </c>
      <c r="W97" s="28">
        <f>MIN((Y96)+V97,IF('Your Debts'!$G$9=0,0,INDEX('Your Debts'!$D$5:$D$12,'Your Debts'!$G$9)))</f>
        <v/>
      </c>
      <c r="X97" s="28">
        <f>W97+MIN((Y96)+V97-W97,MAX(0,$E97-((H97-G97)+(L97-K97)+(P97-O97)+(T97-S97))))</f>
        <v/>
      </c>
      <c r="Y97" s="28">
        <f>ROUND(MAX(0,(Y96)+V97-X97),2)</f>
        <v/>
      </c>
      <c r="Z97" s="28">
        <f>ROUND((AC96)*(IF('Your Debts'!$G$10=0,0,INDEX('Your Debts'!$C$5:$C$12,'Your Debts'!$G$10)/12)),2)</f>
        <v/>
      </c>
      <c r="AA97" s="28">
        <f>MIN((AC96)+Z97,IF('Your Debts'!$G$10=0,0,INDEX('Your Debts'!$D$5:$D$12,'Your Debts'!$G$10)))</f>
        <v/>
      </c>
      <c r="AB97" s="28">
        <f>AA97+MIN((AC96)+Z97-AA97,MAX(0,$E97-((H97-G97)+(L97-K97)+(P97-O97)+(T97-S97)+(X97-W97))))</f>
        <v/>
      </c>
      <c r="AC97" s="28">
        <f>ROUND(MAX(0,(AC96)+Z97-AB97),2)</f>
        <v/>
      </c>
      <c r="AD97" s="28">
        <f>ROUND((AG96)*(IF('Your Debts'!$G$11=0,0,INDEX('Your Debts'!$C$5:$C$12,'Your Debts'!$G$11)/12)),2)</f>
        <v/>
      </c>
      <c r="AE97" s="28">
        <f>MIN((AG96)+AD97,IF('Your Debts'!$G$11=0,0,INDEX('Your Debts'!$D$5:$D$12,'Your Debts'!$G$11)))</f>
        <v/>
      </c>
      <c r="AF97" s="28">
        <f>AE97+MIN((AG96)+AD97-AE97,MAX(0,$E97-((H97-G97)+(L97-K97)+(P97-O97)+(T97-S97)+(X97-W97)+(AB97-AA97))))</f>
        <v/>
      </c>
      <c r="AG97" s="28">
        <f>ROUND(MAX(0,(AG96)+AD97-AF97),2)</f>
        <v/>
      </c>
      <c r="AH97" s="28">
        <f>ROUND((AK96)*(IF('Your Debts'!$G$12=0,0,INDEX('Your Debts'!$C$5:$C$12,'Your Debts'!$G$12)/12)),2)</f>
        <v/>
      </c>
      <c r="AI97" s="28">
        <f>MIN((AK96)+AH97,IF('Your Debts'!$G$12=0,0,INDEX('Your Debts'!$D$5:$D$12,'Your Debts'!$G$12)))</f>
        <v/>
      </c>
      <c r="AJ97" s="28">
        <f>AI97+MIN((AK96)+AH97-AI97,MAX(0,$E97-((H97-G97)+(L97-K97)+(P97-O97)+(T97-S97)+(X97-W97)+(AB97-AA97)+(AF97-AE97))))</f>
        <v/>
      </c>
      <c r="AK97" s="28">
        <f>ROUND(MAX(0,(AK96)+AH97-AJ97),2)</f>
        <v/>
      </c>
      <c r="AL97" s="18">
        <f>I97+M97+Q97+U97+Y97+AC97+AG97+AK97</f>
        <v/>
      </c>
      <c r="AM97" s="27">
        <f>AM96+F97+J97+N97+R97+V97+Z97+AD97+AH97</f>
        <v/>
      </c>
    </row>
    <row r="98">
      <c r="A98" s="25" t="n">
        <v>93</v>
      </c>
      <c r="B98" s="26">
        <f>EDATE('Your Debts'!$B$19,92)</f>
        <v/>
      </c>
      <c r="C98" s="27">
        <f>'Your Debts'!$B$18</f>
        <v/>
      </c>
      <c r="D98" s="27">
        <f>G98+K98+O98+S98+W98+AA98+AE98+AI98</f>
        <v/>
      </c>
      <c r="E98" s="27">
        <f>MAX(0,C98-D98)</f>
        <v/>
      </c>
      <c r="F98" s="28">
        <f>ROUND((I97)*(IF('Your Debts'!$G$5=0,0,INDEX('Your Debts'!$C$5:$C$12,'Your Debts'!$G$5)/12)),2)</f>
        <v/>
      </c>
      <c r="G98" s="28">
        <f>MIN((I97)+F98,IF('Your Debts'!$G$5=0,0,INDEX('Your Debts'!$D$5:$D$12,'Your Debts'!$G$5)))</f>
        <v/>
      </c>
      <c r="H98" s="28">
        <f>G98+MIN((I97)+F98-G98,MAX(0,$E98-(0)))</f>
        <v/>
      </c>
      <c r="I98" s="28">
        <f>ROUND(MAX(0,(I97)+F98-H98),2)</f>
        <v/>
      </c>
      <c r="J98" s="28">
        <f>ROUND((M97)*(IF('Your Debts'!$G$6=0,0,INDEX('Your Debts'!$C$5:$C$12,'Your Debts'!$G$6)/12)),2)</f>
        <v/>
      </c>
      <c r="K98" s="28">
        <f>MIN((M97)+J98,IF('Your Debts'!$G$6=0,0,INDEX('Your Debts'!$D$5:$D$12,'Your Debts'!$G$6)))</f>
        <v/>
      </c>
      <c r="L98" s="28">
        <f>K98+MIN((M97)+J98-K98,MAX(0,$E98-((H98-G98))))</f>
        <v/>
      </c>
      <c r="M98" s="28">
        <f>ROUND(MAX(0,(M97)+J98-L98),2)</f>
        <v/>
      </c>
      <c r="N98" s="28">
        <f>ROUND((Q97)*(IF('Your Debts'!$G$7=0,0,INDEX('Your Debts'!$C$5:$C$12,'Your Debts'!$G$7)/12)),2)</f>
        <v/>
      </c>
      <c r="O98" s="28">
        <f>MIN((Q97)+N98,IF('Your Debts'!$G$7=0,0,INDEX('Your Debts'!$D$5:$D$12,'Your Debts'!$G$7)))</f>
        <v/>
      </c>
      <c r="P98" s="28">
        <f>O98+MIN((Q97)+N98-O98,MAX(0,$E98-((H98-G98)+(L98-K98))))</f>
        <v/>
      </c>
      <c r="Q98" s="28">
        <f>ROUND(MAX(0,(Q97)+N98-P98),2)</f>
        <v/>
      </c>
      <c r="R98" s="28">
        <f>ROUND((U97)*(IF('Your Debts'!$G$8=0,0,INDEX('Your Debts'!$C$5:$C$12,'Your Debts'!$G$8)/12)),2)</f>
        <v/>
      </c>
      <c r="S98" s="28">
        <f>MIN((U97)+R98,IF('Your Debts'!$G$8=0,0,INDEX('Your Debts'!$D$5:$D$12,'Your Debts'!$G$8)))</f>
        <v/>
      </c>
      <c r="T98" s="28">
        <f>S98+MIN((U97)+R98-S98,MAX(0,$E98-((H98-G98)+(L98-K98)+(P98-O98))))</f>
        <v/>
      </c>
      <c r="U98" s="28">
        <f>ROUND(MAX(0,(U97)+R98-T98),2)</f>
        <v/>
      </c>
      <c r="V98" s="28">
        <f>ROUND((Y97)*(IF('Your Debts'!$G$9=0,0,INDEX('Your Debts'!$C$5:$C$12,'Your Debts'!$G$9)/12)),2)</f>
        <v/>
      </c>
      <c r="W98" s="28">
        <f>MIN((Y97)+V98,IF('Your Debts'!$G$9=0,0,INDEX('Your Debts'!$D$5:$D$12,'Your Debts'!$G$9)))</f>
        <v/>
      </c>
      <c r="X98" s="28">
        <f>W98+MIN((Y97)+V98-W98,MAX(0,$E98-((H98-G98)+(L98-K98)+(P98-O98)+(T98-S98))))</f>
        <v/>
      </c>
      <c r="Y98" s="28">
        <f>ROUND(MAX(0,(Y97)+V98-X98),2)</f>
        <v/>
      </c>
      <c r="Z98" s="28">
        <f>ROUND((AC97)*(IF('Your Debts'!$G$10=0,0,INDEX('Your Debts'!$C$5:$C$12,'Your Debts'!$G$10)/12)),2)</f>
        <v/>
      </c>
      <c r="AA98" s="28">
        <f>MIN((AC97)+Z98,IF('Your Debts'!$G$10=0,0,INDEX('Your Debts'!$D$5:$D$12,'Your Debts'!$G$10)))</f>
        <v/>
      </c>
      <c r="AB98" s="28">
        <f>AA98+MIN((AC97)+Z98-AA98,MAX(0,$E98-((H98-G98)+(L98-K98)+(P98-O98)+(T98-S98)+(X98-W98))))</f>
        <v/>
      </c>
      <c r="AC98" s="28">
        <f>ROUND(MAX(0,(AC97)+Z98-AB98),2)</f>
        <v/>
      </c>
      <c r="AD98" s="28">
        <f>ROUND((AG97)*(IF('Your Debts'!$G$11=0,0,INDEX('Your Debts'!$C$5:$C$12,'Your Debts'!$G$11)/12)),2)</f>
        <v/>
      </c>
      <c r="AE98" s="28">
        <f>MIN((AG97)+AD98,IF('Your Debts'!$G$11=0,0,INDEX('Your Debts'!$D$5:$D$12,'Your Debts'!$G$11)))</f>
        <v/>
      </c>
      <c r="AF98" s="28">
        <f>AE98+MIN((AG97)+AD98-AE98,MAX(0,$E98-((H98-G98)+(L98-K98)+(P98-O98)+(T98-S98)+(X98-W98)+(AB98-AA98))))</f>
        <v/>
      </c>
      <c r="AG98" s="28">
        <f>ROUND(MAX(0,(AG97)+AD98-AF98),2)</f>
        <v/>
      </c>
      <c r="AH98" s="28">
        <f>ROUND((AK97)*(IF('Your Debts'!$G$12=0,0,INDEX('Your Debts'!$C$5:$C$12,'Your Debts'!$G$12)/12)),2)</f>
        <v/>
      </c>
      <c r="AI98" s="28">
        <f>MIN((AK97)+AH98,IF('Your Debts'!$G$12=0,0,INDEX('Your Debts'!$D$5:$D$12,'Your Debts'!$G$12)))</f>
        <v/>
      </c>
      <c r="AJ98" s="28">
        <f>AI98+MIN((AK97)+AH98-AI98,MAX(0,$E98-((H98-G98)+(L98-K98)+(P98-O98)+(T98-S98)+(X98-W98)+(AB98-AA98)+(AF98-AE98))))</f>
        <v/>
      </c>
      <c r="AK98" s="28">
        <f>ROUND(MAX(0,(AK97)+AH98-AJ98),2)</f>
        <v/>
      </c>
      <c r="AL98" s="18">
        <f>I98+M98+Q98+U98+Y98+AC98+AG98+AK98</f>
        <v/>
      </c>
      <c r="AM98" s="27">
        <f>AM97+F98+J98+N98+R98+V98+Z98+AD98+AH98</f>
        <v/>
      </c>
    </row>
    <row r="99">
      <c r="A99" s="25" t="n">
        <v>94</v>
      </c>
      <c r="B99" s="26">
        <f>EDATE('Your Debts'!$B$19,93)</f>
        <v/>
      </c>
      <c r="C99" s="27">
        <f>'Your Debts'!$B$18</f>
        <v/>
      </c>
      <c r="D99" s="27">
        <f>G99+K99+O99+S99+W99+AA99+AE99+AI99</f>
        <v/>
      </c>
      <c r="E99" s="27">
        <f>MAX(0,C99-D99)</f>
        <v/>
      </c>
      <c r="F99" s="28">
        <f>ROUND((I98)*(IF('Your Debts'!$G$5=0,0,INDEX('Your Debts'!$C$5:$C$12,'Your Debts'!$G$5)/12)),2)</f>
        <v/>
      </c>
      <c r="G99" s="28">
        <f>MIN((I98)+F99,IF('Your Debts'!$G$5=0,0,INDEX('Your Debts'!$D$5:$D$12,'Your Debts'!$G$5)))</f>
        <v/>
      </c>
      <c r="H99" s="28">
        <f>G99+MIN((I98)+F99-G99,MAX(0,$E99-(0)))</f>
        <v/>
      </c>
      <c r="I99" s="28">
        <f>ROUND(MAX(0,(I98)+F99-H99),2)</f>
        <v/>
      </c>
      <c r="J99" s="28">
        <f>ROUND((M98)*(IF('Your Debts'!$G$6=0,0,INDEX('Your Debts'!$C$5:$C$12,'Your Debts'!$G$6)/12)),2)</f>
        <v/>
      </c>
      <c r="K99" s="28">
        <f>MIN((M98)+J99,IF('Your Debts'!$G$6=0,0,INDEX('Your Debts'!$D$5:$D$12,'Your Debts'!$G$6)))</f>
        <v/>
      </c>
      <c r="L99" s="28">
        <f>K99+MIN((M98)+J99-K99,MAX(0,$E99-((H99-G99))))</f>
        <v/>
      </c>
      <c r="M99" s="28">
        <f>ROUND(MAX(0,(M98)+J99-L99),2)</f>
        <v/>
      </c>
      <c r="N99" s="28">
        <f>ROUND((Q98)*(IF('Your Debts'!$G$7=0,0,INDEX('Your Debts'!$C$5:$C$12,'Your Debts'!$G$7)/12)),2)</f>
        <v/>
      </c>
      <c r="O99" s="28">
        <f>MIN((Q98)+N99,IF('Your Debts'!$G$7=0,0,INDEX('Your Debts'!$D$5:$D$12,'Your Debts'!$G$7)))</f>
        <v/>
      </c>
      <c r="P99" s="28">
        <f>O99+MIN((Q98)+N99-O99,MAX(0,$E99-((H99-G99)+(L99-K99))))</f>
        <v/>
      </c>
      <c r="Q99" s="28">
        <f>ROUND(MAX(0,(Q98)+N99-P99),2)</f>
        <v/>
      </c>
      <c r="R99" s="28">
        <f>ROUND((U98)*(IF('Your Debts'!$G$8=0,0,INDEX('Your Debts'!$C$5:$C$12,'Your Debts'!$G$8)/12)),2)</f>
        <v/>
      </c>
      <c r="S99" s="28">
        <f>MIN((U98)+R99,IF('Your Debts'!$G$8=0,0,INDEX('Your Debts'!$D$5:$D$12,'Your Debts'!$G$8)))</f>
        <v/>
      </c>
      <c r="T99" s="28">
        <f>S99+MIN((U98)+R99-S99,MAX(0,$E99-((H99-G99)+(L99-K99)+(P99-O99))))</f>
        <v/>
      </c>
      <c r="U99" s="28">
        <f>ROUND(MAX(0,(U98)+R99-T99),2)</f>
        <v/>
      </c>
      <c r="V99" s="28">
        <f>ROUND((Y98)*(IF('Your Debts'!$G$9=0,0,INDEX('Your Debts'!$C$5:$C$12,'Your Debts'!$G$9)/12)),2)</f>
        <v/>
      </c>
      <c r="W99" s="28">
        <f>MIN((Y98)+V99,IF('Your Debts'!$G$9=0,0,INDEX('Your Debts'!$D$5:$D$12,'Your Debts'!$G$9)))</f>
        <v/>
      </c>
      <c r="X99" s="28">
        <f>W99+MIN((Y98)+V99-W99,MAX(0,$E99-((H99-G99)+(L99-K99)+(P99-O99)+(T99-S99))))</f>
        <v/>
      </c>
      <c r="Y99" s="28">
        <f>ROUND(MAX(0,(Y98)+V99-X99),2)</f>
        <v/>
      </c>
      <c r="Z99" s="28">
        <f>ROUND((AC98)*(IF('Your Debts'!$G$10=0,0,INDEX('Your Debts'!$C$5:$C$12,'Your Debts'!$G$10)/12)),2)</f>
        <v/>
      </c>
      <c r="AA99" s="28">
        <f>MIN((AC98)+Z99,IF('Your Debts'!$G$10=0,0,INDEX('Your Debts'!$D$5:$D$12,'Your Debts'!$G$10)))</f>
        <v/>
      </c>
      <c r="AB99" s="28">
        <f>AA99+MIN((AC98)+Z99-AA99,MAX(0,$E99-((H99-G99)+(L99-K99)+(P99-O99)+(T99-S99)+(X99-W99))))</f>
        <v/>
      </c>
      <c r="AC99" s="28">
        <f>ROUND(MAX(0,(AC98)+Z99-AB99),2)</f>
        <v/>
      </c>
      <c r="AD99" s="28">
        <f>ROUND((AG98)*(IF('Your Debts'!$G$11=0,0,INDEX('Your Debts'!$C$5:$C$12,'Your Debts'!$G$11)/12)),2)</f>
        <v/>
      </c>
      <c r="AE99" s="28">
        <f>MIN((AG98)+AD99,IF('Your Debts'!$G$11=0,0,INDEX('Your Debts'!$D$5:$D$12,'Your Debts'!$G$11)))</f>
        <v/>
      </c>
      <c r="AF99" s="28">
        <f>AE99+MIN((AG98)+AD99-AE99,MAX(0,$E99-((H99-G99)+(L99-K99)+(P99-O99)+(T99-S99)+(X99-W99)+(AB99-AA99))))</f>
        <v/>
      </c>
      <c r="AG99" s="28">
        <f>ROUND(MAX(0,(AG98)+AD99-AF99),2)</f>
        <v/>
      </c>
      <c r="AH99" s="28">
        <f>ROUND((AK98)*(IF('Your Debts'!$G$12=0,0,INDEX('Your Debts'!$C$5:$C$12,'Your Debts'!$G$12)/12)),2)</f>
        <v/>
      </c>
      <c r="AI99" s="28">
        <f>MIN((AK98)+AH99,IF('Your Debts'!$G$12=0,0,INDEX('Your Debts'!$D$5:$D$12,'Your Debts'!$G$12)))</f>
        <v/>
      </c>
      <c r="AJ99" s="28">
        <f>AI99+MIN((AK98)+AH99-AI99,MAX(0,$E99-((H99-G99)+(L99-K99)+(P99-O99)+(T99-S99)+(X99-W99)+(AB99-AA99)+(AF99-AE99))))</f>
        <v/>
      </c>
      <c r="AK99" s="28">
        <f>ROUND(MAX(0,(AK98)+AH99-AJ99),2)</f>
        <v/>
      </c>
      <c r="AL99" s="18">
        <f>I99+M99+Q99+U99+Y99+AC99+AG99+AK99</f>
        <v/>
      </c>
      <c r="AM99" s="27">
        <f>AM98+F99+J99+N99+R99+V99+Z99+AD99+AH99</f>
        <v/>
      </c>
    </row>
    <row r="100">
      <c r="A100" s="25" t="n">
        <v>95</v>
      </c>
      <c r="B100" s="26">
        <f>EDATE('Your Debts'!$B$19,94)</f>
        <v/>
      </c>
      <c r="C100" s="27">
        <f>'Your Debts'!$B$18</f>
        <v/>
      </c>
      <c r="D100" s="27">
        <f>G100+K100+O100+S100+W100+AA100+AE100+AI100</f>
        <v/>
      </c>
      <c r="E100" s="27">
        <f>MAX(0,C100-D100)</f>
        <v/>
      </c>
      <c r="F100" s="28">
        <f>ROUND((I99)*(IF('Your Debts'!$G$5=0,0,INDEX('Your Debts'!$C$5:$C$12,'Your Debts'!$G$5)/12)),2)</f>
        <v/>
      </c>
      <c r="G100" s="28">
        <f>MIN((I99)+F100,IF('Your Debts'!$G$5=0,0,INDEX('Your Debts'!$D$5:$D$12,'Your Debts'!$G$5)))</f>
        <v/>
      </c>
      <c r="H100" s="28">
        <f>G100+MIN((I99)+F100-G100,MAX(0,$E100-(0)))</f>
        <v/>
      </c>
      <c r="I100" s="28">
        <f>ROUND(MAX(0,(I99)+F100-H100),2)</f>
        <v/>
      </c>
      <c r="J100" s="28">
        <f>ROUND((M99)*(IF('Your Debts'!$G$6=0,0,INDEX('Your Debts'!$C$5:$C$12,'Your Debts'!$G$6)/12)),2)</f>
        <v/>
      </c>
      <c r="K100" s="28">
        <f>MIN((M99)+J100,IF('Your Debts'!$G$6=0,0,INDEX('Your Debts'!$D$5:$D$12,'Your Debts'!$G$6)))</f>
        <v/>
      </c>
      <c r="L100" s="28">
        <f>K100+MIN((M99)+J100-K100,MAX(0,$E100-((H100-G100))))</f>
        <v/>
      </c>
      <c r="M100" s="28">
        <f>ROUND(MAX(0,(M99)+J100-L100),2)</f>
        <v/>
      </c>
      <c r="N100" s="28">
        <f>ROUND((Q99)*(IF('Your Debts'!$G$7=0,0,INDEX('Your Debts'!$C$5:$C$12,'Your Debts'!$G$7)/12)),2)</f>
        <v/>
      </c>
      <c r="O100" s="28">
        <f>MIN((Q99)+N100,IF('Your Debts'!$G$7=0,0,INDEX('Your Debts'!$D$5:$D$12,'Your Debts'!$G$7)))</f>
        <v/>
      </c>
      <c r="P100" s="28">
        <f>O100+MIN((Q99)+N100-O100,MAX(0,$E100-((H100-G100)+(L100-K100))))</f>
        <v/>
      </c>
      <c r="Q100" s="28">
        <f>ROUND(MAX(0,(Q99)+N100-P100),2)</f>
        <v/>
      </c>
      <c r="R100" s="28">
        <f>ROUND((U99)*(IF('Your Debts'!$G$8=0,0,INDEX('Your Debts'!$C$5:$C$12,'Your Debts'!$G$8)/12)),2)</f>
        <v/>
      </c>
      <c r="S100" s="28">
        <f>MIN((U99)+R100,IF('Your Debts'!$G$8=0,0,INDEX('Your Debts'!$D$5:$D$12,'Your Debts'!$G$8)))</f>
        <v/>
      </c>
      <c r="T100" s="28">
        <f>S100+MIN((U99)+R100-S100,MAX(0,$E100-((H100-G100)+(L100-K100)+(P100-O100))))</f>
        <v/>
      </c>
      <c r="U100" s="28">
        <f>ROUND(MAX(0,(U99)+R100-T100),2)</f>
        <v/>
      </c>
      <c r="V100" s="28">
        <f>ROUND((Y99)*(IF('Your Debts'!$G$9=0,0,INDEX('Your Debts'!$C$5:$C$12,'Your Debts'!$G$9)/12)),2)</f>
        <v/>
      </c>
      <c r="W100" s="28">
        <f>MIN((Y99)+V100,IF('Your Debts'!$G$9=0,0,INDEX('Your Debts'!$D$5:$D$12,'Your Debts'!$G$9)))</f>
        <v/>
      </c>
      <c r="X100" s="28">
        <f>W100+MIN((Y99)+V100-W100,MAX(0,$E100-((H100-G100)+(L100-K100)+(P100-O100)+(T100-S100))))</f>
        <v/>
      </c>
      <c r="Y100" s="28">
        <f>ROUND(MAX(0,(Y99)+V100-X100),2)</f>
        <v/>
      </c>
      <c r="Z100" s="28">
        <f>ROUND((AC99)*(IF('Your Debts'!$G$10=0,0,INDEX('Your Debts'!$C$5:$C$12,'Your Debts'!$G$10)/12)),2)</f>
        <v/>
      </c>
      <c r="AA100" s="28">
        <f>MIN((AC99)+Z100,IF('Your Debts'!$G$10=0,0,INDEX('Your Debts'!$D$5:$D$12,'Your Debts'!$G$10)))</f>
        <v/>
      </c>
      <c r="AB100" s="28">
        <f>AA100+MIN((AC99)+Z100-AA100,MAX(0,$E100-((H100-G100)+(L100-K100)+(P100-O100)+(T100-S100)+(X100-W100))))</f>
        <v/>
      </c>
      <c r="AC100" s="28">
        <f>ROUND(MAX(0,(AC99)+Z100-AB100),2)</f>
        <v/>
      </c>
      <c r="AD100" s="28">
        <f>ROUND((AG99)*(IF('Your Debts'!$G$11=0,0,INDEX('Your Debts'!$C$5:$C$12,'Your Debts'!$G$11)/12)),2)</f>
        <v/>
      </c>
      <c r="AE100" s="28">
        <f>MIN((AG99)+AD100,IF('Your Debts'!$G$11=0,0,INDEX('Your Debts'!$D$5:$D$12,'Your Debts'!$G$11)))</f>
        <v/>
      </c>
      <c r="AF100" s="28">
        <f>AE100+MIN((AG99)+AD100-AE100,MAX(0,$E100-((H100-G100)+(L100-K100)+(P100-O100)+(T100-S100)+(X100-W100)+(AB100-AA100))))</f>
        <v/>
      </c>
      <c r="AG100" s="28">
        <f>ROUND(MAX(0,(AG99)+AD100-AF100),2)</f>
        <v/>
      </c>
      <c r="AH100" s="28">
        <f>ROUND((AK99)*(IF('Your Debts'!$G$12=0,0,INDEX('Your Debts'!$C$5:$C$12,'Your Debts'!$G$12)/12)),2)</f>
        <v/>
      </c>
      <c r="AI100" s="28">
        <f>MIN((AK99)+AH100,IF('Your Debts'!$G$12=0,0,INDEX('Your Debts'!$D$5:$D$12,'Your Debts'!$G$12)))</f>
        <v/>
      </c>
      <c r="AJ100" s="28">
        <f>AI100+MIN((AK99)+AH100-AI100,MAX(0,$E100-((H100-G100)+(L100-K100)+(P100-O100)+(T100-S100)+(X100-W100)+(AB100-AA100)+(AF100-AE100))))</f>
        <v/>
      </c>
      <c r="AK100" s="28">
        <f>ROUND(MAX(0,(AK99)+AH100-AJ100),2)</f>
        <v/>
      </c>
      <c r="AL100" s="18">
        <f>I100+M100+Q100+U100+Y100+AC100+AG100+AK100</f>
        <v/>
      </c>
      <c r="AM100" s="27">
        <f>AM99+F100+J100+N100+R100+V100+Z100+AD100+AH100</f>
        <v/>
      </c>
    </row>
    <row r="101">
      <c r="A101" s="25" t="n">
        <v>96</v>
      </c>
      <c r="B101" s="26">
        <f>EDATE('Your Debts'!$B$19,95)</f>
        <v/>
      </c>
      <c r="C101" s="27">
        <f>'Your Debts'!$B$18</f>
        <v/>
      </c>
      <c r="D101" s="27">
        <f>G101+K101+O101+S101+W101+AA101+AE101+AI101</f>
        <v/>
      </c>
      <c r="E101" s="27">
        <f>MAX(0,C101-D101)</f>
        <v/>
      </c>
      <c r="F101" s="28">
        <f>ROUND((I100)*(IF('Your Debts'!$G$5=0,0,INDEX('Your Debts'!$C$5:$C$12,'Your Debts'!$G$5)/12)),2)</f>
        <v/>
      </c>
      <c r="G101" s="28">
        <f>MIN((I100)+F101,IF('Your Debts'!$G$5=0,0,INDEX('Your Debts'!$D$5:$D$12,'Your Debts'!$G$5)))</f>
        <v/>
      </c>
      <c r="H101" s="28">
        <f>G101+MIN((I100)+F101-G101,MAX(0,$E101-(0)))</f>
        <v/>
      </c>
      <c r="I101" s="28">
        <f>ROUND(MAX(0,(I100)+F101-H101),2)</f>
        <v/>
      </c>
      <c r="J101" s="28">
        <f>ROUND((M100)*(IF('Your Debts'!$G$6=0,0,INDEX('Your Debts'!$C$5:$C$12,'Your Debts'!$G$6)/12)),2)</f>
        <v/>
      </c>
      <c r="K101" s="28">
        <f>MIN((M100)+J101,IF('Your Debts'!$G$6=0,0,INDEX('Your Debts'!$D$5:$D$12,'Your Debts'!$G$6)))</f>
        <v/>
      </c>
      <c r="L101" s="28">
        <f>K101+MIN((M100)+J101-K101,MAX(0,$E101-((H101-G101))))</f>
        <v/>
      </c>
      <c r="M101" s="28">
        <f>ROUND(MAX(0,(M100)+J101-L101),2)</f>
        <v/>
      </c>
      <c r="N101" s="28">
        <f>ROUND((Q100)*(IF('Your Debts'!$G$7=0,0,INDEX('Your Debts'!$C$5:$C$12,'Your Debts'!$G$7)/12)),2)</f>
        <v/>
      </c>
      <c r="O101" s="28">
        <f>MIN((Q100)+N101,IF('Your Debts'!$G$7=0,0,INDEX('Your Debts'!$D$5:$D$12,'Your Debts'!$G$7)))</f>
        <v/>
      </c>
      <c r="P101" s="28">
        <f>O101+MIN((Q100)+N101-O101,MAX(0,$E101-((H101-G101)+(L101-K101))))</f>
        <v/>
      </c>
      <c r="Q101" s="28">
        <f>ROUND(MAX(0,(Q100)+N101-P101),2)</f>
        <v/>
      </c>
      <c r="R101" s="28">
        <f>ROUND((U100)*(IF('Your Debts'!$G$8=0,0,INDEX('Your Debts'!$C$5:$C$12,'Your Debts'!$G$8)/12)),2)</f>
        <v/>
      </c>
      <c r="S101" s="28">
        <f>MIN((U100)+R101,IF('Your Debts'!$G$8=0,0,INDEX('Your Debts'!$D$5:$D$12,'Your Debts'!$G$8)))</f>
        <v/>
      </c>
      <c r="T101" s="28">
        <f>S101+MIN((U100)+R101-S101,MAX(0,$E101-((H101-G101)+(L101-K101)+(P101-O101))))</f>
        <v/>
      </c>
      <c r="U101" s="28">
        <f>ROUND(MAX(0,(U100)+R101-T101),2)</f>
        <v/>
      </c>
      <c r="V101" s="28">
        <f>ROUND((Y100)*(IF('Your Debts'!$G$9=0,0,INDEX('Your Debts'!$C$5:$C$12,'Your Debts'!$G$9)/12)),2)</f>
        <v/>
      </c>
      <c r="W101" s="28">
        <f>MIN((Y100)+V101,IF('Your Debts'!$G$9=0,0,INDEX('Your Debts'!$D$5:$D$12,'Your Debts'!$G$9)))</f>
        <v/>
      </c>
      <c r="X101" s="28">
        <f>W101+MIN((Y100)+V101-W101,MAX(0,$E101-((H101-G101)+(L101-K101)+(P101-O101)+(T101-S101))))</f>
        <v/>
      </c>
      <c r="Y101" s="28">
        <f>ROUND(MAX(0,(Y100)+V101-X101),2)</f>
        <v/>
      </c>
      <c r="Z101" s="28">
        <f>ROUND((AC100)*(IF('Your Debts'!$G$10=0,0,INDEX('Your Debts'!$C$5:$C$12,'Your Debts'!$G$10)/12)),2)</f>
        <v/>
      </c>
      <c r="AA101" s="28">
        <f>MIN((AC100)+Z101,IF('Your Debts'!$G$10=0,0,INDEX('Your Debts'!$D$5:$D$12,'Your Debts'!$G$10)))</f>
        <v/>
      </c>
      <c r="AB101" s="28">
        <f>AA101+MIN((AC100)+Z101-AA101,MAX(0,$E101-((H101-G101)+(L101-K101)+(P101-O101)+(T101-S101)+(X101-W101))))</f>
        <v/>
      </c>
      <c r="AC101" s="28">
        <f>ROUND(MAX(0,(AC100)+Z101-AB101),2)</f>
        <v/>
      </c>
      <c r="AD101" s="28">
        <f>ROUND((AG100)*(IF('Your Debts'!$G$11=0,0,INDEX('Your Debts'!$C$5:$C$12,'Your Debts'!$G$11)/12)),2)</f>
        <v/>
      </c>
      <c r="AE101" s="28">
        <f>MIN((AG100)+AD101,IF('Your Debts'!$G$11=0,0,INDEX('Your Debts'!$D$5:$D$12,'Your Debts'!$G$11)))</f>
        <v/>
      </c>
      <c r="AF101" s="28">
        <f>AE101+MIN((AG100)+AD101-AE101,MAX(0,$E101-((H101-G101)+(L101-K101)+(P101-O101)+(T101-S101)+(X101-W101)+(AB101-AA101))))</f>
        <v/>
      </c>
      <c r="AG101" s="28">
        <f>ROUND(MAX(0,(AG100)+AD101-AF101),2)</f>
        <v/>
      </c>
      <c r="AH101" s="28">
        <f>ROUND((AK100)*(IF('Your Debts'!$G$12=0,0,INDEX('Your Debts'!$C$5:$C$12,'Your Debts'!$G$12)/12)),2)</f>
        <v/>
      </c>
      <c r="AI101" s="28">
        <f>MIN((AK100)+AH101,IF('Your Debts'!$G$12=0,0,INDEX('Your Debts'!$D$5:$D$12,'Your Debts'!$G$12)))</f>
        <v/>
      </c>
      <c r="AJ101" s="28">
        <f>AI101+MIN((AK100)+AH101-AI101,MAX(0,$E101-((H101-G101)+(L101-K101)+(P101-O101)+(T101-S101)+(X101-W101)+(AB101-AA101)+(AF101-AE101))))</f>
        <v/>
      </c>
      <c r="AK101" s="28">
        <f>ROUND(MAX(0,(AK100)+AH101-AJ101),2)</f>
        <v/>
      </c>
      <c r="AL101" s="18">
        <f>I101+M101+Q101+U101+Y101+AC101+AG101+AK101</f>
        <v/>
      </c>
      <c r="AM101" s="27">
        <f>AM100+F101+J101+N101+R101+V101+Z101+AD101+AH101</f>
        <v/>
      </c>
    </row>
    <row r="102">
      <c r="A102" s="25" t="n">
        <v>97</v>
      </c>
      <c r="B102" s="26">
        <f>EDATE('Your Debts'!$B$19,96)</f>
        <v/>
      </c>
      <c r="C102" s="27">
        <f>'Your Debts'!$B$18</f>
        <v/>
      </c>
      <c r="D102" s="27">
        <f>G102+K102+O102+S102+W102+AA102+AE102+AI102</f>
        <v/>
      </c>
      <c r="E102" s="27">
        <f>MAX(0,C102-D102)</f>
        <v/>
      </c>
      <c r="F102" s="28">
        <f>ROUND((I101)*(IF('Your Debts'!$G$5=0,0,INDEX('Your Debts'!$C$5:$C$12,'Your Debts'!$G$5)/12)),2)</f>
        <v/>
      </c>
      <c r="G102" s="28">
        <f>MIN((I101)+F102,IF('Your Debts'!$G$5=0,0,INDEX('Your Debts'!$D$5:$D$12,'Your Debts'!$G$5)))</f>
        <v/>
      </c>
      <c r="H102" s="28">
        <f>G102+MIN((I101)+F102-G102,MAX(0,$E102-(0)))</f>
        <v/>
      </c>
      <c r="I102" s="28">
        <f>ROUND(MAX(0,(I101)+F102-H102),2)</f>
        <v/>
      </c>
      <c r="J102" s="28">
        <f>ROUND((M101)*(IF('Your Debts'!$G$6=0,0,INDEX('Your Debts'!$C$5:$C$12,'Your Debts'!$G$6)/12)),2)</f>
        <v/>
      </c>
      <c r="K102" s="28">
        <f>MIN((M101)+J102,IF('Your Debts'!$G$6=0,0,INDEX('Your Debts'!$D$5:$D$12,'Your Debts'!$G$6)))</f>
        <v/>
      </c>
      <c r="L102" s="28">
        <f>K102+MIN((M101)+J102-K102,MAX(0,$E102-((H102-G102))))</f>
        <v/>
      </c>
      <c r="M102" s="28">
        <f>ROUND(MAX(0,(M101)+J102-L102),2)</f>
        <v/>
      </c>
      <c r="N102" s="28">
        <f>ROUND((Q101)*(IF('Your Debts'!$G$7=0,0,INDEX('Your Debts'!$C$5:$C$12,'Your Debts'!$G$7)/12)),2)</f>
        <v/>
      </c>
      <c r="O102" s="28">
        <f>MIN((Q101)+N102,IF('Your Debts'!$G$7=0,0,INDEX('Your Debts'!$D$5:$D$12,'Your Debts'!$G$7)))</f>
        <v/>
      </c>
      <c r="P102" s="28">
        <f>O102+MIN((Q101)+N102-O102,MAX(0,$E102-((H102-G102)+(L102-K102))))</f>
        <v/>
      </c>
      <c r="Q102" s="28">
        <f>ROUND(MAX(0,(Q101)+N102-P102),2)</f>
        <v/>
      </c>
      <c r="R102" s="28">
        <f>ROUND((U101)*(IF('Your Debts'!$G$8=0,0,INDEX('Your Debts'!$C$5:$C$12,'Your Debts'!$G$8)/12)),2)</f>
        <v/>
      </c>
      <c r="S102" s="28">
        <f>MIN((U101)+R102,IF('Your Debts'!$G$8=0,0,INDEX('Your Debts'!$D$5:$D$12,'Your Debts'!$G$8)))</f>
        <v/>
      </c>
      <c r="T102" s="28">
        <f>S102+MIN((U101)+R102-S102,MAX(0,$E102-((H102-G102)+(L102-K102)+(P102-O102))))</f>
        <v/>
      </c>
      <c r="U102" s="28">
        <f>ROUND(MAX(0,(U101)+R102-T102),2)</f>
        <v/>
      </c>
      <c r="V102" s="28">
        <f>ROUND((Y101)*(IF('Your Debts'!$G$9=0,0,INDEX('Your Debts'!$C$5:$C$12,'Your Debts'!$G$9)/12)),2)</f>
        <v/>
      </c>
      <c r="W102" s="28">
        <f>MIN((Y101)+V102,IF('Your Debts'!$G$9=0,0,INDEX('Your Debts'!$D$5:$D$12,'Your Debts'!$G$9)))</f>
        <v/>
      </c>
      <c r="X102" s="28">
        <f>W102+MIN((Y101)+V102-W102,MAX(0,$E102-((H102-G102)+(L102-K102)+(P102-O102)+(T102-S102))))</f>
        <v/>
      </c>
      <c r="Y102" s="28">
        <f>ROUND(MAX(0,(Y101)+V102-X102),2)</f>
        <v/>
      </c>
      <c r="Z102" s="28">
        <f>ROUND((AC101)*(IF('Your Debts'!$G$10=0,0,INDEX('Your Debts'!$C$5:$C$12,'Your Debts'!$G$10)/12)),2)</f>
        <v/>
      </c>
      <c r="AA102" s="28">
        <f>MIN((AC101)+Z102,IF('Your Debts'!$G$10=0,0,INDEX('Your Debts'!$D$5:$D$12,'Your Debts'!$G$10)))</f>
        <v/>
      </c>
      <c r="AB102" s="28">
        <f>AA102+MIN((AC101)+Z102-AA102,MAX(0,$E102-((H102-G102)+(L102-K102)+(P102-O102)+(T102-S102)+(X102-W102))))</f>
        <v/>
      </c>
      <c r="AC102" s="28">
        <f>ROUND(MAX(0,(AC101)+Z102-AB102),2)</f>
        <v/>
      </c>
      <c r="AD102" s="28">
        <f>ROUND((AG101)*(IF('Your Debts'!$G$11=0,0,INDEX('Your Debts'!$C$5:$C$12,'Your Debts'!$G$11)/12)),2)</f>
        <v/>
      </c>
      <c r="AE102" s="28">
        <f>MIN((AG101)+AD102,IF('Your Debts'!$G$11=0,0,INDEX('Your Debts'!$D$5:$D$12,'Your Debts'!$G$11)))</f>
        <v/>
      </c>
      <c r="AF102" s="28">
        <f>AE102+MIN((AG101)+AD102-AE102,MAX(0,$E102-((H102-G102)+(L102-K102)+(P102-O102)+(T102-S102)+(X102-W102)+(AB102-AA102))))</f>
        <v/>
      </c>
      <c r="AG102" s="28">
        <f>ROUND(MAX(0,(AG101)+AD102-AF102),2)</f>
        <v/>
      </c>
      <c r="AH102" s="28">
        <f>ROUND((AK101)*(IF('Your Debts'!$G$12=0,0,INDEX('Your Debts'!$C$5:$C$12,'Your Debts'!$G$12)/12)),2)</f>
        <v/>
      </c>
      <c r="AI102" s="28">
        <f>MIN((AK101)+AH102,IF('Your Debts'!$G$12=0,0,INDEX('Your Debts'!$D$5:$D$12,'Your Debts'!$G$12)))</f>
        <v/>
      </c>
      <c r="AJ102" s="28">
        <f>AI102+MIN((AK101)+AH102-AI102,MAX(0,$E102-((H102-G102)+(L102-K102)+(P102-O102)+(T102-S102)+(X102-W102)+(AB102-AA102)+(AF102-AE102))))</f>
        <v/>
      </c>
      <c r="AK102" s="28">
        <f>ROUND(MAX(0,(AK101)+AH102-AJ102),2)</f>
        <v/>
      </c>
      <c r="AL102" s="18">
        <f>I102+M102+Q102+U102+Y102+AC102+AG102+AK102</f>
        <v/>
      </c>
      <c r="AM102" s="27">
        <f>AM101+F102+J102+N102+R102+V102+Z102+AD102+AH102</f>
        <v/>
      </c>
    </row>
    <row r="103">
      <c r="A103" s="25" t="n">
        <v>98</v>
      </c>
      <c r="B103" s="26">
        <f>EDATE('Your Debts'!$B$19,97)</f>
        <v/>
      </c>
      <c r="C103" s="27">
        <f>'Your Debts'!$B$18</f>
        <v/>
      </c>
      <c r="D103" s="27">
        <f>G103+K103+O103+S103+W103+AA103+AE103+AI103</f>
        <v/>
      </c>
      <c r="E103" s="27">
        <f>MAX(0,C103-D103)</f>
        <v/>
      </c>
      <c r="F103" s="28">
        <f>ROUND((I102)*(IF('Your Debts'!$G$5=0,0,INDEX('Your Debts'!$C$5:$C$12,'Your Debts'!$G$5)/12)),2)</f>
        <v/>
      </c>
      <c r="G103" s="28">
        <f>MIN((I102)+F103,IF('Your Debts'!$G$5=0,0,INDEX('Your Debts'!$D$5:$D$12,'Your Debts'!$G$5)))</f>
        <v/>
      </c>
      <c r="H103" s="28">
        <f>G103+MIN((I102)+F103-G103,MAX(0,$E103-(0)))</f>
        <v/>
      </c>
      <c r="I103" s="28">
        <f>ROUND(MAX(0,(I102)+F103-H103),2)</f>
        <v/>
      </c>
      <c r="J103" s="28">
        <f>ROUND((M102)*(IF('Your Debts'!$G$6=0,0,INDEX('Your Debts'!$C$5:$C$12,'Your Debts'!$G$6)/12)),2)</f>
        <v/>
      </c>
      <c r="K103" s="28">
        <f>MIN((M102)+J103,IF('Your Debts'!$G$6=0,0,INDEX('Your Debts'!$D$5:$D$12,'Your Debts'!$G$6)))</f>
        <v/>
      </c>
      <c r="L103" s="28">
        <f>K103+MIN((M102)+J103-K103,MAX(0,$E103-((H103-G103))))</f>
        <v/>
      </c>
      <c r="M103" s="28">
        <f>ROUND(MAX(0,(M102)+J103-L103),2)</f>
        <v/>
      </c>
      <c r="N103" s="28">
        <f>ROUND((Q102)*(IF('Your Debts'!$G$7=0,0,INDEX('Your Debts'!$C$5:$C$12,'Your Debts'!$G$7)/12)),2)</f>
        <v/>
      </c>
      <c r="O103" s="28">
        <f>MIN((Q102)+N103,IF('Your Debts'!$G$7=0,0,INDEX('Your Debts'!$D$5:$D$12,'Your Debts'!$G$7)))</f>
        <v/>
      </c>
      <c r="P103" s="28">
        <f>O103+MIN((Q102)+N103-O103,MAX(0,$E103-((H103-G103)+(L103-K103))))</f>
        <v/>
      </c>
      <c r="Q103" s="28">
        <f>ROUND(MAX(0,(Q102)+N103-P103),2)</f>
        <v/>
      </c>
      <c r="R103" s="28">
        <f>ROUND((U102)*(IF('Your Debts'!$G$8=0,0,INDEX('Your Debts'!$C$5:$C$12,'Your Debts'!$G$8)/12)),2)</f>
        <v/>
      </c>
      <c r="S103" s="28">
        <f>MIN((U102)+R103,IF('Your Debts'!$G$8=0,0,INDEX('Your Debts'!$D$5:$D$12,'Your Debts'!$G$8)))</f>
        <v/>
      </c>
      <c r="T103" s="28">
        <f>S103+MIN((U102)+R103-S103,MAX(0,$E103-((H103-G103)+(L103-K103)+(P103-O103))))</f>
        <v/>
      </c>
      <c r="U103" s="28">
        <f>ROUND(MAX(0,(U102)+R103-T103),2)</f>
        <v/>
      </c>
      <c r="V103" s="28">
        <f>ROUND((Y102)*(IF('Your Debts'!$G$9=0,0,INDEX('Your Debts'!$C$5:$C$12,'Your Debts'!$G$9)/12)),2)</f>
        <v/>
      </c>
      <c r="W103" s="28">
        <f>MIN((Y102)+V103,IF('Your Debts'!$G$9=0,0,INDEX('Your Debts'!$D$5:$D$12,'Your Debts'!$G$9)))</f>
        <v/>
      </c>
      <c r="X103" s="28">
        <f>W103+MIN((Y102)+V103-W103,MAX(0,$E103-((H103-G103)+(L103-K103)+(P103-O103)+(T103-S103))))</f>
        <v/>
      </c>
      <c r="Y103" s="28">
        <f>ROUND(MAX(0,(Y102)+V103-X103),2)</f>
        <v/>
      </c>
      <c r="Z103" s="28">
        <f>ROUND((AC102)*(IF('Your Debts'!$G$10=0,0,INDEX('Your Debts'!$C$5:$C$12,'Your Debts'!$G$10)/12)),2)</f>
        <v/>
      </c>
      <c r="AA103" s="28">
        <f>MIN((AC102)+Z103,IF('Your Debts'!$G$10=0,0,INDEX('Your Debts'!$D$5:$D$12,'Your Debts'!$G$10)))</f>
        <v/>
      </c>
      <c r="AB103" s="28">
        <f>AA103+MIN((AC102)+Z103-AA103,MAX(0,$E103-((H103-G103)+(L103-K103)+(P103-O103)+(T103-S103)+(X103-W103))))</f>
        <v/>
      </c>
      <c r="AC103" s="28">
        <f>ROUND(MAX(0,(AC102)+Z103-AB103),2)</f>
        <v/>
      </c>
      <c r="AD103" s="28">
        <f>ROUND((AG102)*(IF('Your Debts'!$G$11=0,0,INDEX('Your Debts'!$C$5:$C$12,'Your Debts'!$G$11)/12)),2)</f>
        <v/>
      </c>
      <c r="AE103" s="28">
        <f>MIN((AG102)+AD103,IF('Your Debts'!$G$11=0,0,INDEX('Your Debts'!$D$5:$D$12,'Your Debts'!$G$11)))</f>
        <v/>
      </c>
      <c r="AF103" s="28">
        <f>AE103+MIN((AG102)+AD103-AE103,MAX(0,$E103-((H103-G103)+(L103-K103)+(P103-O103)+(T103-S103)+(X103-W103)+(AB103-AA103))))</f>
        <v/>
      </c>
      <c r="AG103" s="28">
        <f>ROUND(MAX(0,(AG102)+AD103-AF103),2)</f>
        <v/>
      </c>
      <c r="AH103" s="28">
        <f>ROUND((AK102)*(IF('Your Debts'!$G$12=0,0,INDEX('Your Debts'!$C$5:$C$12,'Your Debts'!$G$12)/12)),2)</f>
        <v/>
      </c>
      <c r="AI103" s="28">
        <f>MIN((AK102)+AH103,IF('Your Debts'!$G$12=0,0,INDEX('Your Debts'!$D$5:$D$12,'Your Debts'!$G$12)))</f>
        <v/>
      </c>
      <c r="AJ103" s="28">
        <f>AI103+MIN((AK102)+AH103-AI103,MAX(0,$E103-((H103-G103)+(L103-K103)+(P103-O103)+(T103-S103)+(X103-W103)+(AB103-AA103)+(AF103-AE103))))</f>
        <v/>
      </c>
      <c r="AK103" s="28">
        <f>ROUND(MAX(0,(AK102)+AH103-AJ103),2)</f>
        <v/>
      </c>
      <c r="AL103" s="18">
        <f>I103+M103+Q103+U103+Y103+AC103+AG103+AK103</f>
        <v/>
      </c>
      <c r="AM103" s="27">
        <f>AM102+F103+J103+N103+R103+V103+Z103+AD103+AH103</f>
        <v/>
      </c>
    </row>
    <row r="104">
      <c r="A104" s="25" t="n">
        <v>99</v>
      </c>
      <c r="B104" s="26">
        <f>EDATE('Your Debts'!$B$19,98)</f>
        <v/>
      </c>
      <c r="C104" s="27">
        <f>'Your Debts'!$B$18</f>
        <v/>
      </c>
      <c r="D104" s="27">
        <f>G104+K104+O104+S104+W104+AA104+AE104+AI104</f>
        <v/>
      </c>
      <c r="E104" s="27">
        <f>MAX(0,C104-D104)</f>
        <v/>
      </c>
      <c r="F104" s="28">
        <f>ROUND((I103)*(IF('Your Debts'!$G$5=0,0,INDEX('Your Debts'!$C$5:$C$12,'Your Debts'!$G$5)/12)),2)</f>
        <v/>
      </c>
      <c r="G104" s="28">
        <f>MIN((I103)+F104,IF('Your Debts'!$G$5=0,0,INDEX('Your Debts'!$D$5:$D$12,'Your Debts'!$G$5)))</f>
        <v/>
      </c>
      <c r="H104" s="28">
        <f>G104+MIN((I103)+F104-G104,MAX(0,$E104-(0)))</f>
        <v/>
      </c>
      <c r="I104" s="28">
        <f>ROUND(MAX(0,(I103)+F104-H104),2)</f>
        <v/>
      </c>
      <c r="J104" s="28">
        <f>ROUND((M103)*(IF('Your Debts'!$G$6=0,0,INDEX('Your Debts'!$C$5:$C$12,'Your Debts'!$G$6)/12)),2)</f>
        <v/>
      </c>
      <c r="K104" s="28">
        <f>MIN((M103)+J104,IF('Your Debts'!$G$6=0,0,INDEX('Your Debts'!$D$5:$D$12,'Your Debts'!$G$6)))</f>
        <v/>
      </c>
      <c r="L104" s="28">
        <f>K104+MIN((M103)+J104-K104,MAX(0,$E104-((H104-G104))))</f>
        <v/>
      </c>
      <c r="M104" s="28">
        <f>ROUND(MAX(0,(M103)+J104-L104),2)</f>
        <v/>
      </c>
      <c r="N104" s="28">
        <f>ROUND((Q103)*(IF('Your Debts'!$G$7=0,0,INDEX('Your Debts'!$C$5:$C$12,'Your Debts'!$G$7)/12)),2)</f>
        <v/>
      </c>
      <c r="O104" s="28">
        <f>MIN((Q103)+N104,IF('Your Debts'!$G$7=0,0,INDEX('Your Debts'!$D$5:$D$12,'Your Debts'!$G$7)))</f>
        <v/>
      </c>
      <c r="P104" s="28">
        <f>O104+MIN((Q103)+N104-O104,MAX(0,$E104-((H104-G104)+(L104-K104))))</f>
        <v/>
      </c>
      <c r="Q104" s="28">
        <f>ROUND(MAX(0,(Q103)+N104-P104),2)</f>
        <v/>
      </c>
      <c r="R104" s="28">
        <f>ROUND((U103)*(IF('Your Debts'!$G$8=0,0,INDEX('Your Debts'!$C$5:$C$12,'Your Debts'!$G$8)/12)),2)</f>
        <v/>
      </c>
      <c r="S104" s="28">
        <f>MIN((U103)+R104,IF('Your Debts'!$G$8=0,0,INDEX('Your Debts'!$D$5:$D$12,'Your Debts'!$G$8)))</f>
        <v/>
      </c>
      <c r="T104" s="28">
        <f>S104+MIN((U103)+R104-S104,MAX(0,$E104-((H104-G104)+(L104-K104)+(P104-O104))))</f>
        <v/>
      </c>
      <c r="U104" s="28">
        <f>ROUND(MAX(0,(U103)+R104-T104),2)</f>
        <v/>
      </c>
      <c r="V104" s="28">
        <f>ROUND((Y103)*(IF('Your Debts'!$G$9=0,0,INDEX('Your Debts'!$C$5:$C$12,'Your Debts'!$G$9)/12)),2)</f>
        <v/>
      </c>
      <c r="W104" s="28">
        <f>MIN((Y103)+V104,IF('Your Debts'!$G$9=0,0,INDEX('Your Debts'!$D$5:$D$12,'Your Debts'!$G$9)))</f>
        <v/>
      </c>
      <c r="X104" s="28">
        <f>W104+MIN((Y103)+V104-W104,MAX(0,$E104-((H104-G104)+(L104-K104)+(P104-O104)+(T104-S104))))</f>
        <v/>
      </c>
      <c r="Y104" s="28">
        <f>ROUND(MAX(0,(Y103)+V104-X104),2)</f>
        <v/>
      </c>
      <c r="Z104" s="28">
        <f>ROUND((AC103)*(IF('Your Debts'!$G$10=0,0,INDEX('Your Debts'!$C$5:$C$12,'Your Debts'!$G$10)/12)),2)</f>
        <v/>
      </c>
      <c r="AA104" s="28">
        <f>MIN((AC103)+Z104,IF('Your Debts'!$G$10=0,0,INDEX('Your Debts'!$D$5:$D$12,'Your Debts'!$G$10)))</f>
        <v/>
      </c>
      <c r="AB104" s="28">
        <f>AA104+MIN((AC103)+Z104-AA104,MAX(0,$E104-((H104-G104)+(L104-K104)+(P104-O104)+(T104-S104)+(X104-W104))))</f>
        <v/>
      </c>
      <c r="AC104" s="28">
        <f>ROUND(MAX(0,(AC103)+Z104-AB104),2)</f>
        <v/>
      </c>
      <c r="AD104" s="28">
        <f>ROUND((AG103)*(IF('Your Debts'!$G$11=0,0,INDEX('Your Debts'!$C$5:$C$12,'Your Debts'!$G$11)/12)),2)</f>
        <v/>
      </c>
      <c r="AE104" s="28">
        <f>MIN((AG103)+AD104,IF('Your Debts'!$G$11=0,0,INDEX('Your Debts'!$D$5:$D$12,'Your Debts'!$G$11)))</f>
        <v/>
      </c>
      <c r="AF104" s="28">
        <f>AE104+MIN((AG103)+AD104-AE104,MAX(0,$E104-((H104-G104)+(L104-K104)+(P104-O104)+(T104-S104)+(X104-W104)+(AB104-AA104))))</f>
        <v/>
      </c>
      <c r="AG104" s="28">
        <f>ROUND(MAX(0,(AG103)+AD104-AF104),2)</f>
        <v/>
      </c>
      <c r="AH104" s="28">
        <f>ROUND((AK103)*(IF('Your Debts'!$G$12=0,0,INDEX('Your Debts'!$C$5:$C$12,'Your Debts'!$G$12)/12)),2)</f>
        <v/>
      </c>
      <c r="AI104" s="28">
        <f>MIN((AK103)+AH104,IF('Your Debts'!$G$12=0,0,INDEX('Your Debts'!$D$5:$D$12,'Your Debts'!$G$12)))</f>
        <v/>
      </c>
      <c r="AJ104" s="28">
        <f>AI104+MIN((AK103)+AH104-AI104,MAX(0,$E104-((H104-G104)+(L104-K104)+(P104-O104)+(T104-S104)+(X104-W104)+(AB104-AA104)+(AF104-AE104))))</f>
        <v/>
      </c>
      <c r="AK104" s="28">
        <f>ROUND(MAX(0,(AK103)+AH104-AJ104),2)</f>
        <v/>
      </c>
      <c r="AL104" s="18">
        <f>I104+M104+Q104+U104+Y104+AC104+AG104+AK104</f>
        <v/>
      </c>
      <c r="AM104" s="27">
        <f>AM103+F104+J104+N104+R104+V104+Z104+AD104+AH104</f>
        <v/>
      </c>
    </row>
    <row r="105">
      <c r="A105" s="25" t="n">
        <v>100</v>
      </c>
      <c r="B105" s="26">
        <f>EDATE('Your Debts'!$B$19,99)</f>
        <v/>
      </c>
      <c r="C105" s="27">
        <f>'Your Debts'!$B$18</f>
        <v/>
      </c>
      <c r="D105" s="27">
        <f>G105+K105+O105+S105+W105+AA105+AE105+AI105</f>
        <v/>
      </c>
      <c r="E105" s="27">
        <f>MAX(0,C105-D105)</f>
        <v/>
      </c>
      <c r="F105" s="28">
        <f>ROUND((I104)*(IF('Your Debts'!$G$5=0,0,INDEX('Your Debts'!$C$5:$C$12,'Your Debts'!$G$5)/12)),2)</f>
        <v/>
      </c>
      <c r="G105" s="28">
        <f>MIN((I104)+F105,IF('Your Debts'!$G$5=0,0,INDEX('Your Debts'!$D$5:$D$12,'Your Debts'!$G$5)))</f>
        <v/>
      </c>
      <c r="H105" s="28">
        <f>G105+MIN((I104)+F105-G105,MAX(0,$E105-(0)))</f>
        <v/>
      </c>
      <c r="I105" s="28">
        <f>ROUND(MAX(0,(I104)+F105-H105),2)</f>
        <v/>
      </c>
      <c r="J105" s="28">
        <f>ROUND((M104)*(IF('Your Debts'!$G$6=0,0,INDEX('Your Debts'!$C$5:$C$12,'Your Debts'!$G$6)/12)),2)</f>
        <v/>
      </c>
      <c r="K105" s="28">
        <f>MIN((M104)+J105,IF('Your Debts'!$G$6=0,0,INDEX('Your Debts'!$D$5:$D$12,'Your Debts'!$G$6)))</f>
        <v/>
      </c>
      <c r="L105" s="28">
        <f>K105+MIN((M104)+J105-K105,MAX(0,$E105-((H105-G105))))</f>
        <v/>
      </c>
      <c r="M105" s="28">
        <f>ROUND(MAX(0,(M104)+J105-L105),2)</f>
        <v/>
      </c>
      <c r="N105" s="28">
        <f>ROUND((Q104)*(IF('Your Debts'!$G$7=0,0,INDEX('Your Debts'!$C$5:$C$12,'Your Debts'!$G$7)/12)),2)</f>
        <v/>
      </c>
      <c r="O105" s="28">
        <f>MIN((Q104)+N105,IF('Your Debts'!$G$7=0,0,INDEX('Your Debts'!$D$5:$D$12,'Your Debts'!$G$7)))</f>
        <v/>
      </c>
      <c r="P105" s="28">
        <f>O105+MIN((Q104)+N105-O105,MAX(0,$E105-((H105-G105)+(L105-K105))))</f>
        <v/>
      </c>
      <c r="Q105" s="28">
        <f>ROUND(MAX(0,(Q104)+N105-P105),2)</f>
        <v/>
      </c>
      <c r="R105" s="28">
        <f>ROUND((U104)*(IF('Your Debts'!$G$8=0,0,INDEX('Your Debts'!$C$5:$C$12,'Your Debts'!$G$8)/12)),2)</f>
        <v/>
      </c>
      <c r="S105" s="28">
        <f>MIN((U104)+R105,IF('Your Debts'!$G$8=0,0,INDEX('Your Debts'!$D$5:$D$12,'Your Debts'!$G$8)))</f>
        <v/>
      </c>
      <c r="T105" s="28">
        <f>S105+MIN((U104)+R105-S105,MAX(0,$E105-((H105-G105)+(L105-K105)+(P105-O105))))</f>
        <v/>
      </c>
      <c r="U105" s="28">
        <f>ROUND(MAX(0,(U104)+R105-T105),2)</f>
        <v/>
      </c>
      <c r="V105" s="28">
        <f>ROUND((Y104)*(IF('Your Debts'!$G$9=0,0,INDEX('Your Debts'!$C$5:$C$12,'Your Debts'!$G$9)/12)),2)</f>
        <v/>
      </c>
      <c r="W105" s="28">
        <f>MIN((Y104)+V105,IF('Your Debts'!$G$9=0,0,INDEX('Your Debts'!$D$5:$D$12,'Your Debts'!$G$9)))</f>
        <v/>
      </c>
      <c r="X105" s="28">
        <f>W105+MIN((Y104)+V105-W105,MAX(0,$E105-((H105-G105)+(L105-K105)+(P105-O105)+(T105-S105))))</f>
        <v/>
      </c>
      <c r="Y105" s="28">
        <f>ROUND(MAX(0,(Y104)+V105-X105),2)</f>
        <v/>
      </c>
      <c r="Z105" s="28">
        <f>ROUND((AC104)*(IF('Your Debts'!$G$10=0,0,INDEX('Your Debts'!$C$5:$C$12,'Your Debts'!$G$10)/12)),2)</f>
        <v/>
      </c>
      <c r="AA105" s="28">
        <f>MIN((AC104)+Z105,IF('Your Debts'!$G$10=0,0,INDEX('Your Debts'!$D$5:$D$12,'Your Debts'!$G$10)))</f>
        <v/>
      </c>
      <c r="AB105" s="28">
        <f>AA105+MIN((AC104)+Z105-AA105,MAX(0,$E105-((H105-G105)+(L105-K105)+(P105-O105)+(T105-S105)+(X105-W105))))</f>
        <v/>
      </c>
      <c r="AC105" s="28">
        <f>ROUND(MAX(0,(AC104)+Z105-AB105),2)</f>
        <v/>
      </c>
      <c r="AD105" s="28">
        <f>ROUND((AG104)*(IF('Your Debts'!$G$11=0,0,INDEX('Your Debts'!$C$5:$C$12,'Your Debts'!$G$11)/12)),2)</f>
        <v/>
      </c>
      <c r="AE105" s="28">
        <f>MIN((AG104)+AD105,IF('Your Debts'!$G$11=0,0,INDEX('Your Debts'!$D$5:$D$12,'Your Debts'!$G$11)))</f>
        <v/>
      </c>
      <c r="AF105" s="28">
        <f>AE105+MIN((AG104)+AD105-AE105,MAX(0,$E105-((H105-G105)+(L105-K105)+(P105-O105)+(T105-S105)+(X105-W105)+(AB105-AA105))))</f>
        <v/>
      </c>
      <c r="AG105" s="28">
        <f>ROUND(MAX(0,(AG104)+AD105-AF105),2)</f>
        <v/>
      </c>
      <c r="AH105" s="28">
        <f>ROUND((AK104)*(IF('Your Debts'!$G$12=0,0,INDEX('Your Debts'!$C$5:$C$12,'Your Debts'!$G$12)/12)),2)</f>
        <v/>
      </c>
      <c r="AI105" s="28">
        <f>MIN((AK104)+AH105,IF('Your Debts'!$G$12=0,0,INDEX('Your Debts'!$D$5:$D$12,'Your Debts'!$G$12)))</f>
        <v/>
      </c>
      <c r="AJ105" s="28">
        <f>AI105+MIN((AK104)+AH105-AI105,MAX(0,$E105-((H105-G105)+(L105-K105)+(P105-O105)+(T105-S105)+(X105-W105)+(AB105-AA105)+(AF105-AE105))))</f>
        <v/>
      </c>
      <c r="AK105" s="28">
        <f>ROUND(MAX(0,(AK104)+AH105-AJ105),2)</f>
        <v/>
      </c>
      <c r="AL105" s="18">
        <f>I105+M105+Q105+U105+Y105+AC105+AG105+AK105</f>
        <v/>
      </c>
      <c r="AM105" s="27">
        <f>AM104+F105+J105+N105+R105+V105+Z105+AD105+AH105</f>
        <v/>
      </c>
    </row>
    <row r="106">
      <c r="A106" s="25" t="n">
        <v>101</v>
      </c>
      <c r="B106" s="26">
        <f>EDATE('Your Debts'!$B$19,100)</f>
        <v/>
      </c>
      <c r="C106" s="27">
        <f>'Your Debts'!$B$18</f>
        <v/>
      </c>
      <c r="D106" s="27">
        <f>G106+K106+O106+S106+W106+AA106+AE106+AI106</f>
        <v/>
      </c>
      <c r="E106" s="27">
        <f>MAX(0,C106-D106)</f>
        <v/>
      </c>
      <c r="F106" s="28">
        <f>ROUND((I105)*(IF('Your Debts'!$G$5=0,0,INDEX('Your Debts'!$C$5:$C$12,'Your Debts'!$G$5)/12)),2)</f>
        <v/>
      </c>
      <c r="G106" s="28">
        <f>MIN((I105)+F106,IF('Your Debts'!$G$5=0,0,INDEX('Your Debts'!$D$5:$D$12,'Your Debts'!$G$5)))</f>
        <v/>
      </c>
      <c r="H106" s="28">
        <f>G106+MIN((I105)+F106-G106,MAX(0,$E106-(0)))</f>
        <v/>
      </c>
      <c r="I106" s="28">
        <f>ROUND(MAX(0,(I105)+F106-H106),2)</f>
        <v/>
      </c>
      <c r="J106" s="28">
        <f>ROUND((M105)*(IF('Your Debts'!$G$6=0,0,INDEX('Your Debts'!$C$5:$C$12,'Your Debts'!$G$6)/12)),2)</f>
        <v/>
      </c>
      <c r="K106" s="28">
        <f>MIN((M105)+J106,IF('Your Debts'!$G$6=0,0,INDEX('Your Debts'!$D$5:$D$12,'Your Debts'!$G$6)))</f>
        <v/>
      </c>
      <c r="L106" s="28">
        <f>K106+MIN((M105)+J106-K106,MAX(0,$E106-((H106-G106))))</f>
        <v/>
      </c>
      <c r="M106" s="28">
        <f>ROUND(MAX(0,(M105)+J106-L106),2)</f>
        <v/>
      </c>
      <c r="N106" s="28">
        <f>ROUND((Q105)*(IF('Your Debts'!$G$7=0,0,INDEX('Your Debts'!$C$5:$C$12,'Your Debts'!$G$7)/12)),2)</f>
        <v/>
      </c>
      <c r="O106" s="28">
        <f>MIN((Q105)+N106,IF('Your Debts'!$G$7=0,0,INDEX('Your Debts'!$D$5:$D$12,'Your Debts'!$G$7)))</f>
        <v/>
      </c>
      <c r="P106" s="28">
        <f>O106+MIN((Q105)+N106-O106,MAX(0,$E106-((H106-G106)+(L106-K106))))</f>
        <v/>
      </c>
      <c r="Q106" s="28">
        <f>ROUND(MAX(0,(Q105)+N106-P106),2)</f>
        <v/>
      </c>
      <c r="R106" s="28">
        <f>ROUND((U105)*(IF('Your Debts'!$G$8=0,0,INDEX('Your Debts'!$C$5:$C$12,'Your Debts'!$G$8)/12)),2)</f>
        <v/>
      </c>
      <c r="S106" s="28">
        <f>MIN((U105)+R106,IF('Your Debts'!$G$8=0,0,INDEX('Your Debts'!$D$5:$D$12,'Your Debts'!$G$8)))</f>
        <v/>
      </c>
      <c r="T106" s="28">
        <f>S106+MIN((U105)+R106-S106,MAX(0,$E106-((H106-G106)+(L106-K106)+(P106-O106))))</f>
        <v/>
      </c>
      <c r="U106" s="28">
        <f>ROUND(MAX(0,(U105)+R106-T106),2)</f>
        <v/>
      </c>
      <c r="V106" s="28">
        <f>ROUND((Y105)*(IF('Your Debts'!$G$9=0,0,INDEX('Your Debts'!$C$5:$C$12,'Your Debts'!$G$9)/12)),2)</f>
        <v/>
      </c>
      <c r="W106" s="28">
        <f>MIN((Y105)+V106,IF('Your Debts'!$G$9=0,0,INDEX('Your Debts'!$D$5:$D$12,'Your Debts'!$G$9)))</f>
        <v/>
      </c>
      <c r="X106" s="28">
        <f>W106+MIN((Y105)+V106-W106,MAX(0,$E106-((H106-G106)+(L106-K106)+(P106-O106)+(T106-S106))))</f>
        <v/>
      </c>
      <c r="Y106" s="28">
        <f>ROUND(MAX(0,(Y105)+V106-X106),2)</f>
        <v/>
      </c>
      <c r="Z106" s="28">
        <f>ROUND((AC105)*(IF('Your Debts'!$G$10=0,0,INDEX('Your Debts'!$C$5:$C$12,'Your Debts'!$G$10)/12)),2)</f>
        <v/>
      </c>
      <c r="AA106" s="28">
        <f>MIN((AC105)+Z106,IF('Your Debts'!$G$10=0,0,INDEX('Your Debts'!$D$5:$D$12,'Your Debts'!$G$10)))</f>
        <v/>
      </c>
      <c r="AB106" s="28">
        <f>AA106+MIN((AC105)+Z106-AA106,MAX(0,$E106-((H106-G106)+(L106-K106)+(P106-O106)+(T106-S106)+(X106-W106))))</f>
        <v/>
      </c>
      <c r="AC106" s="28">
        <f>ROUND(MAX(0,(AC105)+Z106-AB106),2)</f>
        <v/>
      </c>
      <c r="AD106" s="28">
        <f>ROUND((AG105)*(IF('Your Debts'!$G$11=0,0,INDEX('Your Debts'!$C$5:$C$12,'Your Debts'!$G$11)/12)),2)</f>
        <v/>
      </c>
      <c r="AE106" s="28">
        <f>MIN((AG105)+AD106,IF('Your Debts'!$G$11=0,0,INDEX('Your Debts'!$D$5:$D$12,'Your Debts'!$G$11)))</f>
        <v/>
      </c>
      <c r="AF106" s="28">
        <f>AE106+MIN((AG105)+AD106-AE106,MAX(0,$E106-((H106-G106)+(L106-K106)+(P106-O106)+(T106-S106)+(X106-W106)+(AB106-AA106))))</f>
        <v/>
      </c>
      <c r="AG106" s="28">
        <f>ROUND(MAX(0,(AG105)+AD106-AF106),2)</f>
        <v/>
      </c>
      <c r="AH106" s="28">
        <f>ROUND((AK105)*(IF('Your Debts'!$G$12=0,0,INDEX('Your Debts'!$C$5:$C$12,'Your Debts'!$G$12)/12)),2)</f>
        <v/>
      </c>
      <c r="AI106" s="28">
        <f>MIN((AK105)+AH106,IF('Your Debts'!$G$12=0,0,INDEX('Your Debts'!$D$5:$D$12,'Your Debts'!$G$12)))</f>
        <v/>
      </c>
      <c r="AJ106" s="28">
        <f>AI106+MIN((AK105)+AH106-AI106,MAX(0,$E106-((H106-G106)+(L106-K106)+(P106-O106)+(T106-S106)+(X106-W106)+(AB106-AA106)+(AF106-AE106))))</f>
        <v/>
      </c>
      <c r="AK106" s="28">
        <f>ROUND(MAX(0,(AK105)+AH106-AJ106),2)</f>
        <v/>
      </c>
      <c r="AL106" s="18">
        <f>I106+M106+Q106+U106+Y106+AC106+AG106+AK106</f>
        <v/>
      </c>
      <c r="AM106" s="27">
        <f>AM105+F106+J106+N106+R106+V106+Z106+AD106+AH106</f>
        <v/>
      </c>
    </row>
    <row r="107">
      <c r="A107" s="25" t="n">
        <v>102</v>
      </c>
      <c r="B107" s="26">
        <f>EDATE('Your Debts'!$B$19,101)</f>
        <v/>
      </c>
      <c r="C107" s="27">
        <f>'Your Debts'!$B$18</f>
        <v/>
      </c>
      <c r="D107" s="27">
        <f>G107+K107+O107+S107+W107+AA107+AE107+AI107</f>
        <v/>
      </c>
      <c r="E107" s="27">
        <f>MAX(0,C107-D107)</f>
        <v/>
      </c>
      <c r="F107" s="28">
        <f>ROUND((I106)*(IF('Your Debts'!$G$5=0,0,INDEX('Your Debts'!$C$5:$C$12,'Your Debts'!$G$5)/12)),2)</f>
        <v/>
      </c>
      <c r="G107" s="28">
        <f>MIN((I106)+F107,IF('Your Debts'!$G$5=0,0,INDEX('Your Debts'!$D$5:$D$12,'Your Debts'!$G$5)))</f>
        <v/>
      </c>
      <c r="H107" s="28">
        <f>G107+MIN((I106)+F107-G107,MAX(0,$E107-(0)))</f>
        <v/>
      </c>
      <c r="I107" s="28">
        <f>ROUND(MAX(0,(I106)+F107-H107),2)</f>
        <v/>
      </c>
      <c r="J107" s="28">
        <f>ROUND((M106)*(IF('Your Debts'!$G$6=0,0,INDEX('Your Debts'!$C$5:$C$12,'Your Debts'!$G$6)/12)),2)</f>
        <v/>
      </c>
      <c r="K107" s="28">
        <f>MIN((M106)+J107,IF('Your Debts'!$G$6=0,0,INDEX('Your Debts'!$D$5:$D$12,'Your Debts'!$G$6)))</f>
        <v/>
      </c>
      <c r="L107" s="28">
        <f>K107+MIN((M106)+J107-K107,MAX(0,$E107-((H107-G107))))</f>
        <v/>
      </c>
      <c r="M107" s="28">
        <f>ROUND(MAX(0,(M106)+J107-L107),2)</f>
        <v/>
      </c>
      <c r="N107" s="28">
        <f>ROUND((Q106)*(IF('Your Debts'!$G$7=0,0,INDEX('Your Debts'!$C$5:$C$12,'Your Debts'!$G$7)/12)),2)</f>
        <v/>
      </c>
      <c r="O107" s="28">
        <f>MIN((Q106)+N107,IF('Your Debts'!$G$7=0,0,INDEX('Your Debts'!$D$5:$D$12,'Your Debts'!$G$7)))</f>
        <v/>
      </c>
      <c r="P107" s="28">
        <f>O107+MIN((Q106)+N107-O107,MAX(0,$E107-((H107-G107)+(L107-K107))))</f>
        <v/>
      </c>
      <c r="Q107" s="28">
        <f>ROUND(MAX(0,(Q106)+N107-P107),2)</f>
        <v/>
      </c>
      <c r="R107" s="28">
        <f>ROUND((U106)*(IF('Your Debts'!$G$8=0,0,INDEX('Your Debts'!$C$5:$C$12,'Your Debts'!$G$8)/12)),2)</f>
        <v/>
      </c>
      <c r="S107" s="28">
        <f>MIN((U106)+R107,IF('Your Debts'!$G$8=0,0,INDEX('Your Debts'!$D$5:$D$12,'Your Debts'!$G$8)))</f>
        <v/>
      </c>
      <c r="T107" s="28">
        <f>S107+MIN((U106)+R107-S107,MAX(0,$E107-((H107-G107)+(L107-K107)+(P107-O107))))</f>
        <v/>
      </c>
      <c r="U107" s="28">
        <f>ROUND(MAX(0,(U106)+R107-T107),2)</f>
        <v/>
      </c>
      <c r="V107" s="28">
        <f>ROUND((Y106)*(IF('Your Debts'!$G$9=0,0,INDEX('Your Debts'!$C$5:$C$12,'Your Debts'!$G$9)/12)),2)</f>
        <v/>
      </c>
      <c r="W107" s="28">
        <f>MIN((Y106)+V107,IF('Your Debts'!$G$9=0,0,INDEX('Your Debts'!$D$5:$D$12,'Your Debts'!$G$9)))</f>
        <v/>
      </c>
      <c r="X107" s="28">
        <f>W107+MIN((Y106)+V107-W107,MAX(0,$E107-((H107-G107)+(L107-K107)+(P107-O107)+(T107-S107))))</f>
        <v/>
      </c>
      <c r="Y107" s="28">
        <f>ROUND(MAX(0,(Y106)+V107-X107),2)</f>
        <v/>
      </c>
      <c r="Z107" s="28">
        <f>ROUND((AC106)*(IF('Your Debts'!$G$10=0,0,INDEX('Your Debts'!$C$5:$C$12,'Your Debts'!$G$10)/12)),2)</f>
        <v/>
      </c>
      <c r="AA107" s="28">
        <f>MIN((AC106)+Z107,IF('Your Debts'!$G$10=0,0,INDEX('Your Debts'!$D$5:$D$12,'Your Debts'!$G$10)))</f>
        <v/>
      </c>
      <c r="AB107" s="28">
        <f>AA107+MIN((AC106)+Z107-AA107,MAX(0,$E107-((H107-G107)+(L107-K107)+(P107-O107)+(T107-S107)+(X107-W107))))</f>
        <v/>
      </c>
      <c r="AC107" s="28">
        <f>ROUND(MAX(0,(AC106)+Z107-AB107),2)</f>
        <v/>
      </c>
      <c r="AD107" s="28">
        <f>ROUND((AG106)*(IF('Your Debts'!$G$11=0,0,INDEX('Your Debts'!$C$5:$C$12,'Your Debts'!$G$11)/12)),2)</f>
        <v/>
      </c>
      <c r="AE107" s="28">
        <f>MIN((AG106)+AD107,IF('Your Debts'!$G$11=0,0,INDEX('Your Debts'!$D$5:$D$12,'Your Debts'!$G$11)))</f>
        <v/>
      </c>
      <c r="AF107" s="28">
        <f>AE107+MIN((AG106)+AD107-AE107,MAX(0,$E107-((H107-G107)+(L107-K107)+(P107-O107)+(T107-S107)+(X107-W107)+(AB107-AA107))))</f>
        <v/>
      </c>
      <c r="AG107" s="28">
        <f>ROUND(MAX(0,(AG106)+AD107-AF107),2)</f>
        <v/>
      </c>
      <c r="AH107" s="28">
        <f>ROUND((AK106)*(IF('Your Debts'!$G$12=0,0,INDEX('Your Debts'!$C$5:$C$12,'Your Debts'!$G$12)/12)),2)</f>
        <v/>
      </c>
      <c r="AI107" s="28">
        <f>MIN((AK106)+AH107,IF('Your Debts'!$G$12=0,0,INDEX('Your Debts'!$D$5:$D$12,'Your Debts'!$G$12)))</f>
        <v/>
      </c>
      <c r="AJ107" s="28">
        <f>AI107+MIN((AK106)+AH107-AI107,MAX(0,$E107-((H107-G107)+(L107-K107)+(P107-O107)+(T107-S107)+(X107-W107)+(AB107-AA107)+(AF107-AE107))))</f>
        <v/>
      </c>
      <c r="AK107" s="28">
        <f>ROUND(MAX(0,(AK106)+AH107-AJ107),2)</f>
        <v/>
      </c>
      <c r="AL107" s="18">
        <f>I107+M107+Q107+U107+Y107+AC107+AG107+AK107</f>
        <v/>
      </c>
      <c r="AM107" s="27">
        <f>AM106+F107+J107+N107+R107+V107+Z107+AD107+AH107</f>
        <v/>
      </c>
    </row>
    <row r="108">
      <c r="A108" s="25" t="n">
        <v>103</v>
      </c>
      <c r="B108" s="26">
        <f>EDATE('Your Debts'!$B$19,102)</f>
        <v/>
      </c>
      <c r="C108" s="27">
        <f>'Your Debts'!$B$18</f>
        <v/>
      </c>
      <c r="D108" s="27">
        <f>G108+K108+O108+S108+W108+AA108+AE108+AI108</f>
        <v/>
      </c>
      <c r="E108" s="27">
        <f>MAX(0,C108-D108)</f>
        <v/>
      </c>
      <c r="F108" s="28">
        <f>ROUND((I107)*(IF('Your Debts'!$G$5=0,0,INDEX('Your Debts'!$C$5:$C$12,'Your Debts'!$G$5)/12)),2)</f>
        <v/>
      </c>
      <c r="G108" s="28">
        <f>MIN((I107)+F108,IF('Your Debts'!$G$5=0,0,INDEX('Your Debts'!$D$5:$D$12,'Your Debts'!$G$5)))</f>
        <v/>
      </c>
      <c r="H108" s="28">
        <f>G108+MIN((I107)+F108-G108,MAX(0,$E108-(0)))</f>
        <v/>
      </c>
      <c r="I108" s="28">
        <f>ROUND(MAX(0,(I107)+F108-H108),2)</f>
        <v/>
      </c>
      <c r="J108" s="28">
        <f>ROUND((M107)*(IF('Your Debts'!$G$6=0,0,INDEX('Your Debts'!$C$5:$C$12,'Your Debts'!$G$6)/12)),2)</f>
        <v/>
      </c>
      <c r="K108" s="28">
        <f>MIN((M107)+J108,IF('Your Debts'!$G$6=0,0,INDEX('Your Debts'!$D$5:$D$12,'Your Debts'!$G$6)))</f>
        <v/>
      </c>
      <c r="L108" s="28">
        <f>K108+MIN((M107)+J108-K108,MAX(0,$E108-((H108-G108))))</f>
        <v/>
      </c>
      <c r="M108" s="28">
        <f>ROUND(MAX(0,(M107)+J108-L108),2)</f>
        <v/>
      </c>
      <c r="N108" s="28">
        <f>ROUND((Q107)*(IF('Your Debts'!$G$7=0,0,INDEX('Your Debts'!$C$5:$C$12,'Your Debts'!$G$7)/12)),2)</f>
        <v/>
      </c>
      <c r="O108" s="28">
        <f>MIN((Q107)+N108,IF('Your Debts'!$G$7=0,0,INDEX('Your Debts'!$D$5:$D$12,'Your Debts'!$G$7)))</f>
        <v/>
      </c>
      <c r="P108" s="28">
        <f>O108+MIN((Q107)+N108-O108,MAX(0,$E108-((H108-G108)+(L108-K108))))</f>
        <v/>
      </c>
      <c r="Q108" s="28">
        <f>ROUND(MAX(0,(Q107)+N108-P108),2)</f>
        <v/>
      </c>
      <c r="R108" s="28">
        <f>ROUND((U107)*(IF('Your Debts'!$G$8=0,0,INDEX('Your Debts'!$C$5:$C$12,'Your Debts'!$G$8)/12)),2)</f>
        <v/>
      </c>
      <c r="S108" s="28">
        <f>MIN((U107)+R108,IF('Your Debts'!$G$8=0,0,INDEX('Your Debts'!$D$5:$D$12,'Your Debts'!$G$8)))</f>
        <v/>
      </c>
      <c r="T108" s="28">
        <f>S108+MIN((U107)+R108-S108,MAX(0,$E108-((H108-G108)+(L108-K108)+(P108-O108))))</f>
        <v/>
      </c>
      <c r="U108" s="28">
        <f>ROUND(MAX(0,(U107)+R108-T108),2)</f>
        <v/>
      </c>
      <c r="V108" s="28">
        <f>ROUND((Y107)*(IF('Your Debts'!$G$9=0,0,INDEX('Your Debts'!$C$5:$C$12,'Your Debts'!$G$9)/12)),2)</f>
        <v/>
      </c>
      <c r="W108" s="28">
        <f>MIN((Y107)+V108,IF('Your Debts'!$G$9=0,0,INDEX('Your Debts'!$D$5:$D$12,'Your Debts'!$G$9)))</f>
        <v/>
      </c>
      <c r="X108" s="28">
        <f>W108+MIN((Y107)+V108-W108,MAX(0,$E108-((H108-G108)+(L108-K108)+(P108-O108)+(T108-S108))))</f>
        <v/>
      </c>
      <c r="Y108" s="28">
        <f>ROUND(MAX(0,(Y107)+V108-X108),2)</f>
        <v/>
      </c>
      <c r="Z108" s="28">
        <f>ROUND((AC107)*(IF('Your Debts'!$G$10=0,0,INDEX('Your Debts'!$C$5:$C$12,'Your Debts'!$G$10)/12)),2)</f>
        <v/>
      </c>
      <c r="AA108" s="28">
        <f>MIN((AC107)+Z108,IF('Your Debts'!$G$10=0,0,INDEX('Your Debts'!$D$5:$D$12,'Your Debts'!$G$10)))</f>
        <v/>
      </c>
      <c r="AB108" s="28">
        <f>AA108+MIN((AC107)+Z108-AA108,MAX(0,$E108-((H108-G108)+(L108-K108)+(P108-O108)+(T108-S108)+(X108-W108))))</f>
        <v/>
      </c>
      <c r="AC108" s="28">
        <f>ROUND(MAX(0,(AC107)+Z108-AB108),2)</f>
        <v/>
      </c>
      <c r="AD108" s="28">
        <f>ROUND((AG107)*(IF('Your Debts'!$G$11=0,0,INDEX('Your Debts'!$C$5:$C$12,'Your Debts'!$G$11)/12)),2)</f>
        <v/>
      </c>
      <c r="AE108" s="28">
        <f>MIN((AG107)+AD108,IF('Your Debts'!$G$11=0,0,INDEX('Your Debts'!$D$5:$D$12,'Your Debts'!$G$11)))</f>
        <v/>
      </c>
      <c r="AF108" s="28">
        <f>AE108+MIN((AG107)+AD108-AE108,MAX(0,$E108-((H108-G108)+(L108-K108)+(P108-O108)+(T108-S108)+(X108-W108)+(AB108-AA108))))</f>
        <v/>
      </c>
      <c r="AG108" s="28">
        <f>ROUND(MAX(0,(AG107)+AD108-AF108),2)</f>
        <v/>
      </c>
      <c r="AH108" s="28">
        <f>ROUND((AK107)*(IF('Your Debts'!$G$12=0,0,INDEX('Your Debts'!$C$5:$C$12,'Your Debts'!$G$12)/12)),2)</f>
        <v/>
      </c>
      <c r="AI108" s="28">
        <f>MIN((AK107)+AH108,IF('Your Debts'!$G$12=0,0,INDEX('Your Debts'!$D$5:$D$12,'Your Debts'!$G$12)))</f>
        <v/>
      </c>
      <c r="AJ108" s="28">
        <f>AI108+MIN((AK107)+AH108-AI108,MAX(0,$E108-((H108-G108)+(L108-K108)+(P108-O108)+(T108-S108)+(X108-W108)+(AB108-AA108)+(AF108-AE108))))</f>
        <v/>
      </c>
      <c r="AK108" s="28">
        <f>ROUND(MAX(0,(AK107)+AH108-AJ108),2)</f>
        <v/>
      </c>
      <c r="AL108" s="18">
        <f>I108+M108+Q108+U108+Y108+AC108+AG108+AK108</f>
        <v/>
      </c>
      <c r="AM108" s="27">
        <f>AM107+F108+J108+N108+R108+V108+Z108+AD108+AH108</f>
        <v/>
      </c>
    </row>
    <row r="109">
      <c r="A109" s="25" t="n">
        <v>104</v>
      </c>
      <c r="B109" s="26">
        <f>EDATE('Your Debts'!$B$19,103)</f>
        <v/>
      </c>
      <c r="C109" s="27">
        <f>'Your Debts'!$B$18</f>
        <v/>
      </c>
      <c r="D109" s="27">
        <f>G109+K109+O109+S109+W109+AA109+AE109+AI109</f>
        <v/>
      </c>
      <c r="E109" s="27">
        <f>MAX(0,C109-D109)</f>
        <v/>
      </c>
      <c r="F109" s="28">
        <f>ROUND((I108)*(IF('Your Debts'!$G$5=0,0,INDEX('Your Debts'!$C$5:$C$12,'Your Debts'!$G$5)/12)),2)</f>
        <v/>
      </c>
      <c r="G109" s="28">
        <f>MIN((I108)+F109,IF('Your Debts'!$G$5=0,0,INDEX('Your Debts'!$D$5:$D$12,'Your Debts'!$G$5)))</f>
        <v/>
      </c>
      <c r="H109" s="28">
        <f>G109+MIN((I108)+F109-G109,MAX(0,$E109-(0)))</f>
        <v/>
      </c>
      <c r="I109" s="28">
        <f>ROUND(MAX(0,(I108)+F109-H109),2)</f>
        <v/>
      </c>
      <c r="J109" s="28">
        <f>ROUND((M108)*(IF('Your Debts'!$G$6=0,0,INDEX('Your Debts'!$C$5:$C$12,'Your Debts'!$G$6)/12)),2)</f>
        <v/>
      </c>
      <c r="K109" s="28">
        <f>MIN((M108)+J109,IF('Your Debts'!$G$6=0,0,INDEX('Your Debts'!$D$5:$D$12,'Your Debts'!$G$6)))</f>
        <v/>
      </c>
      <c r="L109" s="28">
        <f>K109+MIN((M108)+J109-K109,MAX(0,$E109-((H109-G109))))</f>
        <v/>
      </c>
      <c r="M109" s="28">
        <f>ROUND(MAX(0,(M108)+J109-L109),2)</f>
        <v/>
      </c>
      <c r="N109" s="28">
        <f>ROUND((Q108)*(IF('Your Debts'!$G$7=0,0,INDEX('Your Debts'!$C$5:$C$12,'Your Debts'!$G$7)/12)),2)</f>
        <v/>
      </c>
      <c r="O109" s="28">
        <f>MIN((Q108)+N109,IF('Your Debts'!$G$7=0,0,INDEX('Your Debts'!$D$5:$D$12,'Your Debts'!$G$7)))</f>
        <v/>
      </c>
      <c r="P109" s="28">
        <f>O109+MIN((Q108)+N109-O109,MAX(0,$E109-((H109-G109)+(L109-K109))))</f>
        <v/>
      </c>
      <c r="Q109" s="28">
        <f>ROUND(MAX(0,(Q108)+N109-P109),2)</f>
        <v/>
      </c>
      <c r="R109" s="28">
        <f>ROUND((U108)*(IF('Your Debts'!$G$8=0,0,INDEX('Your Debts'!$C$5:$C$12,'Your Debts'!$G$8)/12)),2)</f>
        <v/>
      </c>
      <c r="S109" s="28">
        <f>MIN((U108)+R109,IF('Your Debts'!$G$8=0,0,INDEX('Your Debts'!$D$5:$D$12,'Your Debts'!$G$8)))</f>
        <v/>
      </c>
      <c r="T109" s="28">
        <f>S109+MIN((U108)+R109-S109,MAX(0,$E109-((H109-G109)+(L109-K109)+(P109-O109))))</f>
        <v/>
      </c>
      <c r="U109" s="28">
        <f>ROUND(MAX(0,(U108)+R109-T109),2)</f>
        <v/>
      </c>
      <c r="V109" s="28">
        <f>ROUND((Y108)*(IF('Your Debts'!$G$9=0,0,INDEX('Your Debts'!$C$5:$C$12,'Your Debts'!$G$9)/12)),2)</f>
        <v/>
      </c>
      <c r="W109" s="28">
        <f>MIN((Y108)+V109,IF('Your Debts'!$G$9=0,0,INDEX('Your Debts'!$D$5:$D$12,'Your Debts'!$G$9)))</f>
        <v/>
      </c>
      <c r="X109" s="28">
        <f>W109+MIN((Y108)+V109-W109,MAX(0,$E109-((H109-G109)+(L109-K109)+(P109-O109)+(T109-S109))))</f>
        <v/>
      </c>
      <c r="Y109" s="28">
        <f>ROUND(MAX(0,(Y108)+V109-X109),2)</f>
        <v/>
      </c>
      <c r="Z109" s="28">
        <f>ROUND((AC108)*(IF('Your Debts'!$G$10=0,0,INDEX('Your Debts'!$C$5:$C$12,'Your Debts'!$G$10)/12)),2)</f>
        <v/>
      </c>
      <c r="AA109" s="28">
        <f>MIN((AC108)+Z109,IF('Your Debts'!$G$10=0,0,INDEX('Your Debts'!$D$5:$D$12,'Your Debts'!$G$10)))</f>
        <v/>
      </c>
      <c r="AB109" s="28">
        <f>AA109+MIN((AC108)+Z109-AA109,MAX(0,$E109-((H109-G109)+(L109-K109)+(P109-O109)+(T109-S109)+(X109-W109))))</f>
        <v/>
      </c>
      <c r="AC109" s="28">
        <f>ROUND(MAX(0,(AC108)+Z109-AB109),2)</f>
        <v/>
      </c>
      <c r="AD109" s="28">
        <f>ROUND((AG108)*(IF('Your Debts'!$G$11=0,0,INDEX('Your Debts'!$C$5:$C$12,'Your Debts'!$G$11)/12)),2)</f>
        <v/>
      </c>
      <c r="AE109" s="28">
        <f>MIN((AG108)+AD109,IF('Your Debts'!$G$11=0,0,INDEX('Your Debts'!$D$5:$D$12,'Your Debts'!$G$11)))</f>
        <v/>
      </c>
      <c r="AF109" s="28">
        <f>AE109+MIN((AG108)+AD109-AE109,MAX(0,$E109-((H109-G109)+(L109-K109)+(P109-O109)+(T109-S109)+(X109-W109)+(AB109-AA109))))</f>
        <v/>
      </c>
      <c r="AG109" s="28">
        <f>ROUND(MAX(0,(AG108)+AD109-AF109),2)</f>
        <v/>
      </c>
      <c r="AH109" s="28">
        <f>ROUND((AK108)*(IF('Your Debts'!$G$12=0,0,INDEX('Your Debts'!$C$5:$C$12,'Your Debts'!$G$12)/12)),2)</f>
        <v/>
      </c>
      <c r="AI109" s="28">
        <f>MIN((AK108)+AH109,IF('Your Debts'!$G$12=0,0,INDEX('Your Debts'!$D$5:$D$12,'Your Debts'!$G$12)))</f>
        <v/>
      </c>
      <c r="AJ109" s="28">
        <f>AI109+MIN((AK108)+AH109-AI109,MAX(0,$E109-((H109-G109)+(L109-K109)+(P109-O109)+(T109-S109)+(X109-W109)+(AB109-AA109)+(AF109-AE109))))</f>
        <v/>
      </c>
      <c r="AK109" s="28">
        <f>ROUND(MAX(0,(AK108)+AH109-AJ109),2)</f>
        <v/>
      </c>
      <c r="AL109" s="18">
        <f>I109+M109+Q109+U109+Y109+AC109+AG109+AK109</f>
        <v/>
      </c>
      <c r="AM109" s="27">
        <f>AM108+F109+J109+N109+R109+V109+Z109+AD109+AH109</f>
        <v/>
      </c>
    </row>
    <row r="110">
      <c r="A110" s="25" t="n">
        <v>105</v>
      </c>
      <c r="B110" s="26">
        <f>EDATE('Your Debts'!$B$19,104)</f>
        <v/>
      </c>
      <c r="C110" s="27">
        <f>'Your Debts'!$B$18</f>
        <v/>
      </c>
      <c r="D110" s="27">
        <f>G110+K110+O110+S110+W110+AA110+AE110+AI110</f>
        <v/>
      </c>
      <c r="E110" s="27">
        <f>MAX(0,C110-D110)</f>
        <v/>
      </c>
      <c r="F110" s="28">
        <f>ROUND((I109)*(IF('Your Debts'!$G$5=0,0,INDEX('Your Debts'!$C$5:$C$12,'Your Debts'!$G$5)/12)),2)</f>
        <v/>
      </c>
      <c r="G110" s="28">
        <f>MIN((I109)+F110,IF('Your Debts'!$G$5=0,0,INDEX('Your Debts'!$D$5:$D$12,'Your Debts'!$G$5)))</f>
        <v/>
      </c>
      <c r="H110" s="28">
        <f>G110+MIN((I109)+F110-G110,MAX(0,$E110-(0)))</f>
        <v/>
      </c>
      <c r="I110" s="28">
        <f>ROUND(MAX(0,(I109)+F110-H110),2)</f>
        <v/>
      </c>
      <c r="J110" s="28">
        <f>ROUND((M109)*(IF('Your Debts'!$G$6=0,0,INDEX('Your Debts'!$C$5:$C$12,'Your Debts'!$G$6)/12)),2)</f>
        <v/>
      </c>
      <c r="K110" s="28">
        <f>MIN((M109)+J110,IF('Your Debts'!$G$6=0,0,INDEX('Your Debts'!$D$5:$D$12,'Your Debts'!$G$6)))</f>
        <v/>
      </c>
      <c r="L110" s="28">
        <f>K110+MIN((M109)+J110-K110,MAX(0,$E110-((H110-G110))))</f>
        <v/>
      </c>
      <c r="M110" s="28">
        <f>ROUND(MAX(0,(M109)+J110-L110),2)</f>
        <v/>
      </c>
      <c r="N110" s="28">
        <f>ROUND((Q109)*(IF('Your Debts'!$G$7=0,0,INDEX('Your Debts'!$C$5:$C$12,'Your Debts'!$G$7)/12)),2)</f>
        <v/>
      </c>
      <c r="O110" s="28">
        <f>MIN((Q109)+N110,IF('Your Debts'!$G$7=0,0,INDEX('Your Debts'!$D$5:$D$12,'Your Debts'!$G$7)))</f>
        <v/>
      </c>
      <c r="P110" s="28">
        <f>O110+MIN((Q109)+N110-O110,MAX(0,$E110-((H110-G110)+(L110-K110))))</f>
        <v/>
      </c>
      <c r="Q110" s="28">
        <f>ROUND(MAX(0,(Q109)+N110-P110),2)</f>
        <v/>
      </c>
      <c r="R110" s="28">
        <f>ROUND((U109)*(IF('Your Debts'!$G$8=0,0,INDEX('Your Debts'!$C$5:$C$12,'Your Debts'!$G$8)/12)),2)</f>
        <v/>
      </c>
      <c r="S110" s="28">
        <f>MIN((U109)+R110,IF('Your Debts'!$G$8=0,0,INDEX('Your Debts'!$D$5:$D$12,'Your Debts'!$G$8)))</f>
        <v/>
      </c>
      <c r="T110" s="28">
        <f>S110+MIN((U109)+R110-S110,MAX(0,$E110-((H110-G110)+(L110-K110)+(P110-O110))))</f>
        <v/>
      </c>
      <c r="U110" s="28">
        <f>ROUND(MAX(0,(U109)+R110-T110),2)</f>
        <v/>
      </c>
      <c r="V110" s="28">
        <f>ROUND((Y109)*(IF('Your Debts'!$G$9=0,0,INDEX('Your Debts'!$C$5:$C$12,'Your Debts'!$G$9)/12)),2)</f>
        <v/>
      </c>
      <c r="W110" s="28">
        <f>MIN((Y109)+V110,IF('Your Debts'!$G$9=0,0,INDEX('Your Debts'!$D$5:$D$12,'Your Debts'!$G$9)))</f>
        <v/>
      </c>
      <c r="X110" s="28">
        <f>W110+MIN((Y109)+V110-W110,MAX(0,$E110-((H110-G110)+(L110-K110)+(P110-O110)+(T110-S110))))</f>
        <v/>
      </c>
      <c r="Y110" s="28">
        <f>ROUND(MAX(0,(Y109)+V110-X110),2)</f>
        <v/>
      </c>
      <c r="Z110" s="28">
        <f>ROUND((AC109)*(IF('Your Debts'!$G$10=0,0,INDEX('Your Debts'!$C$5:$C$12,'Your Debts'!$G$10)/12)),2)</f>
        <v/>
      </c>
      <c r="AA110" s="28">
        <f>MIN((AC109)+Z110,IF('Your Debts'!$G$10=0,0,INDEX('Your Debts'!$D$5:$D$12,'Your Debts'!$G$10)))</f>
        <v/>
      </c>
      <c r="AB110" s="28">
        <f>AA110+MIN((AC109)+Z110-AA110,MAX(0,$E110-((H110-G110)+(L110-K110)+(P110-O110)+(T110-S110)+(X110-W110))))</f>
        <v/>
      </c>
      <c r="AC110" s="28">
        <f>ROUND(MAX(0,(AC109)+Z110-AB110),2)</f>
        <v/>
      </c>
      <c r="AD110" s="28">
        <f>ROUND((AG109)*(IF('Your Debts'!$G$11=0,0,INDEX('Your Debts'!$C$5:$C$12,'Your Debts'!$G$11)/12)),2)</f>
        <v/>
      </c>
      <c r="AE110" s="28">
        <f>MIN((AG109)+AD110,IF('Your Debts'!$G$11=0,0,INDEX('Your Debts'!$D$5:$D$12,'Your Debts'!$G$11)))</f>
        <v/>
      </c>
      <c r="AF110" s="28">
        <f>AE110+MIN((AG109)+AD110-AE110,MAX(0,$E110-((H110-G110)+(L110-K110)+(P110-O110)+(T110-S110)+(X110-W110)+(AB110-AA110))))</f>
        <v/>
      </c>
      <c r="AG110" s="28">
        <f>ROUND(MAX(0,(AG109)+AD110-AF110),2)</f>
        <v/>
      </c>
      <c r="AH110" s="28">
        <f>ROUND((AK109)*(IF('Your Debts'!$G$12=0,0,INDEX('Your Debts'!$C$5:$C$12,'Your Debts'!$G$12)/12)),2)</f>
        <v/>
      </c>
      <c r="AI110" s="28">
        <f>MIN((AK109)+AH110,IF('Your Debts'!$G$12=0,0,INDEX('Your Debts'!$D$5:$D$12,'Your Debts'!$G$12)))</f>
        <v/>
      </c>
      <c r="AJ110" s="28">
        <f>AI110+MIN((AK109)+AH110-AI110,MAX(0,$E110-((H110-G110)+(L110-K110)+(P110-O110)+(T110-S110)+(X110-W110)+(AB110-AA110)+(AF110-AE110))))</f>
        <v/>
      </c>
      <c r="AK110" s="28">
        <f>ROUND(MAX(0,(AK109)+AH110-AJ110),2)</f>
        <v/>
      </c>
      <c r="AL110" s="18">
        <f>I110+M110+Q110+U110+Y110+AC110+AG110+AK110</f>
        <v/>
      </c>
      <c r="AM110" s="27">
        <f>AM109+F110+J110+N110+R110+V110+Z110+AD110+AH110</f>
        <v/>
      </c>
    </row>
    <row r="111">
      <c r="A111" s="25" t="n">
        <v>106</v>
      </c>
      <c r="B111" s="26">
        <f>EDATE('Your Debts'!$B$19,105)</f>
        <v/>
      </c>
      <c r="C111" s="27">
        <f>'Your Debts'!$B$18</f>
        <v/>
      </c>
      <c r="D111" s="27">
        <f>G111+K111+O111+S111+W111+AA111+AE111+AI111</f>
        <v/>
      </c>
      <c r="E111" s="27">
        <f>MAX(0,C111-D111)</f>
        <v/>
      </c>
      <c r="F111" s="28">
        <f>ROUND((I110)*(IF('Your Debts'!$G$5=0,0,INDEX('Your Debts'!$C$5:$C$12,'Your Debts'!$G$5)/12)),2)</f>
        <v/>
      </c>
      <c r="G111" s="28">
        <f>MIN((I110)+F111,IF('Your Debts'!$G$5=0,0,INDEX('Your Debts'!$D$5:$D$12,'Your Debts'!$G$5)))</f>
        <v/>
      </c>
      <c r="H111" s="28">
        <f>G111+MIN((I110)+F111-G111,MAX(0,$E111-(0)))</f>
        <v/>
      </c>
      <c r="I111" s="28">
        <f>ROUND(MAX(0,(I110)+F111-H111),2)</f>
        <v/>
      </c>
      <c r="J111" s="28">
        <f>ROUND((M110)*(IF('Your Debts'!$G$6=0,0,INDEX('Your Debts'!$C$5:$C$12,'Your Debts'!$G$6)/12)),2)</f>
        <v/>
      </c>
      <c r="K111" s="28">
        <f>MIN((M110)+J111,IF('Your Debts'!$G$6=0,0,INDEX('Your Debts'!$D$5:$D$12,'Your Debts'!$G$6)))</f>
        <v/>
      </c>
      <c r="L111" s="28">
        <f>K111+MIN((M110)+J111-K111,MAX(0,$E111-((H111-G111))))</f>
        <v/>
      </c>
      <c r="M111" s="28">
        <f>ROUND(MAX(0,(M110)+J111-L111),2)</f>
        <v/>
      </c>
      <c r="N111" s="28">
        <f>ROUND((Q110)*(IF('Your Debts'!$G$7=0,0,INDEX('Your Debts'!$C$5:$C$12,'Your Debts'!$G$7)/12)),2)</f>
        <v/>
      </c>
      <c r="O111" s="28">
        <f>MIN((Q110)+N111,IF('Your Debts'!$G$7=0,0,INDEX('Your Debts'!$D$5:$D$12,'Your Debts'!$G$7)))</f>
        <v/>
      </c>
      <c r="P111" s="28">
        <f>O111+MIN((Q110)+N111-O111,MAX(0,$E111-((H111-G111)+(L111-K111))))</f>
        <v/>
      </c>
      <c r="Q111" s="28">
        <f>ROUND(MAX(0,(Q110)+N111-P111),2)</f>
        <v/>
      </c>
      <c r="R111" s="28">
        <f>ROUND((U110)*(IF('Your Debts'!$G$8=0,0,INDEX('Your Debts'!$C$5:$C$12,'Your Debts'!$G$8)/12)),2)</f>
        <v/>
      </c>
      <c r="S111" s="28">
        <f>MIN((U110)+R111,IF('Your Debts'!$G$8=0,0,INDEX('Your Debts'!$D$5:$D$12,'Your Debts'!$G$8)))</f>
        <v/>
      </c>
      <c r="T111" s="28">
        <f>S111+MIN((U110)+R111-S111,MAX(0,$E111-((H111-G111)+(L111-K111)+(P111-O111))))</f>
        <v/>
      </c>
      <c r="U111" s="28">
        <f>ROUND(MAX(0,(U110)+R111-T111),2)</f>
        <v/>
      </c>
      <c r="V111" s="28">
        <f>ROUND((Y110)*(IF('Your Debts'!$G$9=0,0,INDEX('Your Debts'!$C$5:$C$12,'Your Debts'!$G$9)/12)),2)</f>
        <v/>
      </c>
      <c r="W111" s="28">
        <f>MIN((Y110)+V111,IF('Your Debts'!$G$9=0,0,INDEX('Your Debts'!$D$5:$D$12,'Your Debts'!$G$9)))</f>
        <v/>
      </c>
      <c r="X111" s="28">
        <f>W111+MIN((Y110)+V111-W111,MAX(0,$E111-((H111-G111)+(L111-K111)+(P111-O111)+(T111-S111))))</f>
        <v/>
      </c>
      <c r="Y111" s="28">
        <f>ROUND(MAX(0,(Y110)+V111-X111),2)</f>
        <v/>
      </c>
      <c r="Z111" s="28">
        <f>ROUND((AC110)*(IF('Your Debts'!$G$10=0,0,INDEX('Your Debts'!$C$5:$C$12,'Your Debts'!$G$10)/12)),2)</f>
        <v/>
      </c>
      <c r="AA111" s="28">
        <f>MIN((AC110)+Z111,IF('Your Debts'!$G$10=0,0,INDEX('Your Debts'!$D$5:$D$12,'Your Debts'!$G$10)))</f>
        <v/>
      </c>
      <c r="AB111" s="28">
        <f>AA111+MIN((AC110)+Z111-AA111,MAX(0,$E111-((H111-G111)+(L111-K111)+(P111-O111)+(T111-S111)+(X111-W111))))</f>
        <v/>
      </c>
      <c r="AC111" s="28">
        <f>ROUND(MAX(0,(AC110)+Z111-AB111),2)</f>
        <v/>
      </c>
      <c r="AD111" s="28">
        <f>ROUND((AG110)*(IF('Your Debts'!$G$11=0,0,INDEX('Your Debts'!$C$5:$C$12,'Your Debts'!$G$11)/12)),2)</f>
        <v/>
      </c>
      <c r="AE111" s="28">
        <f>MIN((AG110)+AD111,IF('Your Debts'!$G$11=0,0,INDEX('Your Debts'!$D$5:$D$12,'Your Debts'!$G$11)))</f>
        <v/>
      </c>
      <c r="AF111" s="28">
        <f>AE111+MIN((AG110)+AD111-AE111,MAX(0,$E111-((H111-G111)+(L111-K111)+(P111-O111)+(T111-S111)+(X111-W111)+(AB111-AA111))))</f>
        <v/>
      </c>
      <c r="AG111" s="28">
        <f>ROUND(MAX(0,(AG110)+AD111-AF111),2)</f>
        <v/>
      </c>
      <c r="AH111" s="28">
        <f>ROUND((AK110)*(IF('Your Debts'!$G$12=0,0,INDEX('Your Debts'!$C$5:$C$12,'Your Debts'!$G$12)/12)),2)</f>
        <v/>
      </c>
      <c r="AI111" s="28">
        <f>MIN((AK110)+AH111,IF('Your Debts'!$G$12=0,0,INDEX('Your Debts'!$D$5:$D$12,'Your Debts'!$G$12)))</f>
        <v/>
      </c>
      <c r="AJ111" s="28">
        <f>AI111+MIN((AK110)+AH111-AI111,MAX(0,$E111-((H111-G111)+(L111-K111)+(P111-O111)+(T111-S111)+(X111-W111)+(AB111-AA111)+(AF111-AE111))))</f>
        <v/>
      </c>
      <c r="AK111" s="28">
        <f>ROUND(MAX(0,(AK110)+AH111-AJ111),2)</f>
        <v/>
      </c>
      <c r="AL111" s="18">
        <f>I111+M111+Q111+U111+Y111+AC111+AG111+AK111</f>
        <v/>
      </c>
      <c r="AM111" s="27">
        <f>AM110+F111+J111+N111+R111+V111+Z111+AD111+AH111</f>
        <v/>
      </c>
    </row>
    <row r="112">
      <c r="A112" s="25" t="n">
        <v>107</v>
      </c>
      <c r="B112" s="26">
        <f>EDATE('Your Debts'!$B$19,106)</f>
        <v/>
      </c>
      <c r="C112" s="27">
        <f>'Your Debts'!$B$18</f>
        <v/>
      </c>
      <c r="D112" s="27">
        <f>G112+K112+O112+S112+W112+AA112+AE112+AI112</f>
        <v/>
      </c>
      <c r="E112" s="27">
        <f>MAX(0,C112-D112)</f>
        <v/>
      </c>
      <c r="F112" s="28">
        <f>ROUND((I111)*(IF('Your Debts'!$G$5=0,0,INDEX('Your Debts'!$C$5:$C$12,'Your Debts'!$G$5)/12)),2)</f>
        <v/>
      </c>
      <c r="G112" s="28">
        <f>MIN((I111)+F112,IF('Your Debts'!$G$5=0,0,INDEX('Your Debts'!$D$5:$D$12,'Your Debts'!$G$5)))</f>
        <v/>
      </c>
      <c r="H112" s="28">
        <f>G112+MIN((I111)+F112-G112,MAX(0,$E112-(0)))</f>
        <v/>
      </c>
      <c r="I112" s="28">
        <f>ROUND(MAX(0,(I111)+F112-H112),2)</f>
        <v/>
      </c>
      <c r="J112" s="28">
        <f>ROUND((M111)*(IF('Your Debts'!$G$6=0,0,INDEX('Your Debts'!$C$5:$C$12,'Your Debts'!$G$6)/12)),2)</f>
        <v/>
      </c>
      <c r="K112" s="28">
        <f>MIN((M111)+J112,IF('Your Debts'!$G$6=0,0,INDEX('Your Debts'!$D$5:$D$12,'Your Debts'!$G$6)))</f>
        <v/>
      </c>
      <c r="L112" s="28">
        <f>K112+MIN((M111)+J112-K112,MAX(0,$E112-((H112-G112))))</f>
        <v/>
      </c>
      <c r="M112" s="28">
        <f>ROUND(MAX(0,(M111)+J112-L112),2)</f>
        <v/>
      </c>
      <c r="N112" s="28">
        <f>ROUND((Q111)*(IF('Your Debts'!$G$7=0,0,INDEX('Your Debts'!$C$5:$C$12,'Your Debts'!$G$7)/12)),2)</f>
        <v/>
      </c>
      <c r="O112" s="28">
        <f>MIN((Q111)+N112,IF('Your Debts'!$G$7=0,0,INDEX('Your Debts'!$D$5:$D$12,'Your Debts'!$G$7)))</f>
        <v/>
      </c>
      <c r="P112" s="28">
        <f>O112+MIN((Q111)+N112-O112,MAX(0,$E112-((H112-G112)+(L112-K112))))</f>
        <v/>
      </c>
      <c r="Q112" s="28">
        <f>ROUND(MAX(0,(Q111)+N112-P112),2)</f>
        <v/>
      </c>
      <c r="R112" s="28">
        <f>ROUND((U111)*(IF('Your Debts'!$G$8=0,0,INDEX('Your Debts'!$C$5:$C$12,'Your Debts'!$G$8)/12)),2)</f>
        <v/>
      </c>
      <c r="S112" s="28">
        <f>MIN((U111)+R112,IF('Your Debts'!$G$8=0,0,INDEX('Your Debts'!$D$5:$D$12,'Your Debts'!$G$8)))</f>
        <v/>
      </c>
      <c r="T112" s="28">
        <f>S112+MIN((U111)+R112-S112,MAX(0,$E112-((H112-G112)+(L112-K112)+(P112-O112))))</f>
        <v/>
      </c>
      <c r="U112" s="28">
        <f>ROUND(MAX(0,(U111)+R112-T112),2)</f>
        <v/>
      </c>
      <c r="V112" s="28">
        <f>ROUND((Y111)*(IF('Your Debts'!$G$9=0,0,INDEX('Your Debts'!$C$5:$C$12,'Your Debts'!$G$9)/12)),2)</f>
        <v/>
      </c>
      <c r="W112" s="28">
        <f>MIN((Y111)+V112,IF('Your Debts'!$G$9=0,0,INDEX('Your Debts'!$D$5:$D$12,'Your Debts'!$G$9)))</f>
        <v/>
      </c>
      <c r="X112" s="28">
        <f>W112+MIN((Y111)+V112-W112,MAX(0,$E112-((H112-G112)+(L112-K112)+(P112-O112)+(T112-S112))))</f>
        <v/>
      </c>
      <c r="Y112" s="28">
        <f>ROUND(MAX(0,(Y111)+V112-X112),2)</f>
        <v/>
      </c>
      <c r="Z112" s="28">
        <f>ROUND((AC111)*(IF('Your Debts'!$G$10=0,0,INDEX('Your Debts'!$C$5:$C$12,'Your Debts'!$G$10)/12)),2)</f>
        <v/>
      </c>
      <c r="AA112" s="28">
        <f>MIN((AC111)+Z112,IF('Your Debts'!$G$10=0,0,INDEX('Your Debts'!$D$5:$D$12,'Your Debts'!$G$10)))</f>
        <v/>
      </c>
      <c r="AB112" s="28">
        <f>AA112+MIN((AC111)+Z112-AA112,MAX(0,$E112-((H112-G112)+(L112-K112)+(P112-O112)+(T112-S112)+(X112-W112))))</f>
        <v/>
      </c>
      <c r="AC112" s="28">
        <f>ROUND(MAX(0,(AC111)+Z112-AB112),2)</f>
        <v/>
      </c>
      <c r="AD112" s="28">
        <f>ROUND((AG111)*(IF('Your Debts'!$G$11=0,0,INDEX('Your Debts'!$C$5:$C$12,'Your Debts'!$G$11)/12)),2)</f>
        <v/>
      </c>
      <c r="AE112" s="28">
        <f>MIN((AG111)+AD112,IF('Your Debts'!$G$11=0,0,INDEX('Your Debts'!$D$5:$D$12,'Your Debts'!$G$11)))</f>
        <v/>
      </c>
      <c r="AF112" s="28">
        <f>AE112+MIN((AG111)+AD112-AE112,MAX(0,$E112-((H112-G112)+(L112-K112)+(P112-O112)+(T112-S112)+(X112-W112)+(AB112-AA112))))</f>
        <v/>
      </c>
      <c r="AG112" s="28">
        <f>ROUND(MAX(0,(AG111)+AD112-AF112),2)</f>
        <v/>
      </c>
      <c r="AH112" s="28">
        <f>ROUND((AK111)*(IF('Your Debts'!$G$12=0,0,INDEX('Your Debts'!$C$5:$C$12,'Your Debts'!$G$12)/12)),2)</f>
        <v/>
      </c>
      <c r="AI112" s="28">
        <f>MIN((AK111)+AH112,IF('Your Debts'!$G$12=0,0,INDEX('Your Debts'!$D$5:$D$12,'Your Debts'!$G$12)))</f>
        <v/>
      </c>
      <c r="AJ112" s="28">
        <f>AI112+MIN((AK111)+AH112-AI112,MAX(0,$E112-((H112-G112)+(L112-K112)+(P112-O112)+(T112-S112)+(X112-W112)+(AB112-AA112)+(AF112-AE112))))</f>
        <v/>
      </c>
      <c r="AK112" s="28">
        <f>ROUND(MAX(0,(AK111)+AH112-AJ112),2)</f>
        <v/>
      </c>
      <c r="AL112" s="18">
        <f>I112+M112+Q112+U112+Y112+AC112+AG112+AK112</f>
        <v/>
      </c>
      <c r="AM112" s="27">
        <f>AM111+F112+J112+N112+R112+V112+Z112+AD112+AH112</f>
        <v/>
      </c>
    </row>
    <row r="113">
      <c r="A113" s="25" t="n">
        <v>108</v>
      </c>
      <c r="B113" s="26">
        <f>EDATE('Your Debts'!$B$19,107)</f>
        <v/>
      </c>
      <c r="C113" s="27">
        <f>'Your Debts'!$B$18</f>
        <v/>
      </c>
      <c r="D113" s="27">
        <f>G113+K113+O113+S113+W113+AA113+AE113+AI113</f>
        <v/>
      </c>
      <c r="E113" s="27">
        <f>MAX(0,C113-D113)</f>
        <v/>
      </c>
      <c r="F113" s="28">
        <f>ROUND((I112)*(IF('Your Debts'!$G$5=0,0,INDEX('Your Debts'!$C$5:$C$12,'Your Debts'!$G$5)/12)),2)</f>
        <v/>
      </c>
      <c r="G113" s="28">
        <f>MIN((I112)+F113,IF('Your Debts'!$G$5=0,0,INDEX('Your Debts'!$D$5:$D$12,'Your Debts'!$G$5)))</f>
        <v/>
      </c>
      <c r="H113" s="28">
        <f>G113+MIN((I112)+F113-G113,MAX(0,$E113-(0)))</f>
        <v/>
      </c>
      <c r="I113" s="28">
        <f>ROUND(MAX(0,(I112)+F113-H113),2)</f>
        <v/>
      </c>
      <c r="J113" s="28">
        <f>ROUND((M112)*(IF('Your Debts'!$G$6=0,0,INDEX('Your Debts'!$C$5:$C$12,'Your Debts'!$G$6)/12)),2)</f>
        <v/>
      </c>
      <c r="K113" s="28">
        <f>MIN((M112)+J113,IF('Your Debts'!$G$6=0,0,INDEX('Your Debts'!$D$5:$D$12,'Your Debts'!$G$6)))</f>
        <v/>
      </c>
      <c r="L113" s="28">
        <f>K113+MIN((M112)+J113-K113,MAX(0,$E113-((H113-G113))))</f>
        <v/>
      </c>
      <c r="M113" s="28">
        <f>ROUND(MAX(0,(M112)+J113-L113),2)</f>
        <v/>
      </c>
      <c r="N113" s="28">
        <f>ROUND((Q112)*(IF('Your Debts'!$G$7=0,0,INDEX('Your Debts'!$C$5:$C$12,'Your Debts'!$G$7)/12)),2)</f>
        <v/>
      </c>
      <c r="O113" s="28">
        <f>MIN((Q112)+N113,IF('Your Debts'!$G$7=0,0,INDEX('Your Debts'!$D$5:$D$12,'Your Debts'!$G$7)))</f>
        <v/>
      </c>
      <c r="P113" s="28">
        <f>O113+MIN((Q112)+N113-O113,MAX(0,$E113-((H113-G113)+(L113-K113))))</f>
        <v/>
      </c>
      <c r="Q113" s="28">
        <f>ROUND(MAX(0,(Q112)+N113-P113),2)</f>
        <v/>
      </c>
      <c r="R113" s="28">
        <f>ROUND((U112)*(IF('Your Debts'!$G$8=0,0,INDEX('Your Debts'!$C$5:$C$12,'Your Debts'!$G$8)/12)),2)</f>
        <v/>
      </c>
      <c r="S113" s="28">
        <f>MIN((U112)+R113,IF('Your Debts'!$G$8=0,0,INDEX('Your Debts'!$D$5:$D$12,'Your Debts'!$G$8)))</f>
        <v/>
      </c>
      <c r="T113" s="28">
        <f>S113+MIN((U112)+R113-S113,MAX(0,$E113-((H113-G113)+(L113-K113)+(P113-O113))))</f>
        <v/>
      </c>
      <c r="U113" s="28">
        <f>ROUND(MAX(0,(U112)+R113-T113),2)</f>
        <v/>
      </c>
      <c r="V113" s="28">
        <f>ROUND((Y112)*(IF('Your Debts'!$G$9=0,0,INDEX('Your Debts'!$C$5:$C$12,'Your Debts'!$G$9)/12)),2)</f>
        <v/>
      </c>
      <c r="W113" s="28">
        <f>MIN((Y112)+V113,IF('Your Debts'!$G$9=0,0,INDEX('Your Debts'!$D$5:$D$12,'Your Debts'!$G$9)))</f>
        <v/>
      </c>
      <c r="X113" s="28">
        <f>W113+MIN((Y112)+V113-W113,MAX(0,$E113-((H113-G113)+(L113-K113)+(P113-O113)+(T113-S113))))</f>
        <v/>
      </c>
      <c r="Y113" s="28">
        <f>ROUND(MAX(0,(Y112)+V113-X113),2)</f>
        <v/>
      </c>
      <c r="Z113" s="28">
        <f>ROUND((AC112)*(IF('Your Debts'!$G$10=0,0,INDEX('Your Debts'!$C$5:$C$12,'Your Debts'!$G$10)/12)),2)</f>
        <v/>
      </c>
      <c r="AA113" s="28">
        <f>MIN((AC112)+Z113,IF('Your Debts'!$G$10=0,0,INDEX('Your Debts'!$D$5:$D$12,'Your Debts'!$G$10)))</f>
        <v/>
      </c>
      <c r="AB113" s="28">
        <f>AA113+MIN((AC112)+Z113-AA113,MAX(0,$E113-((H113-G113)+(L113-K113)+(P113-O113)+(T113-S113)+(X113-W113))))</f>
        <v/>
      </c>
      <c r="AC113" s="28">
        <f>ROUND(MAX(0,(AC112)+Z113-AB113),2)</f>
        <v/>
      </c>
      <c r="AD113" s="28">
        <f>ROUND((AG112)*(IF('Your Debts'!$G$11=0,0,INDEX('Your Debts'!$C$5:$C$12,'Your Debts'!$G$11)/12)),2)</f>
        <v/>
      </c>
      <c r="AE113" s="28">
        <f>MIN((AG112)+AD113,IF('Your Debts'!$G$11=0,0,INDEX('Your Debts'!$D$5:$D$12,'Your Debts'!$G$11)))</f>
        <v/>
      </c>
      <c r="AF113" s="28">
        <f>AE113+MIN((AG112)+AD113-AE113,MAX(0,$E113-((H113-G113)+(L113-K113)+(P113-O113)+(T113-S113)+(X113-W113)+(AB113-AA113))))</f>
        <v/>
      </c>
      <c r="AG113" s="28">
        <f>ROUND(MAX(0,(AG112)+AD113-AF113),2)</f>
        <v/>
      </c>
      <c r="AH113" s="28">
        <f>ROUND((AK112)*(IF('Your Debts'!$G$12=0,0,INDEX('Your Debts'!$C$5:$C$12,'Your Debts'!$G$12)/12)),2)</f>
        <v/>
      </c>
      <c r="AI113" s="28">
        <f>MIN((AK112)+AH113,IF('Your Debts'!$G$12=0,0,INDEX('Your Debts'!$D$5:$D$12,'Your Debts'!$G$12)))</f>
        <v/>
      </c>
      <c r="AJ113" s="28">
        <f>AI113+MIN((AK112)+AH113-AI113,MAX(0,$E113-((H113-G113)+(L113-K113)+(P113-O113)+(T113-S113)+(X113-W113)+(AB113-AA113)+(AF113-AE113))))</f>
        <v/>
      </c>
      <c r="AK113" s="28">
        <f>ROUND(MAX(0,(AK112)+AH113-AJ113),2)</f>
        <v/>
      </c>
      <c r="AL113" s="18">
        <f>I113+M113+Q113+U113+Y113+AC113+AG113+AK113</f>
        <v/>
      </c>
      <c r="AM113" s="27">
        <f>AM112+F113+J113+N113+R113+V113+Z113+AD113+AH113</f>
        <v/>
      </c>
    </row>
    <row r="114">
      <c r="A114" s="25" t="n">
        <v>109</v>
      </c>
      <c r="B114" s="26">
        <f>EDATE('Your Debts'!$B$19,108)</f>
        <v/>
      </c>
      <c r="C114" s="27">
        <f>'Your Debts'!$B$18</f>
        <v/>
      </c>
      <c r="D114" s="27">
        <f>G114+K114+O114+S114+W114+AA114+AE114+AI114</f>
        <v/>
      </c>
      <c r="E114" s="27">
        <f>MAX(0,C114-D114)</f>
        <v/>
      </c>
      <c r="F114" s="28">
        <f>ROUND((I113)*(IF('Your Debts'!$G$5=0,0,INDEX('Your Debts'!$C$5:$C$12,'Your Debts'!$G$5)/12)),2)</f>
        <v/>
      </c>
      <c r="G114" s="28">
        <f>MIN((I113)+F114,IF('Your Debts'!$G$5=0,0,INDEX('Your Debts'!$D$5:$D$12,'Your Debts'!$G$5)))</f>
        <v/>
      </c>
      <c r="H114" s="28">
        <f>G114+MIN((I113)+F114-G114,MAX(0,$E114-(0)))</f>
        <v/>
      </c>
      <c r="I114" s="28">
        <f>ROUND(MAX(0,(I113)+F114-H114),2)</f>
        <v/>
      </c>
      <c r="J114" s="28">
        <f>ROUND((M113)*(IF('Your Debts'!$G$6=0,0,INDEX('Your Debts'!$C$5:$C$12,'Your Debts'!$G$6)/12)),2)</f>
        <v/>
      </c>
      <c r="K114" s="28">
        <f>MIN((M113)+J114,IF('Your Debts'!$G$6=0,0,INDEX('Your Debts'!$D$5:$D$12,'Your Debts'!$G$6)))</f>
        <v/>
      </c>
      <c r="L114" s="28">
        <f>K114+MIN((M113)+J114-K114,MAX(0,$E114-((H114-G114))))</f>
        <v/>
      </c>
      <c r="M114" s="28">
        <f>ROUND(MAX(0,(M113)+J114-L114),2)</f>
        <v/>
      </c>
      <c r="N114" s="28">
        <f>ROUND((Q113)*(IF('Your Debts'!$G$7=0,0,INDEX('Your Debts'!$C$5:$C$12,'Your Debts'!$G$7)/12)),2)</f>
        <v/>
      </c>
      <c r="O114" s="28">
        <f>MIN((Q113)+N114,IF('Your Debts'!$G$7=0,0,INDEX('Your Debts'!$D$5:$D$12,'Your Debts'!$G$7)))</f>
        <v/>
      </c>
      <c r="P114" s="28">
        <f>O114+MIN((Q113)+N114-O114,MAX(0,$E114-((H114-G114)+(L114-K114))))</f>
        <v/>
      </c>
      <c r="Q114" s="28">
        <f>ROUND(MAX(0,(Q113)+N114-P114),2)</f>
        <v/>
      </c>
      <c r="R114" s="28">
        <f>ROUND((U113)*(IF('Your Debts'!$G$8=0,0,INDEX('Your Debts'!$C$5:$C$12,'Your Debts'!$G$8)/12)),2)</f>
        <v/>
      </c>
      <c r="S114" s="28">
        <f>MIN((U113)+R114,IF('Your Debts'!$G$8=0,0,INDEX('Your Debts'!$D$5:$D$12,'Your Debts'!$G$8)))</f>
        <v/>
      </c>
      <c r="T114" s="28">
        <f>S114+MIN((U113)+R114-S114,MAX(0,$E114-((H114-G114)+(L114-K114)+(P114-O114))))</f>
        <v/>
      </c>
      <c r="U114" s="28">
        <f>ROUND(MAX(0,(U113)+R114-T114),2)</f>
        <v/>
      </c>
      <c r="V114" s="28">
        <f>ROUND((Y113)*(IF('Your Debts'!$G$9=0,0,INDEX('Your Debts'!$C$5:$C$12,'Your Debts'!$G$9)/12)),2)</f>
        <v/>
      </c>
      <c r="W114" s="28">
        <f>MIN((Y113)+V114,IF('Your Debts'!$G$9=0,0,INDEX('Your Debts'!$D$5:$D$12,'Your Debts'!$G$9)))</f>
        <v/>
      </c>
      <c r="X114" s="28">
        <f>W114+MIN((Y113)+V114-W114,MAX(0,$E114-((H114-G114)+(L114-K114)+(P114-O114)+(T114-S114))))</f>
        <v/>
      </c>
      <c r="Y114" s="28">
        <f>ROUND(MAX(0,(Y113)+V114-X114),2)</f>
        <v/>
      </c>
      <c r="Z114" s="28">
        <f>ROUND((AC113)*(IF('Your Debts'!$G$10=0,0,INDEX('Your Debts'!$C$5:$C$12,'Your Debts'!$G$10)/12)),2)</f>
        <v/>
      </c>
      <c r="AA114" s="28">
        <f>MIN((AC113)+Z114,IF('Your Debts'!$G$10=0,0,INDEX('Your Debts'!$D$5:$D$12,'Your Debts'!$G$10)))</f>
        <v/>
      </c>
      <c r="AB114" s="28">
        <f>AA114+MIN((AC113)+Z114-AA114,MAX(0,$E114-((H114-G114)+(L114-K114)+(P114-O114)+(T114-S114)+(X114-W114))))</f>
        <v/>
      </c>
      <c r="AC114" s="28">
        <f>ROUND(MAX(0,(AC113)+Z114-AB114),2)</f>
        <v/>
      </c>
      <c r="AD114" s="28">
        <f>ROUND((AG113)*(IF('Your Debts'!$G$11=0,0,INDEX('Your Debts'!$C$5:$C$12,'Your Debts'!$G$11)/12)),2)</f>
        <v/>
      </c>
      <c r="AE114" s="28">
        <f>MIN((AG113)+AD114,IF('Your Debts'!$G$11=0,0,INDEX('Your Debts'!$D$5:$D$12,'Your Debts'!$G$11)))</f>
        <v/>
      </c>
      <c r="AF114" s="28">
        <f>AE114+MIN((AG113)+AD114-AE114,MAX(0,$E114-((H114-G114)+(L114-K114)+(P114-O114)+(T114-S114)+(X114-W114)+(AB114-AA114))))</f>
        <v/>
      </c>
      <c r="AG114" s="28">
        <f>ROUND(MAX(0,(AG113)+AD114-AF114),2)</f>
        <v/>
      </c>
      <c r="AH114" s="28">
        <f>ROUND((AK113)*(IF('Your Debts'!$G$12=0,0,INDEX('Your Debts'!$C$5:$C$12,'Your Debts'!$G$12)/12)),2)</f>
        <v/>
      </c>
      <c r="AI114" s="28">
        <f>MIN((AK113)+AH114,IF('Your Debts'!$G$12=0,0,INDEX('Your Debts'!$D$5:$D$12,'Your Debts'!$G$12)))</f>
        <v/>
      </c>
      <c r="AJ114" s="28">
        <f>AI114+MIN((AK113)+AH114-AI114,MAX(0,$E114-((H114-G114)+(L114-K114)+(P114-O114)+(T114-S114)+(X114-W114)+(AB114-AA114)+(AF114-AE114))))</f>
        <v/>
      </c>
      <c r="AK114" s="28">
        <f>ROUND(MAX(0,(AK113)+AH114-AJ114),2)</f>
        <v/>
      </c>
      <c r="AL114" s="18">
        <f>I114+M114+Q114+U114+Y114+AC114+AG114+AK114</f>
        <v/>
      </c>
      <c r="AM114" s="27">
        <f>AM113+F114+J114+N114+R114+V114+Z114+AD114+AH114</f>
        <v/>
      </c>
    </row>
    <row r="115">
      <c r="A115" s="25" t="n">
        <v>110</v>
      </c>
      <c r="B115" s="26">
        <f>EDATE('Your Debts'!$B$19,109)</f>
        <v/>
      </c>
      <c r="C115" s="27">
        <f>'Your Debts'!$B$18</f>
        <v/>
      </c>
      <c r="D115" s="27">
        <f>G115+K115+O115+S115+W115+AA115+AE115+AI115</f>
        <v/>
      </c>
      <c r="E115" s="27">
        <f>MAX(0,C115-D115)</f>
        <v/>
      </c>
      <c r="F115" s="28">
        <f>ROUND((I114)*(IF('Your Debts'!$G$5=0,0,INDEX('Your Debts'!$C$5:$C$12,'Your Debts'!$G$5)/12)),2)</f>
        <v/>
      </c>
      <c r="G115" s="28">
        <f>MIN((I114)+F115,IF('Your Debts'!$G$5=0,0,INDEX('Your Debts'!$D$5:$D$12,'Your Debts'!$G$5)))</f>
        <v/>
      </c>
      <c r="H115" s="28">
        <f>G115+MIN((I114)+F115-G115,MAX(0,$E115-(0)))</f>
        <v/>
      </c>
      <c r="I115" s="28">
        <f>ROUND(MAX(0,(I114)+F115-H115),2)</f>
        <v/>
      </c>
      <c r="J115" s="28">
        <f>ROUND((M114)*(IF('Your Debts'!$G$6=0,0,INDEX('Your Debts'!$C$5:$C$12,'Your Debts'!$G$6)/12)),2)</f>
        <v/>
      </c>
      <c r="K115" s="28">
        <f>MIN((M114)+J115,IF('Your Debts'!$G$6=0,0,INDEX('Your Debts'!$D$5:$D$12,'Your Debts'!$G$6)))</f>
        <v/>
      </c>
      <c r="L115" s="28">
        <f>K115+MIN((M114)+J115-K115,MAX(0,$E115-((H115-G115))))</f>
        <v/>
      </c>
      <c r="M115" s="28">
        <f>ROUND(MAX(0,(M114)+J115-L115),2)</f>
        <v/>
      </c>
      <c r="N115" s="28">
        <f>ROUND((Q114)*(IF('Your Debts'!$G$7=0,0,INDEX('Your Debts'!$C$5:$C$12,'Your Debts'!$G$7)/12)),2)</f>
        <v/>
      </c>
      <c r="O115" s="28">
        <f>MIN((Q114)+N115,IF('Your Debts'!$G$7=0,0,INDEX('Your Debts'!$D$5:$D$12,'Your Debts'!$G$7)))</f>
        <v/>
      </c>
      <c r="P115" s="28">
        <f>O115+MIN((Q114)+N115-O115,MAX(0,$E115-((H115-G115)+(L115-K115))))</f>
        <v/>
      </c>
      <c r="Q115" s="28">
        <f>ROUND(MAX(0,(Q114)+N115-P115),2)</f>
        <v/>
      </c>
      <c r="R115" s="28">
        <f>ROUND((U114)*(IF('Your Debts'!$G$8=0,0,INDEX('Your Debts'!$C$5:$C$12,'Your Debts'!$G$8)/12)),2)</f>
        <v/>
      </c>
      <c r="S115" s="28">
        <f>MIN((U114)+R115,IF('Your Debts'!$G$8=0,0,INDEX('Your Debts'!$D$5:$D$12,'Your Debts'!$G$8)))</f>
        <v/>
      </c>
      <c r="T115" s="28">
        <f>S115+MIN((U114)+R115-S115,MAX(0,$E115-((H115-G115)+(L115-K115)+(P115-O115))))</f>
        <v/>
      </c>
      <c r="U115" s="28">
        <f>ROUND(MAX(0,(U114)+R115-T115),2)</f>
        <v/>
      </c>
      <c r="V115" s="28">
        <f>ROUND((Y114)*(IF('Your Debts'!$G$9=0,0,INDEX('Your Debts'!$C$5:$C$12,'Your Debts'!$G$9)/12)),2)</f>
        <v/>
      </c>
      <c r="W115" s="28">
        <f>MIN((Y114)+V115,IF('Your Debts'!$G$9=0,0,INDEX('Your Debts'!$D$5:$D$12,'Your Debts'!$G$9)))</f>
        <v/>
      </c>
      <c r="X115" s="28">
        <f>W115+MIN((Y114)+V115-W115,MAX(0,$E115-((H115-G115)+(L115-K115)+(P115-O115)+(T115-S115))))</f>
        <v/>
      </c>
      <c r="Y115" s="28">
        <f>ROUND(MAX(0,(Y114)+V115-X115),2)</f>
        <v/>
      </c>
      <c r="Z115" s="28">
        <f>ROUND((AC114)*(IF('Your Debts'!$G$10=0,0,INDEX('Your Debts'!$C$5:$C$12,'Your Debts'!$G$10)/12)),2)</f>
        <v/>
      </c>
      <c r="AA115" s="28">
        <f>MIN((AC114)+Z115,IF('Your Debts'!$G$10=0,0,INDEX('Your Debts'!$D$5:$D$12,'Your Debts'!$G$10)))</f>
        <v/>
      </c>
      <c r="AB115" s="28">
        <f>AA115+MIN((AC114)+Z115-AA115,MAX(0,$E115-((H115-G115)+(L115-K115)+(P115-O115)+(T115-S115)+(X115-W115))))</f>
        <v/>
      </c>
      <c r="AC115" s="28">
        <f>ROUND(MAX(0,(AC114)+Z115-AB115),2)</f>
        <v/>
      </c>
      <c r="AD115" s="28">
        <f>ROUND((AG114)*(IF('Your Debts'!$G$11=0,0,INDEX('Your Debts'!$C$5:$C$12,'Your Debts'!$G$11)/12)),2)</f>
        <v/>
      </c>
      <c r="AE115" s="28">
        <f>MIN((AG114)+AD115,IF('Your Debts'!$G$11=0,0,INDEX('Your Debts'!$D$5:$D$12,'Your Debts'!$G$11)))</f>
        <v/>
      </c>
      <c r="AF115" s="28">
        <f>AE115+MIN((AG114)+AD115-AE115,MAX(0,$E115-((H115-G115)+(L115-K115)+(P115-O115)+(T115-S115)+(X115-W115)+(AB115-AA115))))</f>
        <v/>
      </c>
      <c r="AG115" s="28">
        <f>ROUND(MAX(0,(AG114)+AD115-AF115),2)</f>
        <v/>
      </c>
      <c r="AH115" s="28">
        <f>ROUND((AK114)*(IF('Your Debts'!$G$12=0,0,INDEX('Your Debts'!$C$5:$C$12,'Your Debts'!$G$12)/12)),2)</f>
        <v/>
      </c>
      <c r="AI115" s="28">
        <f>MIN((AK114)+AH115,IF('Your Debts'!$G$12=0,0,INDEX('Your Debts'!$D$5:$D$12,'Your Debts'!$G$12)))</f>
        <v/>
      </c>
      <c r="AJ115" s="28">
        <f>AI115+MIN((AK114)+AH115-AI115,MAX(0,$E115-((H115-G115)+(L115-K115)+(P115-O115)+(T115-S115)+(X115-W115)+(AB115-AA115)+(AF115-AE115))))</f>
        <v/>
      </c>
      <c r="AK115" s="28">
        <f>ROUND(MAX(0,(AK114)+AH115-AJ115),2)</f>
        <v/>
      </c>
      <c r="AL115" s="18">
        <f>I115+M115+Q115+U115+Y115+AC115+AG115+AK115</f>
        <v/>
      </c>
      <c r="AM115" s="27">
        <f>AM114+F115+J115+N115+R115+V115+Z115+AD115+AH115</f>
        <v/>
      </c>
    </row>
    <row r="116">
      <c r="A116" s="25" t="n">
        <v>111</v>
      </c>
      <c r="B116" s="26">
        <f>EDATE('Your Debts'!$B$19,110)</f>
        <v/>
      </c>
      <c r="C116" s="27">
        <f>'Your Debts'!$B$18</f>
        <v/>
      </c>
      <c r="D116" s="27">
        <f>G116+K116+O116+S116+W116+AA116+AE116+AI116</f>
        <v/>
      </c>
      <c r="E116" s="27">
        <f>MAX(0,C116-D116)</f>
        <v/>
      </c>
      <c r="F116" s="28">
        <f>ROUND((I115)*(IF('Your Debts'!$G$5=0,0,INDEX('Your Debts'!$C$5:$C$12,'Your Debts'!$G$5)/12)),2)</f>
        <v/>
      </c>
      <c r="G116" s="28">
        <f>MIN((I115)+F116,IF('Your Debts'!$G$5=0,0,INDEX('Your Debts'!$D$5:$D$12,'Your Debts'!$G$5)))</f>
        <v/>
      </c>
      <c r="H116" s="28">
        <f>G116+MIN((I115)+F116-G116,MAX(0,$E116-(0)))</f>
        <v/>
      </c>
      <c r="I116" s="28">
        <f>ROUND(MAX(0,(I115)+F116-H116),2)</f>
        <v/>
      </c>
      <c r="J116" s="28">
        <f>ROUND((M115)*(IF('Your Debts'!$G$6=0,0,INDEX('Your Debts'!$C$5:$C$12,'Your Debts'!$G$6)/12)),2)</f>
        <v/>
      </c>
      <c r="K116" s="28">
        <f>MIN((M115)+J116,IF('Your Debts'!$G$6=0,0,INDEX('Your Debts'!$D$5:$D$12,'Your Debts'!$G$6)))</f>
        <v/>
      </c>
      <c r="L116" s="28">
        <f>K116+MIN((M115)+J116-K116,MAX(0,$E116-((H116-G116))))</f>
        <v/>
      </c>
      <c r="M116" s="28">
        <f>ROUND(MAX(0,(M115)+J116-L116),2)</f>
        <v/>
      </c>
      <c r="N116" s="28">
        <f>ROUND((Q115)*(IF('Your Debts'!$G$7=0,0,INDEX('Your Debts'!$C$5:$C$12,'Your Debts'!$G$7)/12)),2)</f>
        <v/>
      </c>
      <c r="O116" s="28">
        <f>MIN((Q115)+N116,IF('Your Debts'!$G$7=0,0,INDEX('Your Debts'!$D$5:$D$12,'Your Debts'!$G$7)))</f>
        <v/>
      </c>
      <c r="P116" s="28">
        <f>O116+MIN((Q115)+N116-O116,MAX(0,$E116-((H116-G116)+(L116-K116))))</f>
        <v/>
      </c>
      <c r="Q116" s="28">
        <f>ROUND(MAX(0,(Q115)+N116-P116),2)</f>
        <v/>
      </c>
      <c r="R116" s="28">
        <f>ROUND((U115)*(IF('Your Debts'!$G$8=0,0,INDEX('Your Debts'!$C$5:$C$12,'Your Debts'!$G$8)/12)),2)</f>
        <v/>
      </c>
      <c r="S116" s="28">
        <f>MIN((U115)+R116,IF('Your Debts'!$G$8=0,0,INDEX('Your Debts'!$D$5:$D$12,'Your Debts'!$G$8)))</f>
        <v/>
      </c>
      <c r="T116" s="28">
        <f>S116+MIN((U115)+R116-S116,MAX(0,$E116-((H116-G116)+(L116-K116)+(P116-O116))))</f>
        <v/>
      </c>
      <c r="U116" s="28">
        <f>ROUND(MAX(0,(U115)+R116-T116),2)</f>
        <v/>
      </c>
      <c r="V116" s="28">
        <f>ROUND((Y115)*(IF('Your Debts'!$G$9=0,0,INDEX('Your Debts'!$C$5:$C$12,'Your Debts'!$G$9)/12)),2)</f>
        <v/>
      </c>
      <c r="W116" s="28">
        <f>MIN((Y115)+V116,IF('Your Debts'!$G$9=0,0,INDEX('Your Debts'!$D$5:$D$12,'Your Debts'!$G$9)))</f>
        <v/>
      </c>
      <c r="X116" s="28">
        <f>W116+MIN((Y115)+V116-W116,MAX(0,$E116-((H116-G116)+(L116-K116)+(P116-O116)+(T116-S116))))</f>
        <v/>
      </c>
      <c r="Y116" s="28">
        <f>ROUND(MAX(0,(Y115)+V116-X116),2)</f>
        <v/>
      </c>
      <c r="Z116" s="28">
        <f>ROUND((AC115)*(IF('Your Debts'!$G$10=0,0,INDEX('Your Debts'!$C$5:$C$12,'Your Debts'!$G$10)/12)),2)</f>
        <v/>
      </c>
      <c r="AA116" s="28">
        <f>MIN((AC115)+Z116,IF('Your Debts'!$G$10=0,0,INDEX('Your Debts'!$D$5:$D$12,'Your Debts'!$G$10)))</f>
        <v/>
      </c>
      <c r="AB116" s="28">
        <f>AA116+MIN((AC115)+Z116-AA116,MAX(0,$E116-((H116-G116)+(L116-K116)+(P116-O116)+(T116-S116)+(X116-W116))))</f>
        <v/>
      </c>
      <c r="AC116" s="28">
        <f>ROUND(MAX(0,(AC115)+Z116-AB116),2)</f>
        <v/>
      </c>
      <c r="AD116" s="28">
        <f>ROUND((AG115)*(IF('Your Debts'!$G$11=0,0,INDEX('Your Debts'!$C$5:$C$12,'Your Debts'!$G$11)/12)),2)</f>
        <v/>
      </c>
      <c r="AE116" s="28">
        <f>MIN((AG115)+AD116,IF('Your Debts'!$G$11=0,0,INDEX('Your Debts'!$D$5:$D$12,'Your Debts'!$G$11)))</f>
        <v/>
      </c>
      <c r="AF116" s="28">
        <f>AE116+MIN((AG115)+AD116-AE116,MAX(0,$E116-((H116-G116)+(L116-K116)+(P116-O116)+(T116-S116)+(X116-W116)+(AB116-AA116))))</f>
        <v/>
      </c>
      <c r="AG116" s="28">
        <f>ROUND(MAX(0,(AG115)+AD116-AF116),2)</f>
        <v/>
      </c>
      <c r="AH116" s="28">
        <f>ROUND((AK115)*(IF('Your Debts'!$G$12=0,0,INDEX('Your Debts'!$C$5:$C$12,'Your Debts'!$G$12)/12)),2)</f>
        <v/>
      </c>
      <c r="AI116" s="28">
        <f>MIN((AK115)+AH116,IF('Your Debts'!$G$12=0,0,INDEX('Your Debts'!$D$5:$D$12,'Your Debts'!$G$12)))</f>
        <v/>
      </c>
      <c r="AJ116" s="28">
        <f>AI116+MIN((AK115)+AH116-AI116,MAX(0,$E116-((H116-G116)+(L116-K116)+(P116-O116)+(T116-S116)+(X116-W116)+(AB116-AA116)+(AF116-AE116))))</f>
        <v/>
      </c>
      <c r="AK116" s="28">
        <f>ROUND(MAX(0,(AK115)+AH116-AJ116),2)</f>
        <v/>
      </c>
      <c r="AL116" s="18">
        <f>I116+M116+Q116+U116+Y116+AC116+AG116+AK116</f>
        <v/>
      </c>
      <c r="AM116" s="27">
        <f>AM115+F116+J116+N116+R116+V116+Z116+AD116+AH116</f>
        <v/>
      </c>
    </row>
    <row r="117">
      <c r="A117" s="25" t="n">
        <v>112</v>
      </c>
      <c r="B117" s="26">
        <f>EDATE('Your Debts'!$B$19,111)</f>
        <v/>
      </c>
      <c r="C117" s="27">
        <f>'Your Debts'!$B$18</f>
        <v/>
      </c>
      <c r="D117" s="27">
        <f>G117+K117+O117+S117+W117+AA117+AE117+AI117</f>
        <v/>
      </c>
      <c r="E117" s="27">
        <f>MAX(0,C117-D117)</f>
        <v/>
      </c>
      <c r="F117" s="28">
        <f>ROUND((I116)*(IF('Your Debts'!$G$5=0,0,INDEX('Your Debts'!$C$5:$C$12,'Your Debts'!$G$5)/12)),2)</f>
        <v/>
      </c>
      <c r="G117" s="28">
        <f>MIN((I116)+F117,IF('Your Debts'!$G$5=0,0,INDEX('Your Debts'!$D$5:$D$12,'Your Debts'!$G$5)))</f>
        <v/>
      </c>
      <c r="H117" s="28">
        <f>G117+MIN((I116)+F117-G117,MAX(0,$E117-(0)))</f>
        <v/>
      </c>
      <c r="I117" s="28">
        <f>ROUND(MAX(0,(I116)+F117-H117),2)</f>
        <v/>
      </c>
      <c r="J117" s="28">
        <f>ROUND((M116)*(IF('Your Debts'!$G$6=0,0,INDEX('Your Debts'!$C$5:$C$12,'Your Debts'!$G$6)/12)),2)</f>
        <v/>
      </c>
      <c r="K117" s="28">
        <f>MIN((M116)+J117,IF('Your Debts'!$G$6=0,0,INDEX('Your Debts'!$D$5:$D$12,'Your Debts'!$G$6)))</f>
        <v/>
      </c>
      <c r="L117" s="28">
        <f>K117+MIN((M116)+J117-K117,MAX(0,$E117-((H117-G117))))</f>
        <v/>
      </c>
      <c r="M117" s="28">
        <f>ROUND(MAX(0,(M116)+J117-L117),2)</f>
        <v/>
      </c>
      <c r="N117" s="28">
        <f>ROUND((Q116)*(IF('Your Debts'!$G$7=0,0,INDEX('Your Debts'!$C$5:$C$12,'Your Debts'!$G$7)/12)),2)</f>
        <v/>
      </c>
      <c r="O117" s="28">
        <f>MIN((Q116)+N117,IF('Your Debts'!$G$7=0,0,INDEX('Your Debts'!$D$5:$D$12,'Your Debts'!$G$7)))</f>
        <v/>
      </c>
      <c r="P117" s="28">
        <f>O117+MIN((Q116)+N117-O117,MAX(0,$E117-((H117-G117)+(L117-K117))))</f>
        <v/>
      </c>
      <c r="Q117" s="28">
        <f>ROUND(MAX(0,(Q116)+N117-P117),2)</f>
        <v/>
      </c>
      <c r="R117" s="28">
        <f>ROUND((U116)*(IF('Your Debts'!$G$8=0,0,INDEX('Your Debts'!$C$5:$C$12,'Your Debts'!$G$8)/12)),2)</f>
        <v/>
      </c>
      <c r="S117" s="28">
        <f>MIN((U116)+R117,IF('Your Debts'!$G$8=0,0,INDEX('Your Debts'!$D$5:$D$12,'Your Debts'!$G$8)))</f>
        <v/>
      </c>
      <c r="T117" s="28">
        <f>S117+MIN((U116)+R117-S117,MAX(0,$E117-((H117-G117)+(L117-K117)+(P117-O117))))</f>
        <v/>
      </c>
      <c r="U117" s="28">
        <f>ROUND(MAX(0,(U116)+R117-T117),2)</f>
        <v/>
      </c>
      <c r="V117" s="28">
        <f>ROUND((Y116)*(IF('Your Debts'!$G$9=0,0,INDEX('Your Debts'!$C$5:$C$12,'Your Debts'!$G$9)/12)),2)</f>
        <v/>
      </c>
      <c r="W117" s="28">
        <f>MIN((Y116)+V117,IF('Your Debts'!$G$9=0,0,INDEX('Your Debts'!$D$5:$D$12,'Your Debts'!$G$9)))</f>
        <v/>
      </c>
      <c r="X117" s="28">
        <f>W117+MIN((Y116)+V117-W117,MAX(0,$E117-((H117-G117)+(L117-K117)+(P117-O117)+(T117-S117))))</f>
        <v/>
      </c>
      <c r="Y117" s="28">
        <f>ROUND(MAX(0,(Y116)+V117-X117),2)</f>
        <v/>
      </c>
      <c r="Z117" s="28">
        <f>ROUND((AC116)*(IF('Your Debts'!$G$10=0,0,INDEX('Your Debts'!$C$5:$C$12,'Your Debts'!$G$10)/12)),2)</f>
        <v/>
      </c>
      <c r="AA117" s="28">
        <f>MIN((AC116)+Z117,IF('Your Debts'!$G$10=0,0,INDEX('Your Debts'!$D$5:$D$12,'Your Debts'!$G$10)))</f>
        <v/>
      </c>
      <c r="AB117" s="28">
        <f>AA117+MIN((AC116)+Z117-AA117,MAX(0,$E117-((H117-G117)+(L117-K117)+(P117-O117)+(T117-S117)+(X117-W117))))</f>
        <v/>
      </c>
      <c r="AC117" s="28">
        <f>ROUND(MAX(0,(AC116)+Z117-AB117),2)</f>
        <v/>
      </c>
      <c r="AD117" s="28">
        <f>ROUND((AG116)*(IF('Your Debts'!$G$11=0,0,INDEX('Your Debts'!$C$5:$C$12,'Your Debts'!$G$11)/12)),2)</f>
        <v/>
      </c>
      <c r="AE117" s="28">
        <f>MIN((AG116)+AD117,IF('Your Debts'!$G$11=0,0,INDEX('Your Debts'!$D$5:$D$12,'Your Debts'!$G$11)))</f>
        <v/>
      </c>
      <c r="AF117" s="28">
        <f>AE117+MIN((AG116)+AD117-AE117,MAX(0,$E117-((H117-G117)+(L117-K117)+(P117-O117)+(T117-S117)+(X117-W117)+(AB117-AA117))))</f>
        <v/>
      </c>
      <c r="AG117" s="28">
        <f>ROUND(MAX(0,(AG116)+AD117-AF117),2)</f>
        <v/>
      </c>
      <c r="AH117" s="28">
        <f>ROUND((AK116)*(IF('Your Debts'!$G$12=0,0,INDEX('Your Debts'!$C$5:$C$12,'Your Debts'!$G$12)/12)),2)</f>
        <v/>
      </c>
      <c r="AI117" s="28">
        <f>MIN((AK116)+AH117,IF('Your Debts'!$G$12=0,0,INDEX('Your Debts'!$D$5:$D$12,'Your Debts'!$G$12)))</f>
        <v/>
      </c>
      <c r="AJ117" s="28">
        <f>AI117+MIN((AK116)+AH117-AI117,MAX(0,$E117-((H117-G117)+(L117-K117)+(P117-O117)+(T117-S117)+(X117-W117)+(AB117-AA117)+(AF117-AE117))))</f>
        <v/>
      </c>
      <c r="AK117" s="28">
        <f>ROUND(MAX(0,(AK116)+AH117-AJ117),2)</f>
        <v/>
      </c>
      <c r="AL117" s="18">
        <f>I117+M117+Q117+U117+Y117+AC117+AG117+AK117</f>
        <v/>
      </c>
      <c r="AM117" s="27">
        <f>AM116+F117+J117+N117+R117+V117+Z117+AD117+AH117</f>
        <v/>
      </c>
    </row>
    <row r="118">
      <c r="A118" s="25" t="n">
        <v>113</v>
      </c>
      <c r="B118" s="26">
        <f>EDATE('Your Debts'!$B$19,112)</f>
        <v/>
      </c>
      <c r="C118" s="27">
        <f>'Your Debts'!$B$18</f>
        <v/>
      </c>
      <c r="D118" s="27">
        <f>G118+K118+O118+S118+W118+AA118+AE118+AI118</f>
        <v/>
      </c>
      <c r="E118" s="27">
        <f>MAX(0,C118-D118)</f>
        <v/>
      </c>
      <c r="F118" s="28">
        <f>ROUND((I117)*(IF('Your Debts'!$G$5=0,0,INDEX('Your Debts'!$C$5:$C$12,'Your Debts'!$G$5)/12)),2)</f>
        <v/>
      </c>
      <c r="G118" s="28">
        <f>MIN((I117)+F118,IF('Your Debts'!$G$5=0,0,INDEX('Your Debts'!$D$5:$D$12,'Your Debts'!$G$5)))</f>
        <v/>
      </c>
      <c r="H118" s="28">
        <f>G118+MIN((I117)+F118-G118,MAX(0,$E118-(0)))</f>
        <v/>
      </c>
      <c r="I118" s="28">
        <f>ROUND(MAX(0,(I117)+F118-H118),2)</f>
        <v/>
      </c>
      <c r="J118" s="28">
        <f>ROUND((M117)*(IF('Your Debts'!$G$6=0,0,INDEX('Your Debts'!$C$5:$C$12,'Your Debts'!$G$6)/12)),2)</f>
        <v/>
      </c>
      <c r="K118" s="28">
        <f>MIN((M117)+J118,IF('Your Debts'!$G$6=0,0,INDEX('Your Debts'!$D$5:$D$12,'Your Debts'!$G$6)))</f>
        <v/>
      </c>
      <c r="L118" s="28">
        <f>K118+MIN((M117)+J118-K118,MAX(0,$E118-((H118-G118))))</f>
        <v/>
      </c>
      <c r="M118" s="28">
        <f>ROUND(MAX(0,(M117)+J118-L118),2)</f>
        <v/>
      </c>
      <c r="N118" s="28">
        <f>ROUND((Q117)*(IF('Your Debts'!$G$7=0,0,INDEX('Your Debts'!$C$5:$C$12,'Your Debts'!$G$7)/12)),2)</f>
        <v/>
      </c>
      <c r="O118" s="28">
        <f>MIN((Q117)+N118,IF('Your Debts'!$G$7=0,0,INDEX('Your Debts'!$D$5:$D$12,'Your Debts'!$G$7)))</f>
        <v/>
      </c>
      <c r="P118" s="28">
        <f>O118+MIN((Q117)+N118-O118,MAX(0,$E118-((H118-G118)+(L118-K118))))</f>
        <v/>
      </c>
      <c r="Q118" s="28">
        <f>ROUND(MAX(0,(Q117)+N118-P118),2)</f>
        <v/>
      </c>
      <c r="R118" s="28">
        <f>ROUND((U117)*(IF('Your Debts'!$G$8=0,0,INDEX('Your Debts'!$C$5:$C$12,'Your Debts'!$G$8)/12)),2)</f>
        <v/>
      </c>
      <c r="S118" s="28">
        <f>MIN((U117)+R118,IF('Your Debts'!$G$8=0,0,INDEX('Your Debts'!$D$5:$D$12,'Your Debts'!$G$8)))</f>
        <v/>
      </c>
      <c r="T118" s="28">
        <f>S118+MIN((U117)+R118-S118,MAX(0,$E118-((H118-G118)+(L118-K118)+(P118-O118))))</f>
        <v/>
      </c>
      <c r="U118" s="28">
        <f>ROUND(MAX(0,(U117)+R118-T118),2)</f>
        <v/>
      </c>
      <c r="V118" s="28">
        <f>ROUND((Y117)*(IF('Your Debts'!$G$9=0,0,INDEX('Your Debts'!$C$5:$C$12,'Your Debts'!$G$9)/12)),2)</f>
        <v/>
      </c>
      <c r="W118" s="28">
        <f>MIN((Y117)+V118,IF('Your Debts'!$G$9=0,0,INDEX('Your Debts'!$D$5:$D$12,'Your Debts'!$G$9)))</f>
        <v/>
      </c>
      <c r="X118" s="28">
        <f>W118+MIN((Y117)+V118-W118,MAX(0,$E118-((H118-G118)+(L118-K118)+(P118-O118)+(T118-S118))))</f>
        <v/>
      </c>
      <c r="Y118" s="28">
        <f>ROUND(MAX(0,(Y117)+V118-X118),2)</f>
        <v/>
      </c>
      <c r="Z118" s="28">
        <f>ROUND((AC117)*(IF('Your Debts'!$G$10=0,0,INDEX('Your Debts'!$C$5:$C$12,'Your Debts'!$G$10)/12)),2)</f>
        <v/>
      </c>
      <c r="AA118" s="28">
        <f>MIN((AC117)+Z118,IF('Your Debts'!$G$10=0,0,INDEX('Your Debts'!$D$5:$D$12,'Your Debts'!$G$10)))</f>
        <v/>
      </c>
      <c r="AB118" s="28">
        <f>AA118+MIN((AC117)+Z118-AA118,MAX(0,$E118-((H118-G118)+(L118-K118)+(P118-O118)+(T118-S118)+(X118-W118))))</f>
        <v/>
      </c>
      <c r="AC118" s="28">
        <f>ROUND(MAX(0,(AC117)+Z118-AB118),2)</f>
        <v/>
      </c>
      <c r="AD118" s="28">
        <f>ROUND((AG117)*(IF('Your Debts'!$G$11=0,0,INDEX('Your Debts'!$C$5:$C$12,'Your Debts'!$G$11)/12)),2)</f>
        <v/>
      </c>
      <c r="AE118" s="28">
        <f>MIN((AG117)+AD118,IF('Your Debts'!$G$11=0,0,INDEX('Your Debts'!$D$5:$D$12,'Your Debts'!$G$11)))</f>
        <v/>
      </c>
      <c r="AF118" s="28">
        <f>AE118+MIN((AG117)+AD118-AE118,MAX(0,$E118-((H118-G118)+(L118-K118)+(P118-O118)+(T118-S118)+(X118-W118)+(AB118-AA118))))</f>
        <v/>
      </c>
      <c r="AG118" s="28">
        <f>ROUND(MAX(0,(AG117)+AD118-AF118),2)</f>
        <v/>
      </c>
      <c r="AH118" s="28">
        <f>ROUND((AK117)*(IF('Your Debts'!$G$12=0,0,INDEX('Your Debts'!$C$5:$C$12,'Your Debts'!$G$12)/12)),2)</f>
        <v/>
      </c>
      <c r="AI118" s="28">
        <f>MIN((AK117)+AH118,IF('Your Debts'!$G$12=0,0,INDEX('Your Debts'!$D$5:$D$12,'Your Debts'!$G$12)))</f>
        <v/>
      </c>
      <c r="AJ118" s="28">
        <f>AI118+MIN((AK117)+AH118-AI118,MAX(0,$E118-((H118-G118)+(L118-K118)+(P118-O118)+(T118-S118)+(X118-W118)+(AB118-AA118)+(AF118-AE118))))</f>
        <v/>
      </c>
      <c r="AK118" s="28">
        <f>ROUND(MAX(0,(AK117)+AH118-AJ118),2)</f>
        <v/>
      </c>
      <c r="AL118" s="18">
        <f>I118+M118+Q118+U118+Y118+AC118+AG118+AK118</f>
        <v/>
      </c>
      <c r="AM118" s="27">
        <f>AM117+F118+J118+N118+R118+V118+Z118+AD118+AH118</f>
        <v/>
      </c>
    </row>
    <row r="119">
      <c r="A119" s="25" t="n">
        <v>114</v>
      </c>
      <c r="B119" s="26">
        <f>EDATE('Your Debts'!$B$19,113)</f>
        <v/>
      </c>
      <c r="C119" s="27">
        <f>'Your Debts'!$B$18</f>
        <v/>
      </c>
      <c r="D119" s="27">
        <f>G119+K119+O119+S119+W119+AA119+AE119+AI119</f>
        <v/>
      </c>
      <c r="E119" s="27">
        <f>MAX(0,C119-D119)</f>
        <v/>
      </c>
      <c r="F119" s="28">
        <f>ROUND((I118)*(IF('Your Debts'!$G$5=0,0,INDEX('Your Debts'!$C$5:$C$12,'Your Debts'!$G$5)/12)),2)</f>
        <v/>
      </c>
      <c r="G119" s="28">
        <f>MIN((I118)+F119,IF('Your Debts'!$G$5=0,0,INDEX('Your Debts'!$D$5:$D$12,'Your Debts'!$G$5)))</f>
        <v/>
      </c>
      <c r="H119" s="28">
        <f>G119+MIN((I118)+F119-G119,MAX(0,$E119-(0)))</f>
        <v/>
      </c>
      <c r="I119" s="28">
        <f>ROUND(MAX(0,(I118)+F119-H119),2)</f>
        <v/>
      </c>
      <c r="J119" s="28">
        <f>ROUND((M118)*(IF('Your Debts'!$G$6=0,0,INDEX('Your Debts'!$C$5:$C$12,'Your Debts'!$G$6)/12)),2)</f>
        <v/>
      </c>
      <c r="K119" s="28">
        <f>MIN((M118)+J119,IF('Your Debts'!$G$6=0,0,INDEX('Your Debts'!$D$5:$D$12,'Your Debts'!$G$6)))</f>
        <v/>
      </c>
      <c r="L119" s="28">
        <f>K119+MIN((M118)+J119-K119,MAX(0,$E119-((H119-G119))))</f>
        <v/>
      </c>
      <c r="M119" s="28">
        <f>ROUND(MAX(0,(M118)+J119-L119),2)</f>
        <v/>
      </c>
      <c r="N119" s="28">
        <f>ROUND((Q118)*(IF('Your Debts'!$G$7=0,0,INDEX('Your Debts'!$C$5:$C$12,'Your Debts'!$G$7)/12)),2)</f>
        <v/>
      </c>
      <c r="O119" s="28">
        <f>MIN((Q118)+N119,IF('Your Debts'!$G$7=0,0,INDEX('Your Debts'!$D$5:$D$12,'Your Debts'!$G$7)))</f>
        <v/>
      </c>
      <c r="P119" s="28">
        <f>O119+MIN((Q118)+N119-O119,MAX(0,$E119-((H119-G119)+(L119-K119))))</f>
        <v/>
      </c>
      <c r="Q119" s="28">
        <f>ROUND(MAX(0,(Q118)+N119-P119),2)</f>
        <v/>
      </c>
      <c r="R119" s="28">
        <f>ROUND((U118)*(IF('Your Debts'!$G$8=0,0,INDEX('Your Debts'!$C$5:$C$12,'Your Debts'!$G$8)/12)),2)</f>
        <v/>
      </c>
      <c r="S119" s="28">
        <f>MIN((U118)+R119,IF('Your Debts'!$G$8=0,0,INDEX('Your Debts'!$D$5:$D$12,'Your Debts'!$G$8)))</f>
        <v/>
      </c>
      <c r="T119" s="28">
        <f>S119+MIN((U118)+R119-S119,MAX(0,$E119-((H119-G119)+(L119-K119)+(P119-O119))))</f>
        <v/>
      </c>
      <c r="U119" s="28">
        <f>ROUND(MAX(0,(U118)+R119-T119),2)</f>
        <v/>
      </c>
      <c r="V119" s="28">
        <f>ROUND((Y118)*(IF('Your Debts'!$G$9=0,0,INDEX('Your Debts'!$C$5:$C$12,'Your Debts'!$G$9)/12)),2)</f>
        <v/>
      </c>
      <c r="W119" s="28">
        <f>MIN((Y118)+V119,IF('Your Debts'!$G$9=0,0,INDEX('Your Debts'!$D$5:$D$12,'Your Debts'!$G$9)))</f>
        <v/>
      </c>
      <c r="X119" s="28">
        <f>W119+MIN((Y118)+V119-W119,MAX(0,$E119-((H119-G119)+(L119-K119)+(P119-O119)+(T119-S119))))</f>
        <v/>
      </c>
      <c r="Y119" s="28">
        <f>ROUND(MAX(0,(Y118)+V119-X119),2)</f>
        <v/>
      </c>
      <c r="Z119" s="28">
        <f>ROUND((AC118)*(IF('Your Debts'!$G$10=0,0,INDEX('Your Debts'!$C$5:$C$12,'Your Debts'!$G$10)/12)),2)</f>
        <v/>
      </c>
      <c r="AA119" s="28">
        <f>MIN((AC118)+Z119,IF('Your Debts'!$G$10=0,0,INDEX('Your Debts'!$D$5:$D$12,'Your Debts'!$G$10)))</f>
        <v/>
      </c>
      <c r="AB119" s="28">
        <f>AA119+MIN((AC118)+Z119-AA119,MAX(0,$E119-((H119-G119)+(L119-K119)+(P119-O119)+(T119-S119)+(X119-W119))))</f>
        <v/>
      </c>
      <c r="AC119" s="28">
        <f>ROUND(MAX(0,(AC118)+Z119-AB119),2)</f>
        <v/>
      </c>
      <c r="AD119" s="28">
        <f>ROUND((AG118)*(IF('Your Debts'!$G$11=0,0,INDEX('Your Debts'!$C$5:$C$12,'Your Debts'!$G$11)/12)),2)</f>
        <v/>
      </c>
      <c r="AE119" s="28">
        <f>MIN((AG118)+AD119,IF('Your Debts'!$G$11=0,0,INDEX('Your Debts'!$D$5:$D$12,'Your Debts'!$G$11)))</f>
        <v/>
      </c>
      <c r="AF119" s="28">
        <f>AE119+MIN((AG118)+AD119-AE119,MAX(0,$E119-((H119-G119)+(L119-K119)+(P119-O119)+(T119-S119)+(X119-W119)+(AB119-AA119))))</f>
        <v/>
      </c>
      <c r="AG119" s="28">
        <f>ROUND(MAX(0,(AG118)+AD119-AF119),2)</f>
        <v/>
      </c>
      <c r="AH119" s="28">
        <f>ROUND((AK118)*(IF('Your Debts'!$G$12=0,0,INDEX('Your Debts'!$C$5:$C$12,'Your Debts'!$G$12)/12)),2)</f>
        <v/>
      </c>
      <c r="AI119" s="28">
        <f>MIN((AK118)+AH119,IF('Your Debts'!$G$12=0,0,INDEX('Your Debts'!$D$5:$D$12,'Your Debts'!$G$12)))</f>
        <v/>
      </c>
      <c r="AJ119" s="28">
        <f>AI119+MIN((AK118)+AH119-AI119,MAX(0,$E119-((H119-G119)+(L119-K119)+(P119-O119)+(T119-S119)+(X119-W119)+(AB119-AA119)+(AF119-AE119))))</f>
        <v/>
      </c>
      <c r="AK119" s="28">
        <f>ROUND(MAX(0,(AK118)+AH119-AJ119),2)</f>
        <v/>
      </c>
      <c r="AL119" s="18">
        <f>I119+M119+Q119+U119+Y119+AC119+AG119+AK119</f>
        <v/>
      </c>
      <c r="AM119" s="27">
        <f>AM118+F119+J119+N119+R119+V119+Z119+AD119+AH119</f>
        <v/>
      </c>
    </row>
    <row r="120">
      <c r="A120" s="25" t="n">
        <v>115</v>
      </c>
      <c r="B120" s="26">
        <f>EDATE('Your Debts'!$B$19,114)</f>
        <v/>
      </c>
      <c r="C120" s="27">
        <f>'Your Debts'!$B$18</f>
        <v/>
      </c>
      <c r="D120" s="27">
        <f>G120+K120+O120+S120+W120+AA120+AE120+AI120</f>
        <v/>
      </c>
      <c r="E120" s="27">
        <f>MAX(0,C120-D120)</f>
        <v/>
      </c>
      <c r="F120" s="28">
        <f>ROUND((I119)*(IF('Your Debts'!$G$5=0,0,INDEX('Your Debts'!$C$5:$C$12,'Your Debts'!$G$5)/12)),2)</f>
        <v/>
      </c>
      <c r="G120" s="28">
        <f>MIN((I119)+F120,IF('Your Debts'!$G$5=0,0,INDEX('Your Debts'!$D$5:$D$12,'Your Debts'!$G$5)))</f>
        <v/>
      </c>
      <c r="H120" s="28">
        <f>G120+MIN((I119)+F120-G120,MAX(0,$E120-(0)))</f>
        <v/>
      </c>
      <c r="I120" s="28">
        <f>ROUND(MAX(0,(I119)+F120-H120),2)</f>
        <v/>
      </c>
      <c r="J120" s="28">
        <f>ROUND((M119)*(IF('Your Debts'!$G$6=0,0,INDEX('Your Debts'!$C$5:$C$12,'Your Debts'!$G$6)/12)),2)</f>
        <v/>
      </c>
      <c r="K120" s="28">
        <f>MIN((M119)+J120,IF('Your Debts'!$G$6=0,0,INDEX('Your Debts'!$D$5:$D$12,'Your Debts'!$G$6)))</f>
        <v/>
      </c>
      <c r="L120" s="28">
        <f>K120+MIN((M119)+J120-K120,MAX(0,$E120-((H120-G120))))</f>
        <v/>
      </c>
      <c r="M120" s="28">
        <f>ROUND(MAX(0,(M119)+J120-L120),2)</f>
        <v/>
      </c>
      <c r="N120" s="28">
        <f>ROUND((Q119)*(IF('Your Debts'!$G$7=0,0,INDEX('Your Debts'!$C$5:$C$12,'Your Debts'!$G$7)/12)),2)</f>
        <v/>
      </c>
      <c r="O120" s="28">
        <f>MIN((Q119)+N120,IF('Your Debts'!$G$7=0,0,INDEX('Your Debts'!$D$5:$D$12,'Your Debts'!$G$7)))</f>
        <v/>
      </c>
      <c r="P120" s="28">
        <f>O120+MIN((Q119)+N120-O120,MAX(0,$E120-((H120-G120)+(L120-K120))))</f>
        <v/>
      </c>
      <c r="Q120" s="28">
        <f>ROUND(MAX(0,(Q119)+N120-P120),2)</f>
        <v/>
      </c>
      <c r="R120" s="28">
        <f>ROUND((U119)*(IF('Your Debts'!$G$8=0,0,INDEX('Your Debts'!$C$5:$C$12,'Your Debts'!$G$8)/12)),2)</f>
        <v/>
      </c>
      <c r="S120" s="28">
        <f>MIN((U119)+R120,IF('Your Debts'!$G$8=0,0,INDEX('Your Debts'!$D$5:$D$12,'Your Debts'!$G$8)))</f>
        <v/>
      </c>
      <c r="T120" s="28">
        <f>S120+MIN((U119)+R120-S120,MAX(0,$E120-((H120-G120)+(L120-K120)+(P120-O120))))</f>
        <v/>
      </c>
      <c r="U120" s="28">
        <f>ROUND(MAX(0,(U119)+R120-T120),2)</f>
        <v/>
      </c>
      <c r="V120" s="28">
        <f>ROUND((Y119)*(IF('Your Debts'!$G$9=0,0,INDEX('Your Debts'!$C$5:$C$12,'Your Debts'!$G$9)/12)),2)</f>
        <v/>
      </c>
      <c r="W120" s="28">
        <f>MIN((Y119)+V120,IF('Your Debts'!$G$9=0,0,INDEX('Your Debts'!$D$5:$D$12,'Your Debts'!$G$9)))</f>
        <v/>
      </c>
      <c r="X120" s="28">
        <f>W120+MIN((Y119)+V120-W120,MAX(0,$E120-((H120-G120)+(L120-K120)+(P120-O120)+(T120-S120))))</f>
        <v/>
      </c>
      <c r="Y120" s="28">
        <f>ROUND(MAX(0,(Y119)+V120-X120),2)</f>
        <v/>
      </c>
      <c r="Z120" s="28">
        <f>ROUND((AC119)*(IF('Your Debts'!$G$10=0,0,INDEX('Your Debts'!$C$5:$C$12,'Your Debts'!$G$10)/12)),2)</f>
        <v/>
      </c>
      <c r="AA120" s="28">
        <f>MIN((AC119)+Z120,IF('Your Debts'!$G$10=0,0,INDEX('Your Debts'!$D$5:$D$12,'Your Debts'!$G$10)))</f>
        <v/>
      </c>
      <c r="AB120" s="28">
        <f>AA120+MIN((AC119)+Z120-AA120,MAX(0,$E120-((H120-G120)+(L120-K120)+(P120-O120)+(T120-S120)+(X120-W120))))</f>
        <v/>
      </c>
      <c r="AC120" s="28">
        <f>ROUND(MAX(0,(AC119)+Z120-AB120),2)</f>
        <v/>
      </c>
      <c r="AD120" s="28">
        <f>ROUND((AG119)*(IF('Your Debts'!$G$11=0,0,INDEX('Your Debts'!$C$5:$C$12,'Your Debts'!$G$11)/12)),2)</f>
        <v/>
      </c>
      <c r="AE120" s="28">
        <f>MIN((AG119)+AD120,IF('Your Debts'!$G$11=0,0,INDEX('Your Debts'!$D$5:$D$12,'Your Debts'!$G$11)))</f>
        <v/>
      </c>
      <c r="AF120" s="28">
        <f>AE120+MIN((AG119)+AD120-AE120,MAX(0,$E120-((H120-G120)+(L120-K120)+(P120-O120)+(T120-S120)+(X120-W120)+(AB120-AA120))))</f>
        <v/>
      </c>
      <c r="AG120" s="28">
        <f>ROUND(MAX(0,(AG119)+AD120-AF120),2)</f>
        <v/>
      </c>
      <c r="AH120" s="28">
        <f>ROUND((AK119)*(IF('Your Debts'!$G$12=0,0,INDEX('Your Debts'!$C$5:$C$12,'Your Debts'!$G$12)/12)),2)</f>
        <v/>
      </c>
      <c r="AI120" s="28">
        <f>MIN((AK119)+AH120,IF('Your Debts'!$G$12=0,0,INDEX('Your Debts'!$D$5:$D$12,'Your Debts'!$G$12)))</f>
        <v/>
      </c>
      <c r="AJ120" s="28">
        <f>AI120+MIN((AK119)+AH120-AI120,MAX(0,$E120-((H120-G120)+(L120-K120)+(P120-O120)+(T120-S120)+(X120-W120)+(AB120-AA120)+(AF120-AE120))))</f>
        <v/>
      </c>
      <c r="AK120" s="28">
        <f>ROUND(MAX(0,(AK119)+AH120-AJ120),2)</f>
        <v/>
      </c>
      <c r="AL120" s="18">
        <f>I120+M120+Q120+U120+Y120+AC120+AG120+AK120</f>
        <v/>
      </c>
      <c r="AM120" s="27">
        <f>AM119+F120+J120+N120+R120+V120+Z120+AD120+AH120</f>
        <v/>
      </c>
    </row>
    <row r="121">
      <c r="A121" s="25" t="n">
        <v>116</v>
      </c>
      <c r="B121" s="26">
        <f>EDATE('Your Debts'!$B$19,115)</f>
        <v/>
      </c>
      <c r="C121" s="27">
        <f>'Your Debts'!$B$18</f>
        <v/>
      </c>
      <c r="D121" s="27">
        <f>G121+K121+O121+S121+W121+AA121+AE121+AI121</f>
        <v/>
      </c>
      <c r="E121" s="27">
        <f>MAX(0,C121-D121)</f>
        <v/>
      </c>
      <c r="F121" s="28">
        <f>ROUND((I120)*(IF('Your Debts'!$G$5=0,0,INDEX('Your Debts'!$C$5:$C$12,'Your Debts'!$G$5)/12)),2)</f>
        <v/>
      </c>
      <c r="G121" s="28">
        <f>MIN((I120)+F121,IF('Your Debts'!$G$5=0,0,INDEX('Your Debts'!$D$5:$D$12,'Your Debts'!$G$5)))</f>
        <v/>
      </c>
      <c r="H121" s="28">
        <f>G121+MIN((I120)+F121-G121,MAX(0,$E121-(0)))</f>
        <v/>
      </c>
      <c r="I121" s="28">
        <f>ROUND(MAX(0,(I120)+F121-H121),2)</f>
        <v/>
      </c>
      <c r="J121" s="28">
        <f>ROUND((M120)*(IF('Your Debts'!$G$6=0,0,INDEX('Your Debts'!$C$5:$C$12,'Your Debts'!$G$6)/12)),2)</f>
        <v/>
      </c>
      <c r="K121" s="28">
        <f>MIN((M120)+J121,IF('Your Debts'!$G$6=0,0,INDEX('Your Debts'!$D$5:$D$12,'Your Debts'!$G$6)))</f>
        <v/>
      </c>
      <c r="L121" s="28">
        <f>K121+MIN((M120)+J121-K121,MAX(0,$E121-((H121-G121))))</f>
        <v/>
      </c>
      <c r="M121" s="28">
        <f>ROUND(MAX(0,(M120)+J121-L121),2)</f>
        <v/>
      </c>
      <c r="N121" s="28">
        <f>ROUND((Q120)*(IF('Your Debts'!$G$7=0,0,INDEX('Your Debts'!$C$5:$C$12,'Your Debts'!$G$7)/12)),2)</f>
        <v/>
      </c>
      <c r="O121" s="28">
        <f>MIN((Q120)+N121,IF('Your Debts'!$G$7=0,0,INDEX('Your Debts'!$D$5:$D$12,'Your Debts'!$G$7)))</f>
        <v/>
      </c>
      <c r="P121" s="28">
        <f>O121+MIN((Q120)+N121-O121,MAX(0,$E121-((H121-G121)+(L121-K121))))</f>
        <v/>
      </c>
      <c r="Q121" s="28">
        <f>ROUND(MAX(0,(Q120)+N121-P121),2)</f>
        <v/>
      </c>
      <c r="R121" s="28">
        <f>ROUND((U120)*(IF('Your Debts'!$G$8=0,0,INDEX('Your Debts'!$C$5:$C$12,'Your Debts'!$G$8)/12)),2)</f>
        <v/>
      </c>
      <c r="S121" s="28">
        <f>MIN((U120)+R121,IF('Your Debts'!$G$8=0,0,INDEX('Your Debts'!$D$5:$D$12,'Your Debts'!$G$8)))</f>
        <v/>
      </c>
      <c r="T121" s="28">
        <f>S121+MIN((U120)+R121-S121,MAX(0,$E121-((H121-G121)+(L121-K121)+(P121-O121))))</f>
        <v/>
      </c>
      <c r="U121" s="28">
        <f>ROUND(MAX(0,(U120)+R121-T121),2)</f>
        <v/>
      </c>
      <c r="V121" s="28">
        <f>ROUND((Y120)*(IF('Your Debts'!$G$9=0,0,INDEX('Your Debts'!$C$5:$C$12,'Your Debts'!$G$9)/12)),2)</f>
        <v/>
      </c>
      <c r="W121" s="28">
        <f>MIN((Y120)+V121,IF('Your Debts'!$G$9=0,0,INDEX('Your Debts'!$D$5:$D$12,'Your Debts'!$G$9)))</f>
        <v/>
      </c>
      <c r="X121" s="28">
        <f>W121+MIN((Y120)+V121-W121,MAX(0,$E121-((H121-G121)+(L121-K121)+(P121-O121)+(T121-S121))))</f>
        <v/>
      </c>
      <c r="Y121" s="28">
        <f>ROUND(MAX(0,(Y120)+V121-X121),2)</f>
        <v/>
      </c>
      <c r="Z121" s="28">
        <f>ROUND((AC120)*(IF('Your Debts'!$G$10=0,0,INDEX('Your Debts'!$C$5:$C$12,'Your Debts'!$G$10)/12)),2)</f>
        <v/>
      </c>
      <c r="AA121" s="28">
        <f>MIN((AC120)+Z121,IF('Your Debts'!$G$10=0,0,INDEX('Your Debts'!$D$5:$D$12,'Your Debts'!$G$10)))</f>
        <v/>
      </c>
      <c r="AB121" s="28">
        <f>AA121+MIN((AC120)+Z121-AA121,MAX(0,$E121-((H121-G121)+(L121-K121)+(P121-O121)+(T121-S121)+(X121-W121))))</f>
        <v/>
      </c>
      <c r="AC121" s="28">
        <f>ROUND(MAX(0,(AC120)+Z121-AB121),2)</f>
        <v/>
      </c>
      <c r="AD121" s="28">
        <f>ROUND((AG120)*(IF('Your Debts'!$G$11=0,0,INDEX('Your Debts'!$C$5:$C$12,'Your Debts'!$G$11)/12)),2)</f>
        <v/>
      </c>
      <c r="AE121" s="28">
        <f>MIN((AG120)+AD121,IF('Your Debts'!$G$11=0,0,INDEX('Your Debts'!$D$5:$D$12,'Your Debts'!$G$11)))</f>
        <v/>
      </c>
      <c r="AF121" s="28">
        <f>AE121+MIN((AG120)+AD121-AE121,MAX(0,$E121-((H121-G121)+(L121-K121)+(P121-O121)+(T121-S121)+(X121-W121)+(AB121-AA121))))</f>
        <v/>
      </c>
      <c r="AG121" s="28">
        <f>ROUND(MAX(0,(AG120)+AD121-AF121),2)</f>
        <v/>
      </c>
      <c r="AH121" s="28">
        <f>ROUND((AK120)*(IF('Your Debts'!$G$12=0,0,INDEX('Your Debts'!$C$5:$C$12,'Your Debts'!$G$12)/12)),2)</f>
        <v/>
      </c>
      <c r="AI121" s="28">
        <f>MIN((AK120)+AH121,IF('Your Debts'!$G$12=0,0,INDEX('Your Debts'!$D$5:$D$12,'Your Debts'!$G$12)))</f>
        <v/>
      </c>
      <c r="AJ121" s="28">
        <f>AI121+MIN((AK120)+AH121-AI121,MAX(0,$E121-((H121-G121)+(L121-K121)+(P121-O121)+(T121-S121)+(X121-W121)+(AB121-AA121)+(AF121-AE121))))</f>
        <v/>
      </c>
      <c r="AK121" s="28">
        <f>ROUND(MAX(0,(AK120)+AH121-AJ121),2)</f>
        <v/>
      </c>
      <c r="AL121" s="18">
        <f>I121+M121+Q121+U121+Y121+AC121+AG121+AK121</f>
        <v/>
      </c>
      <c r="AM121" s="27">
        <f>AM120+F121+J121+N121+R121+V121+Z121+AD121+AH121</f>
        <v/>
      </c>
    </row>
    <row r="122">
      <c r="A122" s="25" t="n">
        <v>117</v>
      </c>
      <c r="B122" s="26">
        <f>EDATE('Your Debts'!$B$19,116)</f>
        <v/>
      </c>
      <c r="C122" s="27">
        <f>'Your Debts'!$B$18</f>
        <v/>
      </c>
      <c r="D122" s="27">
        <f>G122+K122+O122+S122+W122+AA122+AE122+AI122</f>
        <v/>
      </c>
      <c r="E122" s="27">
        <f>MAX(0,C122-D122)</f>
        <v/>
      </c>
      <c r="F122" s="28">
        <f>ROUND((I121)*(IF('Your Debts'!$G$5=0,0,INDEX('Your Debts'!$C$5:$C$12,'Your Debts'!$G$5)/12)),2)</f>
        <v/>
      </c>
      <c r="G122" s="28">
        <f>MIN((I121)+F122,IF('Your Debts'!$G$5=0,0,INDEX('Your Debts'!$D$5:$D$12,'Your Debts'!$G$5)))</f>
        <v/>
      </c>
      <c r="H122" s="28">
        <f>G122+MIN((I121)+F122-G122,MAX(0,$E122-(0)))</f>
        <v/>
      </c>
      <c r="I122" s="28">
        <f>ROUND(MAX(0,(I121)+F122-H122),2)</f>
        <v/>
      </c>
      <c r="J122" s="28">
        <f>ROUND((M121)*(IF('Your Debts'!$G$6=0,0,INDEX('Your Debts'!$C$5:$C$12,'Your Debts'!$G$6)/12)),2)</f>
        <v/>
      </c>
      <c r="K122" s="28">
        <f>MIN((M121)+J122,IF('Your Debts'!$G$6=0,0,INDEX('Your Debts'!$D$5:$D$12,'Your Debts'!$G$6)))</f>
        <v/>
      </c>
      <c r="L122" s="28">
        <f>K122+MIN((M121)+J122-K122,MAX(0,$E122-((H122-G122))))</f>
        <v/>
      </c>
      <c r="M122" s="28">
        <f>ROUND(MAX(0,(M121)+J122-L122),2)</f>
        <v/>
      </c>
      <c r="N122" s="28">
        <f>ROUND((Q121)*(IF('Your Debts'!$G$7=0,0,INDEX('Your Debts'!$C$5:$C$12,'Your Debts'!$G$7)/12)),2)</f>
        <v/>
      </c>
      <c r="O122" s="28">
        <f>MIN((Q121)+N122,IF('Your Debts'!$G$7=0,0,INDEX('Your Debts'!$D$5:$D$12,'Your Debts'!$G$7)))</f>
        <v/>
      </c>
      <c r="P122" s="28">
        <f>O122+MIN((Q121)+N122-O122,MAX(0,$E122-((H122-G122)+(L122-K122))))</f>
        <v/>
      </c>
      <c r="Q122" s="28">
        <f>ROUND(MAX(0,(Q121)+N122-P122),2)</f>
        <v/>
      </c>
      <c r="R122" s="28">
        <f>ROUND((U121)*(IF('Your Debts'!$G$8=0,0,INDEX('Your Debts'!$C$5:$C$12,'Your Debts'!$G$8)/12)),2)</f>
        <v/>
      </c>
      <c r="S122" s="28">
        <f>MIN((U121)+R122,IF('Your Debts'!$G$8=0,0,INDEX('Your Debts'!$D$5:$D$12,'Your Debts'!$G$8)))</f>
        <v/>
      </c>
      <c r="T122" s="28">
        <f>S122+MIN((U121)+R122-S122,MAX(0,$E122-((H122-G122)+(L122-K122)+(P122-O122))))</f>
        <v/>
      </c>
      <c r="U122" s="28">
        <f>ROUND(MAX(0,(U121)+R122-T122),2)</f>
        <v/>
      </c>
      <c r="V122" s="28">
        <f>ROUND((Y121)*(IF('Your Debts'!$G$9=0,0,INDEX('Your Debts'!$C$5:$C$12,'Your Debts'!$G$9)/12)),2)</f>
        <v/>
      </c>
      <c r="W122" s="28">
        <f>MIN((Y121)+V122,IF('Your Debts'!$G$9=0,0,INDEX('Your Debts'!$D$5:$D$12,'Your Debts'!$G$9)))</f>
        <v/>
      </c>
      <c r="X122" s="28">
        <f>W122+MIN((Y121)+V122-W122,MAX(0,$E122-((H122-G122)+(L122-K122)+(P122-O122)+(T122-S122))))</f>
        <v/>
      </c>
      <c r="Y122" s="28">
        <f>ROUND(MAX(0,(Y121)+V122-X122),2)</f>
        <v/>
      </c>
      <c r="Z122" s="28">
        <f>ROUND((AC121)*(IF('Your Debts'!$G$10=0,0,INDEX('Your Debts'!$C$5:$C$12,'Your Debts'!$G$10)/12)),2)</f>
        <v/>
      </c>
      <c r="AA122" s="28">
        <f>MIN((AC121)+Z122,IF('Your Debts'!$G$10=0,0,INDEX('Your Debts'!$D$5:$D$12,'Your Debts'!$G$10)))</f>
        <v/>
      </c>
      <c r="AB122" s="28">
        <f>AA122+MIN((AC121)+Z122-AA122,MAX(0,$E122-((H122-G122)+(L122-K122)+(P122-O122)+(T122-S122)+(X122-W122))))</f>
        <v/>
      </c>
      <c r="AC122" s="28">
        <f>ROUND(MAX(0,(AC121)+Z122-AB122),2)</f>
        <v/>
      </c>
      <c r="AD122" s="28">
        <f>ROUND((AG121)*(IF('Your Debts'!$G$11=0,0,INDEX('Your Debts'!$C$5:$C$12,'Your Debts'!$G$11)/12)),2)</f>
        <v/>
      </c>
      <c r="AE122" s="28">
        <f>MIN((AG121)+AD122,IF('Your Debts'!$G$11=0,0,INDEX('Your Debts'!$D$5:$D$12,'Your Debts'!$G$11)))</f>
        <v/>
      </c>
      <c r="AF122" s="28">
        <f>AE122+MIN((AG121)+AD122-AE122,MAX(0,$E122-((H122-G122)+(L122-K122)+(P122-O122)+(T122-S122)+(X122-W122)+(AB122-AA122))))</f>
        <v/>
      </c>
      <c r="AG122" s="28">
        <f>ROUND(MAX(0,(AG121)+AD122-AF122),2)</f>
        <v/>
      </c>
      <c r="AH122" s="28">
        <f>ROUND((AK121)*(IF('Your Debts'!$G$12=0,0,INDEX('Your Debts'!$C$5:$C$12,'Your Debts'!$G$12)/12)),2)</f>
        <v/>
      </c>
      <c r="AI122" s="28">
        <f>MIN((AK121)+AH122,IF('Your Debts'!$G$12=0,0,INDEX('Your Debts'!$D$5:$D$12,'Your Debts'!$G$12)))</f>
        <v/>
      </c>
      <c r="AJ122" s="28">
        <f>AI122+MIN((AK121)+AH122-AI122,MAX(0,$E122-((H122-G122)+(L122-K122)+(P122-O122)+(T122-S122)+(X122-W122)+(AB122-AA122)+(AF122-AE122))))</f>
        <v/>
      </c>
      <c r="AK122" s="28">
        <f>ROUND(MAX(0,(AK121)+AH122-AJ122),2)</f>
        <v/>
      </c>
      <c r="AL122" s="18">
        <f>I122+M122+Q122+U122+Y122+AC122+AG122+AK122</f>
        <v/>
      </c>
      <c r="AM122" s="27">
        <f>AM121+F122+J122+N122+R122+V122+Z122+AD122+AH122</f>
        <v/>
      </c>
    </row>
    <row r="123">
      <c r="A123" s="25" t="n">
        <v>118</v>
      </c>
      <c r="B123" s="26">
        <f>EDATE('Your Debts'!$B$19,117)</f>
        <v/>
      </c>
      <c r="C123" s="27">
        <f>'Your Debts'!$B$18</f>
        <v/>
      </c>
      <c r="D123" s="27">
        <f>G123+K123+O123+S123+W123+AA123+AE123+AI123</f>
        <v/>
      </c>
      <c r="E123" s="27">
        <f>MAX(0,C123-D123)</f>
        <v/>
      </c>
      <c r="F123" s="28">
        <f>ROUND((I122)*(IF('Your Debts'!$G$5=0,0,INDEX('Your Debts'!$C$5:$C$12,'Your Debts'!$G$5)/12)),2)</f>
        <v/>
      </c>
      <c r="G123" s="28">
        <f>MIN((I122)+F123,IF('Your Debts'!$G$5=0,0,INDEX('Your Debts'!$D$5:$D$12,'Your Debts'!$G$5)))</f>
        <v/>
      </c>
      <c r="H123" s="28">
        <f>G123+MIN((I122)+F123-G123,MAX(0,$E123-(0)))</f>
        <v/>
      </c>
      <c r="I123" s="28">
        <f>ROUND(MAX(0,(I122)+F123-H123),2)</f>
        <v/>
      </c>
      <c r="J123" s="28">
        <f>ROUND((M122)*(IF('Your Debts'!$G$6=0,0,INDEX('Your Debts'!$C$5:$C$12,'Your Debts'!$G$6)/12)),2)</f>
        <v/>
      </c>
      <c r="K123" s="28">
        <f>MIN((M122)+J123,IF('Your Debts'!$G$6=0,0,INDEX('Your Debts'!$D$5:$D$12,'Your Debts'!$G$6)))</f>
        <v/>
      </c>
      <c r="L123" s="28">
        <f>K123+MIN((M122)+J123-K123,MAX(0,$E123-((H123-G123))))</f>
        <v/>
      </c>
      <c r="M123" s="28">
        <f>ROUND(MAX(0,(M122)+J123-L123),2)</f>
        <v/>
      </c>
      <c r="N123" s="28">
        <f>ROUND((Q122)*(IF('Your Debts'!$G$7=0,0,INDEX('Your Debts'!$C$5:$C$12,'Your Debts'!$G$7)/12)),2)</f>
        <v/>
      </c>
      <c r="O123" s="28">
        <f>MIN((Q122)+N123,IF('Your Debts'!$G$7=0,0,INDEX('Your Debts'!$D$5:$D$12,'Your Debts'!$G$7)))</f>
        <v/>
      </c>
      <c r="P123" s="28">
        <f>O123+MIN((Q122)+N123-O123,MAX(0,$E123-((H123-G123)+(L123-K123))))</f>
        <v/>
      </c>
      <c r="Q123" s="28">
        <f>ROUND(MAX(0,(Q122)+N123-P123),2)</f>
        <v/>
      </c>
      <c r="R123" s="28">
        <f>ROUND((U122)*(IF('Your Debts'!$G$8=0,0,INDEX('Your Debts'!$C$5:$C$12,'Your Debts'!$G$8)/12)),2)</f>
        <v/>
      </c>
      <c r="S123" s="28">
        <f>MIN((U122)+R123,IF('Your Debts'!$G$8=0,0,INDEX('Your Debts'!$D$5:$D$12,'Your Debts'!$G$8)))</f>
        <v/>
      </c>
      <c r="T123" s="28">
        <f>S123+MIN((U122)+R123-S123,MAX(0,$E123-((H123-G123)+(L123-K123)+(P123-O123))))</f>
        <v/>
      </c>
      <c r="U123" s="28">
        <f>ROUND(MAX(0,(U122)+R123-T123),2)</f>
        <v/>
      </c>
      <c r="V123" s="28">
        <f>ROUND((Y122)*(IF('Your Debts'!$G$9=0,0,INDEX('Your Debts'!$C$5:$C$12,'Your Debts'!$G$9)/12)),2)</f>
        <v/>
      </c>
      <c r="W123" s="28">
        <f>MIN((Y122)+V123,IF('Your Debts'!$G$9=0,0,INDEX('Your Debts'!$D$5:$D$12,'Your Debts'!$G$9)))</f>
        <v/>
      </c>
      <c r="X123" s="28">
        <f>W123+MIN((Y122)+V123-W123,MAX(0,$E123-((H123-G123)+(L123-K123)+(P123-O123)+(T123-S123))))</f>
        <v/>
      </c>
      <c r="Y123" s="28">
        <f>ROUND(MAX(0,(Y122)+V123-X123),2)</f>
        <v/>
      </c>
      <c r="Z123" s="28">
        <f>ROUND((AC122)*(IF('Your Debts'!$G$10=0,0,INDEX('Your Debts'!$C$5:$C$12,'Your Debts'!$G$10)/12)),2)</f>
        <v/>
      </c>
      <c r="AA123" s="28">
        <f>MIN((AC122)+Z123,IF('Your Debts'!$G$10=0,0,INDEX('Your Debts'!$D$5:$D$12,'Your Debts'!$G$10)))</f>
        <v/>
      </c>
      <c r="AB123" s="28">
        <f>AA123+MIN((AC122)+Z123-AA123,MAX(0,$E123-((H123-G123)+(L123-K123)+(P123-O123)+(T123-S123)+(X123-W123))))</f>
        <v/>
      </c>
      <c r="AC123" s="28">
        <f>ROUND(MAX(0,(AC122)+Z123-AB123),2)</f>
        <v/>
      </c>
      <c r="AD123" s="28">
        <f>ROUND((AG122)*(IF('Your Debts'!$G$11=0,0,INDEX('Your Debts'!$C$5:$C$12,'Your Debts'!$G$11)/12)),2)</f>
        <v/>
      </c>
      <c r="AE123" s="28">
        <f>MIN((AG122)+AD123,IF('Your Debts'!$G$11=0,0,INDEX('Your Debts'!$D$5:$D$12,'Your Debts'!$G$11)))</f>
        <v/>
      </c>
      <c r="AF123" s="28">
        <f>AE123+MIN((AG122)+AD123-AE123,MAX(0,$E123-((H123-G123)+(L123-K123)+(P123-O123)+(T123-S123)+(X123-W123)+(AB123-AA123))))</f>
        <v/>
      </c>
      <c r="AG123" s="28">
        <f>ROUND(MAX(0,(AG122)+AD123-AF123),2)</f>
        <v/>
      </c>
      <c r="AH123" s="28">
        <f>ROUND((AK122)*(IF('Your Debts'!$G$12=0,0,INDEX('Your Debts'!$C$5:$C$12,'Your Debts'!$G$12)/12)),2)</f>
        <v/>
      </c>
      <c r="AI123" s="28">
        <f>MIN((AK122)+AH123,IF('Your Debts'!$G$12=0,0,INDEX('Your Debts'!$D$5:$D$12,'Your Debts'!$G$12)))</f>
        <v/>
      </c>
      <c r="AJ123" s="28">
        <f>AI123+MIN((AK122)+AH123-AI123,MAX(0,$E123-((H123-G123)+(L123-K123)+(P123-O123)+(T123-S123)+(X123-W123)+(AB123-AA123)+(AF123-AE123))))</f>
        <v/>
      </c>
      <c r="AK123" s="28">
        <f>ROUND(MAX(0,(AK122)+AH123-AJ123),2)</f>
        <v/>
      </c>
      <c r="AL123" s="18">
        <f>I123+M123+Q123+U123+Y123+AC123+AG123+AK123</f>
        <v/>
      </c>
      <c r="AM123" s="27">
        <f>AM122+F123+J123+N123+R123+V123+Z123+AD123+AH123</f>
        <v/>
      </c>
    </row>
    <row r="124">
      <c r="A124" s="25" t="n">
        <v>119</v>
      </c>
      <c r="B124" s="26">
        <f>EDATE('Your Debts'!$B$19,118)</f>
        <v/>
      </c>
      <c r="C124" s="27">
        <f>'Your Debts'!$B$18</f>
        <v/>
      </c>
      <c r="D124" s="27">
        <f>G124+K124+O124+S124+W124+AA124+AE124+AI124</f>
        <v/>
      </c>
      <c r="E124" s="27">
        <f>MAX(0,C124-D124)</f>
        <v/>
      </c>
      <c r="F124" s="28">
        <f>ROUND((I123)*(IF('Your Debts'!$G$5=0,0,INDEX('Your Debts'!$C$5:$C$12,'Your Debts'!$G$5)/12)),2)</f>
        <v/>
      </c>
      <c r="G124" s="28">
        <f>MIN((I123)+F124,IF('Your Debts'!$G$5=0,0,INDEX('Your Debts'!$D$5:$D$12,'Your Debts'!$G$5)))</f>
        <v/>
      </c>
      <c r="H124" s="28">
        <f>G124+MIN((I123)+F124-G124,MAX(0,$E124-(0)))</f>
        <v/>
      </c>
      <c r="I124" s="28">
        <f>ROUND(MAX(0,(I123)+F124-H124),2)</f>
        <v/>
      </c>
      <c r="J124" s="28">
        <f>ROUND((M123)*(IF('Your Debts'!$G$6=0,0,INDEX('Your Debts'!$C$5:$C$12,'Your Debts'!$G$6)/12)),2)</f>
        <v/>
      </c>
      <c r="K124" s="28">
        <f>MIN((M123)+J124,IF('Your Debts'!$G$6=0,0,INDEX('Your Debts'!$D$5:$D$12,'Your Debts'!$G$6)))</f>
        <v/>
      </c>
      <c r="L124" s="28">
        <f>K124+MIN((M123)+J124-K124,MAX(0,$E124-((H124-G124))))</f>
        <v/>
      </c>
      <c r="M124" s="28">
        <f>ROUND(MAX(0,(M123)+J124-L124),2)</f>
        <v/>
      </c>
      <c r="N124" s="28">
        <f>ROUND((Q123)*(IF('Your Debts'!$G$7=0,0,INDEX('Your Debts'!$C$5:$C$12,'Your Debts'!$G$7)/12)),2)</f>
        <v/>
      </c>
      <c r="O124" s="28">
        <f>MIN((Q123)+N124,IF('Your Debts'!$G$7=0,0,INDEX('Your Debts'!$D$5:$D$12,'Your Debts'!$G$7)))</f>
        <v/>
      </c>
      <c r="P124" s="28">
        <f>O124+MIN((Q123)+N124-O124,MAX(0,$E124-((H124-G124)+(L124-K124))))</f>
        <v/>
      </c>
      <c r="Q124" s="28">
        <f>ROUND(MAX(0,(Q123)+N124-P124),2)</f>
        <v/>
      </c>
      <c r="R124" s="28">
        <f>ROUND((U123)*(IF('Your Debts'!$G$8=0,0,INDEX('Your Debts'!$C$5:$C$12,'Your Debts'!$G$8)/12)),2)</f>
        <v/>
      </c>
      <c r="S124" s="28">
        <f>MIN((U123)+R124,IF('Your Debts'!$G$8=0,0,INDEX('Your Debts'!$D$5:$D$12,'Your Debts'!$G$8)))</f>
        <v/>
      </c>
      <c r="T124" s="28">
        <f>S124+MIN((U123)+R124-S124,MAX(0,$E124-((H124-G124)+(L124-K124)+(P124-O124))))</f>
        <v/>
      </c>
      <c r="U124" s="28">
        <f>ROUND(MAX(0,(U123)+R124-T124),2)</f>
        <v/>
      </c>
      <c r="V124" s="28">
        <f>ROUND((Y123)*(IF('Your Debts'!$G$9=0,0,INDEX('Your Debts'!$C$5:$C$12,'Your Debts'!$G$9)/12)),2)</f>
        <v/>
      </c>
      <c r="W124" s="28">
        <f>MIN((Y123)+V124,IF('Your Debts'!$G$9=0,0,INDEX('Your Debts'!$D$5:$D$12,'Your Debts'!$G$9)))</f>
        <v/>
      </c>
      <c r="X124" s="28">
        <f>W124+MIN((Y123)+V124-W124,MAX(0,$E124-((H124-G124)+(L124-K124)+(P124-O124)+(T124-S124))))</f>
        <v/>
      </c>
      <c r="Y124" s="28">
        <f>ROUND(MAX(0,(Y123)+V124-X124),2)</f>
        <v/>
      </c>
      <c r="Z124" s="28">
        <f>ROUND((AC123)*(IF('Your Debts'!$G$10=0,0,INDEX('Your Debts'!$C$5:$C$12,'Your Debts'!$G$10)/12)),2)</f>
        <v/>
      </c>
      <c r="AA124" s="28">
        <f>MIN((AC123)+Z124,IF('Your Debts'!$G$10=0,0,INDEX('Your Debts'!$D$5:$D$12,'Your Debts'!$G$10)))</f>
        <v/>
      </c>
      <c r="AB124" s="28">
        <f>AA124+MIN((AC123)+Z124-AA124,MAX(0,$E124-((H124-G124)+(L124-K124)+(P124-O124)+(T124-S124)+(X124-W124))))</f>
        <v/>
      </c>
      <c r="AC124" s="28">
        <f>ROUND(MAX(0,(AC123)+Z124-AB124),2)</f>
        <v/>
      </c>
      <c r="AD124" s="28">
        <f>ROUND((AG123)*(IF('Your Debts'!$G$11=0,0,INDEX('Your Debts'!$C$5:$C$12,'Your Debts'!$G$11)/12)),2)</f>
        <v/>
      </c>
      <c r="AE124" s="28">
        <f>MIN((AG123)+AD124,IF('Your Debts'!$G$11=0,0,INDEX('Your Debts'!$D$5:$D$12,'Your Debts'!$G$11)))</f>
        <v/>
      </c>
      <c r="AF124" s="28">
        <f>AE124+MIN((AG123)+AD124-AE124,MAX(0,$E124-((H124-G124)+(L124-K124)+(P124-O124)+(T124-S124)+(X124-W124)+(AB124-AA124))))</f>
        <v/>
      </c>
      <c r="AG124" s="28">
        <f>ROUND(MAX(0,(AG123)+AD124-AF124),2)</f>
        <v/>
      </c>
      <c r="AH124" s="28">
        <f>ROUND((AK123)*(IF('Your Debts'!$G$12=0,0,INDEX('Your Debts'!$C$5:$C$12,'Your Debts'!$G$12)/12)),2)</f>
        <v/>
      </c>
      <c r="AI124" s="28">
        <f>MIN((AK123)+AH124,IF('Your Debts'!$G$12=0,0,INDEX('Your Debts'!$D$5:$D$12,'Your Debts'!$G$12)))</f>
        <v/>
      </c>
      <c r="AJ124" s="28">
        <f>AI124+MIN((AK123)+AH124-AI124,MAX(0,$E124-((H124-G124)+(L124-K124)+(P124-O124)+(T124-S124)+(X124-W124)+(AB124-AA124)+(AF124-AE124))))</f>
        <v/>
      </c>
      <c r="AK124" s="28">
        <f>ROUND(MAX(0,(AK123)+AH124-AJ124),2)</f>
        <v/>
      </c>
      <c r="AL124" s="18">
        <f>I124+M124+Q124+U124+Y124+AC124+AG124+AK124</f>
        <v/>
      </c>
      <c r="AM124" s="27">
        <f>AM123+F124+J124+N124+R124+V124+Z124+AD124+AH124</f>
        <v/>
      </c>
    </row>
    <row r="125">
      <c r="A125" s="25" t="n">
        <v>120</v>
      </c>
      <c r="B125" s="26">
        <f>EDATE('Your Debts'!$B$19,119)</f>
        <v/>
      </c>
      <c r="C125" s="27">
        <f>'Your Debts'!$B$18</f>
        <v/>
      </c>
      <c r="D125" s="27">
        <f>G125+K125+O125+S125+W125+AA125+AE125+AI125</f>
        <v/>
      </c>
      <c r="E125" s="27">
        <f>MAX(0,C125-D125)</f>
        <v/>
      </c>
      <c r="F125" s="28">
        <f>ROUND((I124)*(IF('Your Debts'!$G$5=0,0,INDEX('Your Debts'!$C$5:$C$12,'Your Debts'!$G$5)/12)),2)</f>
        <v/>
      </c>
      <c r="G125" s="28">
        <f>MIN((I124)+F125,IF('Your Debts'!$G$5=0,0,INDEX('Your Debts'!$D$5:$D$12,'Your Debts'!$G$5)))</f>
        <v/>
      </c>
      <c r="H125" s="28">
        <f>G125+MIN((I124)+F125-G125,MAX(0,$E125-(0)))</f>
        <v/>
      </c>
      <c r="I125" s="28">
        <f>ROUND(MAX(0,(I124)+F125-H125),2)</f>
        <v/>
      </c>
      <c r="J125" s="28">
        <f>ROUND((M124)*(IF('Your Debts'!$G$6=0,0,INDEX('Your Debts'!$C$5:$C$12,'Your Debts'!$G$6)/12)),2)</f>
        <v/>
      </c>
      <c r="K125" s="28">
        <f>MIN((M124)+J125,IF('Your Debts'!$G$6=0,0,INDEX('Your Debts'!$D$5:$D$12,'Your Debts'!$G$6)))</f>
        <v/>
      </c>
      <c r="L125" s="28">
        <f>K125+MIN((M124)+J125-K125,MAX(0,$E125-((H125-G125))))</f>
        <v/>
      </c>
      <c r="M125" s="28">
        <f>ROUND(MAX(0,(M124)+J125-L125),2)</f>
        <v/>
      </c>
      <c r="N125" s="28">
        <f>ROUND((Q124)*(IF('Your Debts'!$G$7=0,0,INDEX('Your Debts'!$C$5:$C$12,'Your Debts'!$G$7)/12)),2)</f>
        <v/>
      </c>
      <c r="O125" s="28">
        <f>MIN((Q124)+N125,IF('Your Debts'!$G$7=0,0,INDEX('Your Debts'!$D$5:$D$12,'Your Debts'!$G$7)))</f>
        <v/>
      </c>
      <c r="P125" s="28">
        <f>O125+MIN((Q124)+N125-O125,MAX(0,$E125-((H125-G125)+(L125-K125))))</f>
        <v/>
      </c>
      <c r="Q125" s="28">
        <f>ROUND(MAX(0,(Q124)+N125-P125),2)</f>
        <v/>
      </c>
      <c r="R125" s="28">
        <f>ROUND((U124)*(IF('Your Debts'!$G$8=0,0,INDEX('Your Debts'!$C$5:$C$12,'Your Debts'!$G$8)/12)),2)</f>
        <v/>
      </c>
      <c r="S125" s="28">
        <f>MIN((U124)+R125,IF('Your Debts'!$G$8=0,0,INDEX('Your Debts'!$D$5:$D$12,'Your Debts'!$G$8)))</f>
        <v/>
      </c>
      <c r="T125" s="28">
        <f>S125+MIN((U124)+R125-S125,MAX(0,$E125-((H125-G125)+(L125-K125)+(P125-O125))))</f>
        <v/>
      </c>
      <c r="U125" s="28">
        <f>ROUND(MAX(0,(U124)+R125-T125),2)</f>
        <v/>
      </c>
      <c r="V125" s="28">
        <f>ROUND((Y124)*(IF('Your Debts'!$G$9=0,0,INDEX('Your Debts'!$C$5:$C$12,'Your Debts'!$G$9)/12)),2)</f>
        <v/>
      </c>
      <c r="W125" s="28">
        <f>MIN((Y124)+V125,IF('Your Debts'!$G$9=0,0,INDEX('Your Debts'!$D$5:$D$12,'Your Debts'!$G$9)))</f>
        <v/>
      </c>
      <c r="X125" s="28">
        <f>W125+MIN((Y124)+V125-W125,MAX(0,$E125-((H125-G125)+(L125-K125)+(P125-O125)+(T125-S125))))</f>
        <v/>
      </c>
      <c r="Y125" s="28">
        <f>ROUND(MAX(0,(Y124)+V125-X125),2)</f>
        <v/>
      </c>
      <c r="Z125" s="28">
        <f>ROUND((AC124)*(IF('Your Debts'!$G$10=0,0,INDEX('Your Debts'!$C$5:$C$12,'Your Debts'!$G$10)/12)),2)</f>
        <v/>
      </c>
      <c r="AA125" s="28">
        <f>MIN((AC124)+Z125,IF('Your Debts'!$G$10=0,0,INDEX('Your Debts'!$D$5:$D$12,'Your Debts'!$G$10)))</f>
        <v/>
      </c>
      <c r="AB125" s="28">
        <f>AA125+MIN((AC124)+Z125-AA125,MAX(0,$E125-((H125-G125)+(L125-K125)+(P125-O125)+(T125-S125)+(X125-W125))))</f>
        <v/>
      </c>
      <c r="AC125" s="28">
        <f>ROUND(MAX(0,(AC124)+Z125-AB125),2)</f>
        <v/>
      </c>
      <c r="AD125" s="28">
        <f>ROUND((AG124)*(IF('Your Debts'!$G$11=0,0,INDEX('Your Debts'!$C$5:$C$12,'Your Debts'!$G$11)/12)),2)</f>
        <v/>
      </c>
      <c r="AE125" s="28">
        <f>MIN((AG124)+AD125,IF('Your Debts'!$G$11=0,0,INDEX('Your Debts'!$D$5:$D$12,'Your Debts'!$G$11)))</f>
        <v/>
      </c>
      <c r="AF125" s="28">
        <f>AE125+MIN((AG124)+AD125-AE125,MAX(0,$E125-((H125-G125)+(L125-K125)+(P125-O125)+(T125-S125)+(X125-W125)+(AB125-AA125))))</f>
        <v/>
      </c>
      <c r="AG125" s="28">
        <f>ROUND(MAX(0,(AG124)+AD125-AF125),2)</f>
        <v/>
      </c>
      <c r="AH125" s="28">
        <f>ROUND((AK124)*(IF('Your Debts'!$G$12=0,0,INDEX('Your Debts'!$C$5:$C$12,'Your Debts'!$G$12)/12)),2)</f>
        <v/>
      </c>
      <c r="AI125" s="28">
        <f>MIN((AK124)+AH125,IF('Your Debts'!$G$12=0,0,INDEX('Your Debts'!$D$5:$D$12,'Your Debts'!$G$12)))</f>
        <v/>
      </c>
      <c r="AJ125" s="28">
        <f>AI125+MIN((AK124)+AH125-AI125,MAX(0,$E125-((H125-G125)+(L125-K125)+(P125-O125)+(T125-S125)+(X125-W125)+(AB125-AA125)+(AF125-AE125))))</f>
        <v/>
      </c>
      <c r="AK125" s="28">
        <f>ROUND(MAX(0,(AK124)+AH125-AJ125),2)</f>
        <v/>
      </c>
      <c r="AL125" s="18">
        <f>I125+M125+Q125+U125+Y125+AC125+AG125+AK125</f>
        <v/>
      </c>
      <c r="AM125" s="27">
        <f>AM124+F125+J125+N125+R125+V125+Z125+AD125+AH125</f>
        <v/>
      </c>
    </row>
    <row r="126">
      <c r="A126" s="25" t="n">
        <v>121</v>
      </c>
      <c r="B126" s="26">
        <f>EDATE('Your Debts'!$B$19,120)</f>
        <v/>
      </c>
      <c r="C126" s="27">
        <f>'Your Debts'!$B$18</f>
        <v/>
      </c>
      <c r="D126" s="27">
        <f>G126+K126+O126+S126+W126+AA126+AE126+AI126</f>
        <v/>
      </c>
      <c r="E126" s="27">
        <f>MAX(0,C126-D126)</f>
        <v/>
      </c>
      <c r="F126" s="28">
        <f>ROUND((I125)*(IF('Your Debts'!$G$5=0,0,INDEX('Your Debts'!$C$5:$C$12,'Your Debts'!$G$5)/12)),2)</f>
        <v/>
      </c>
      <c r="G126" s="28">
        <f>MIN((I125)+F126,IF('Your Debts'!$G$5=0,0,INDEX('Your Debts'!$D$5:$D$12,'Your Debts'!$G$5)))</f>
        <v/>
      </c>
      <c r="H126" s="28">
        <f>G126+MIN((I125)+F126-G126,MAX(0,$E126-(0)))</f>
        <v/>
      </c>
      <c r="I126" s="28">
        <f>ROUND(MAX(0,(I125)+F126-H126),2)</f>
        <v/>
      </c>
      <c r="J126" s="28">
        <f>ROUND((M125)*(IF('Your Debts'!$G$6=0,0,INDEX('Your Debts'!$C$5:$C$12,'Your Debts'!$G$6)/12)),2)</f>
        <v/>
      </c>
      <c r="K126" s="28">
        <f>MIN((M125)+J126,IF('Your Debts'!$G$6=0,0,INDEX('Your Debts'!$D$5:$D$12,'Your Debts'!$G$6)))</f>
        <v/>
      </c>
      <c r="L126" s="28">
        <f>K126+MIN((M125)+J126-K126,MAX(0,$E126-((H126-G126))))</f>
        <v/>
      </c>
      <c r="M126" s="28">
        <f>ROUND(MAX(0,(M125)+J126-L126),2)</f>
        <v/>
      </c>
      <c r="N126" s="28">
        <f>ROUND((Q125)*(IF('Your Debts'!$G$7=0,0,INDEX('Your Debts'!$C$5:$C$12,'Your Debts'!$G$7)/12)),2)</f>
        <v/>
      </c>
      <c r="O126" s="28">
        <f>MIN((Q125)+N126,IF('Your Debts'!$G$7=0,0,INDEX('Your Debts'!$D$5:$D$12,'Your Debts'!$G$7)))</f>
        <v/>
      </c>
      <c r="P126" s="28">
        <f>O126+MIN((Q125)+N126-O126,MAX(0,$E126-((H126-G126)+(L126-K126))))</f>
        <v/>
      </c>
      <c r="Q126" s="28">
        <f>ROUND(MAX(0,(Q125)+N126-P126),2)</f>
        <v/>
      </c>
      <c r="R126" s="28">
        <f>ROUND((U125)*(IF('Your Debts'!$G$8=0,0,INDEX('Your Debts'!$C$5:$C$12,'Your Debts'!$G$8)/12)),2)</f>
        <v/>
      </c>
      <c r="S126" s="28">
        <f>MIN((U125)+R126,IF('Your Debts'!$G$8=0,0,INDEX('Your Debts'!$D$5:$D$12,'Your Debts'!$G$8)))</f>
        <v/>
      </c>
      <c r="T126" s="28">
        <f>S126+MIN((U125)+R126-S126,MAX(0,$E126-((H126-G126)+(L126-K126)+(P126-O126))))</f>
        <v/>
      </c>
      <c r="U126" s="28">
        <f>ROUND(MAX(0,(U125)+R126-T126),2)</f>
        <v/>
      </c>
      <c r="V126" s="28">
        <f>ROUND((Y125)*(IF('Your Debts'!$G$9=0,0,INDEX('Your Debts'!$C$5:$C$12,'Your Debts'!$G$9)/12)),2)</f>
        <v/>
      </c>
      <c r="W126" s="28">
        <f>MIN((Y125)+V126,IF('Your Debts'!$G$9=0,0,INDEX('Your Debts'!$D$5:$D$12,'Your Debts'!$G$9)))</f>
        <v/>
      </c>
      <c r="X126" s="28">
        <f>W126+MIN((Y125)+V126-W126,MAX(0,$E126-((H126-G126)+(L126-K126)+(P126-O126)+(T126-S126))))</f>
        <v/>
      </c>
      <c r="Y126" s="28">
        <f>ROUND(MAX(0,(Y125)+V126-X126),2)</f>
        <v/>
      </c>
      <c r="Z126" s="28">
        <f>ROUND((AC125)*(IF('Your Debts'!$G$10=0,0,INDEX('Your Debts'!$C$5:$C$12,'Your Debts'!$G$10)/12)),2)</f>
        <v/>
      </c>
      <c r="AA126" s="28">
        <f>MIN((AC125)+Z126,IF('Your Debts'!$G$10=0,0,INDEX('Your Debts'!$D$5:$D$12,'Your Debts'!$G$10)))</f>
        <v/>
      </c>
      <c r="AB126" s="28">
        <f>AA126+MIN((AC125)+Z126-AA126,MAX(0,$E126-((H126-G126)+(L126-K126)+(P126-O126)+(T126-S126)+(X126-W126))))</f>
        <v/>
      </c>
      <c r="AC126" s="28">
        <f>ROUND(MAX(0,(AC125)+Z126-AB126),2)</f>
        <v/>
      </c>
      <c r="AD126" s="28">
        <f>ROUND((AG125)*(IF('Your Debts'!$G$11=0,0,INDEX('Your Debts'!$C$5:$C$12,'Your Debts'!$G$11)/12)),2)</f>
        <v/>
      </c>
      <c r="AE126" s="28">
        <f>MIN((AG125)+AD126,IF('Your Debts'!$G$11=0,0,INDEX('Your Debts'!$D$5:$D$12,'Your Debts'!$G$11)))</f>
        <v/>
      </c>
      <c r="AF126" s="28">
        <f>AE126+MIN((AG125)+AD126-AE126,MAX(0,$E126-((H126-G126)+(L126-K126)+(P126-O126)+(T126-S126)+(X126-W126)+(AB126-AA126))))</f>
        <v/>
      </c>
      <c r="AG126" s="28">
        <f>ROUND(MAX(0,(AG125)+AD126-AF126),2)</f>
        <v/>
      </c>
      <c r="AH126" s="28">
        <f>ROUND((AK125)*(IF('Your Debts'!$G$12=0,0,INDEX('Your Debts'!$C$5:$C$12,'Your Debts'!$G$12)/12)),2)</f>
        <v/>
      </c>
      <c r="AI126" s="28">
        <f>MIN((AK125)+AH126,IF('Your Debts'!$G$12=0,0,INDEX('Your Debts'!$D$5:$D$12,'Your Debts'!$G$12)))</f>
        <v/>
      </c>
      <c r="AJ126" s="28">
        <f>AI126+MIN((AK125)+AH126-AI126,MAX(0,$E126-((H126-G126)+(L126-K126)+(P126-O126)+(T126-S126)+(X126-W126)+(AB126-AA126)+(AF126-AE126))))</f>
        <v/>
      </c>
      <c r="AK126" s="28">
        <f>ROUND(MAX(0,(AK125)+AH126-AJ126),2)</f>
        <v/>
      </c>
      <c r="AL126" s="18">
        <f>I126+M126+Q126+U126+Y126+AC126+AG126+AK126</f>
        <v/>
      </c>
      <c r="AM126" s="27">
        <f>AM125+F126+J126+N126+R126+V126+Z126+AD126+AH126</f>
        <v/>
      </c>
    </row>
    <row r="127">
      <c r="A127" s="25" t="n">
        <v>122</v>
      </c>
      <c r="B127" s="26">
        <f>EDATE('Your Debts'!$B$19,121)</f>
        <v/>
      </c>
      <c r="C127" s="27">
        <f>'Your Debts'!$B$18</f>
        <v/>
      </c>
      <c r="D127" s="27">
        <f>G127+K127+O127+S127+W127+AA127+AE127+AI127</f>
        <v/>
      </c>
      <c r="E127" s="27">
        <f>MAX(0,C127-D127)</f>
        <v/>
      </c>
      <c r="F127" s="28">
        <f>ROUND((I126)*(IF('Your Debts'!$G$5=0,0,INDEX('Your Debts'!$C$5:$C$12,'Your Debts'!$G$5)/12)),2)</f>
        <v/>
      </c>
      <c r="G127" s="28">
        <f>MIN((I126)+F127,IF('Your Debts'!$G$5=0,0,INDEX('Your Debts'!$D$5:$D$12,'Your Debts'!$G$5)))</f>
        <v/>
      </c>
      <c r="H127" s="28">
        <f>G127+MIN((I126)+F127-G127,MAX(0,$E127-(0)))</f>
        <v/>
      </c>
      <c r="I127" s="28">
        <f>ROUND(MAX(0,(I126)+F127-H127),2)</f>
        <v/>
      </c>
      <c r="J127" s="28">
        <f>ROUND((M126)*(IF('Your Debts'!$G$6=0,0,INDEX('Your Debts'!$C$5:$C$12,'Your Debts'!$G$6)/12)),2)</f>
        <v/>
      </c>
      <c r="K127" s="28">
        <f>MIN((M126)+J127,IF('Your Debts'!$G$6=0,0,INDEX('Your Debts'!$D$5:$D$12,'Your Debts'!$G$6)))</f>
        <v/>
      </c>
      <c r="L127" s="28">
        <f>K127+MIN((M126)+J127-K127,MAX(0,$E127-((H127-G127))))</f>
        <v/>
      </c>
      <c r="M127" s="28">
        <f>ROUND(MAX(0,(M126)+J127-L127),2)</f>
        <v/>
      </c>
      <c r="N127" s="28">
        <f>ROUND((Q126)*(IF('Your Debts'!$G$7=0,0,INDEX('Your Debts'!$C$5:$C$12,'Your Debts'!$G$7)/12)),2)</f>
        <v/>
      </c>
      <c r="O127" s="28">
        <f>MIN((Q126)+N127,IF('Your Debts'!$G$7=0,0,INDEX('Your Debts'!$D$5:$D$12,'Your Debts'!$G$7)))</f>
        <v/>
      </c>
      <c r="P127" s="28">
        <f>O127+MIN((Q126)+N127-O127,MAX(0,$E127-((H127-G127)+(L127-K127))))</f>
        <v/>
      </c>
      <c r="Q127" s="28">
        <f>ROUND(MAX(0,(Q126)+N127-P127),2)</f>
        <v/>
      </c>
      <c r="R127" s="28">
        <f>ROUND((U126)*(IF('Your Debts'!$G$8=0,0,INDEX('Your Debts'!$C$5:$C$12,'Your Debts'!$G$8)/12)),2)</f>
        <v/>
      </c>
      <c r="S127" s="28">
        <f>MIN((U126)+R127,IF('Your Debts'!$G$8=0,0,INDEX('Your Debts'!$D$5:$D$12,'Your Debts'!$G$8)))</f>
        <v/>
      </c>
      <c r="T127" s="28">
        <f>S127+MIN((U126)+R127-S127,MAX(0,$E127-((H127-G127)+(L127-K127)+(P127-O127))))</f>
        <v/>
      </c>
      <c r="U127" s="28">
        <f>ROUND(MAX(0,(U126)+R127-T127),2)</f>
        <v/>
      </c>
      <c r="V127" s="28">
        <f>ROUND((Y126)*(IF('Your Debts'!$G$9=0,0,INDEX('Your Debts'!$C$5:$C$12,'Your Debts'!$G$9)/12)),2)</f>
        <v/>
      </c>
      <c r="W127" s="28">
        <f>MIN((Y126)+V127,IF('Your Debts'!$G$9=0,0,INDEX('Your Debts'!$D$5:$D$12,'Your Debts'!$G$9)))</f>
        <v/>
      </c>
      <c r="X127" s="28">
        <f>W127+MIN((Y126)+V127-W127,MAX(0,$E127-((H127-G127)+(L127-K127)+(P127-O127)+(T127-S127))))</f>
        <v/>
      </c>
      <c r="Y127" s="28">
        <f>ROUND(MAX(0,(Y126)+V127-X127),2)</f>
        <v/>
      </c>
      <c r="Z127" s="28">
        <f>ROUND((AC126)*(IF('Your Debts'!$G$10=0,0,INDEX('Your Debts'!$C$5:$C$12,'Your Debts'!$G$10)/12)),2)</f>
        <v/>
      </c>
      <c r="AA127" s="28">
        <f>MIN((AC126)+Z127,IF('Your Debts'!$G$10=0,0,INDEX('Your Debts'!$D$5:$D$12,'Your Debts'!$G$10)))</f>
        <v/>
      </c>
      <c r="AB127" s="28">
        <f>AA127+MIN((AC126)+Z127-AA127,MAX(0,$E127-((H127-G127)+(L127-K127)+(P127-O127)+(T127-S127)+(X127-W127))))</f>
        <v/>
      </c>
      <c r="AC127" s="28">
        <f>ROUND(MAX(0,(AC126)+Z127-AB127),2)</f>
        <v/>
      </c>
      <c r="AD127" s="28">
        <f>ROUND((AG126)*(IF('Your Debts'!$G$11=0,0,INDEX('Your Debts'!$C$5:$C$12,'Your Debts'!$G$11)/12)),2)</f>
        <v/>
      </c>
      <c r="AE127" s="28">
        <f>MIN((AG126)+AD127,IF('Your Debts'!$G$11=0,0,INDEX('Your Debts'!$D$5:$D$12,'Your Debts'!$G$11)))</f>
        <v/>
      </c>
      <c r="AF127" s="28">
        <f>AE127+MIN((AG126)+AD127-AE127,MAX(0,$E127-((H127-G127)+(L127-K127)+(P127-O127)+(T127-S127)+(X127-W127)+(AB127-AA127))))</f>
        <v/>
      </c>
      <c r="AG127" s="28">
        <f>ROUND(MAX(0,(AG126)+AD127-AF127),2)</f>
        <v/>
      </c>
      <c r="AH127" s="28">
        <f>ROUND((AK126)*(IF('Your Debts'!$G$12=0,0,INDEX('Your Debts'!$C$5:$C$12,'Your Debts'!$G$12)/12)),2)</f>
        <v/>
      </c>
      <c r="AI127" s="28">
        <f>MIN((AK126)+AH127,IF('Your Debts'!$G$12=0,0,INDEX('Your Debts'!$D$5:$D$12,'Your Debts'!$G$12)))</f>
        <v/>
      </c>
      <c r="AJ127" s="28">
        <f>AI127+MIN((AK126)+AH127-AI127,MAX(0,$E127-((H127-G127)+(L127-K127)+(P127-O127)+(T127-S127)+(X127-W127)+(AB127-AA127)+(AF127-AE127))))</f>
        <v/>
      </c>
      <c r="AK127" s="28">
        <f>ROUND(MAX(0,(AK126)+AH127-AJ127),2)</f>
        <v/>
      </c>
      <c r="AL127" s="18">
        <f>I127+M127+Q127+U127+Y127+AC127+AG127+AK127</f>
        <v/>
      </c>
      <c r="AM127" s="27">
        <f>AM126+F127+J127+N127+R127+V127+Z127+AD127+AH127</f>
        <v/>
      </c>
    </row>
    <row r="128">
      <c r="A128" s="25" t="n">
        <v>123</v>
      </c>
      <c r="B128" s="26">
        <f>EDATE('Your Debts'!$B$19,122)</f>
        <v/>
      </c>
      <c r="C128" s="27">
        <f>'Your Debts'!$B$18</f>
        <v/>
      </c>
      <c r="D128" s="27">
        <f>G128+K128+O128+S128+W128+AA128+AE128+AI128</f>
        <v/>
      </c>
      <c r="E128" s="27">
        <f>MAX(0,C128-D128)</f>
        <v/>
      </c>
      <c r="F128" s="28">
        <f>ROUND((I127)*(IF('Your Debts'!$G$5=0,0,INDEX('Your Debts'!$C$5:$C$12,'Your Debts'!$G$5)/12)),2)</f>
        <v/>
      </c>
      <c r="G128" s="28">
        <f>MIN((I127)+F128,IF('Your Debts'!$G$5=0,0,INDEX('Your Debts'!$D$5:$D$12,'Your Debts'!$G$5)))</f>
        <v/>
      </c>
      <c r="H128" s="28">
        <f>G128+MIN((I127)+F128-G128,MAX(0,$E128-(0)))</f>
        <v/>
      </c>
      <c r="I128" s="28">
        <f>ROUND(MAX(0,(I127)+F128-H128),2)</f>
        <v/>
      </c>
      <c r="J128" s="28">
        <f>ROUND((M127)*(IF('Your Debts'!$G$6=0,0,INDEX('Your Debts'!$C$5:$C$12,'Your Debts'!$G$6)/12)),2)</f>
        <v/>
      </c>
      <c r="K128" s="28">
        <f>MIN((M127)+J128,IF('Your Debts'!$G$6=0,0,INDEX('Your Debts'!$D$5:$D$12,'Your Debts'!$G$6)))</f>
        <v/>
      </c>
      <c r="L128" s="28">
        <f>K128+MIN((M127)+J128-K128,MAX(0,$E128-((H128-G128))))</f>
        <v/>
      </c>
      <c r="M128" s="28">
        <f>ROUND(MAX(0,(M127)+J128-L128),2)</f>
        <v/>
      </c>
      <c r="N128" s="28">
        <f>ROUND((Q127)*(IF('Your Debts'!$G$7=0,0,INDEX('Your Debts'!$C$5:$C$12,'Your Debts'!$G$7)/12)),2)</f>
        <v/>
      </c>
      <c r="O128" s="28">
        <f>MIN((Q127)+N128,IF('Your Debts'!$G$7=0,0,INDEX('Your Debts'!$D$5:$D$12,'Your Debts'!$G$7)))</f>
        <v/>
      </c>
      <c r="P128" s="28">
        <f>O128+MIN((Q127)+N128-O128,MAX(0,$E128-((H128-G128)+(L128-K128))))</f>
        <v/>
      </c>
      <c r="Q128" s="28">
        <f>ROUND(MAX(0,(Q127)+N128-P128),2)</f>
        <v/>
      </c>
      <c r="R128" s="28">
        <f>ROUND((U127)*(IF('Your Debts'!$G$8=0,0,INDEX('Your Debts'!$C$5:$C$12,'Your Debts'!$G$8)/12)),2)</f>
        <v/>
      </c>
      <c r="S128" s="28">
        <f>MIN((U127)+R128,IF('Your Debts'!$G$8=0,0,INDEX('Your Debts'!$D$5:$D$12,'Your Debts'!$G$8)))</f>
        <v/>
      </c>
      <c r="T128" s="28">
        <f>S128+MIN((U127)+R128-S128,MAX(0,$E128-((H128-G128)+(L128-K128)+(P128-O128))))</f>
        <v/>
      </c>
      <c r="U128" s="28">
        <f>ROUND(MAX(0,(U127)+R128-T128),2)</f>
        <v/>
      </c>
      <c r="V128" s="28">
        <f>ROUND((Y127)*(IF('Your Debts'!$G$9=0,0,INDEX('Your Debts'!$C$5:$C$12,'Your Debts'!$G$9)/12)),2)</f>
        <v/>
      </c>
      <c r="W128" s="28">
        <f>MIN((Y127)+V128,IF('Your Debts'!$G$9=0,0,INDEX('Your Debts'!$D$5:$D$12,'Your Debts'!$G$9)))</f>
        <v/>
      </c>
      <c r="X128" s="28">
        <f>W128+MIN((Y127)+V128-W128,MAX(0,$E128-((H128-G128)+(L128-K128)+(P128-O128)+(T128-S128))))</f>
        <v/>
      </c>
      <c r="Y128" s="28">
        <f>ROUND(MAX(0,(Y127)+V128-X128),2)</f>
        <v/>
      </c>
      <c r="Z128" s="28">
        <f>ROUND((AC127)*(IF('Your Debts'!$G$10=0,0,INDEX('Your Debts'!$C$5:$C$12,'Your Debts'!$G$10)/12)),2)</f>
        <v/>
      </c>
      <c r="AA128" s="28">
        <f>MIN((AC127)+Z128,IF('Your Debts'!$G$10=0,0,INDEX('Your Debts'!$D$5:$D$12,'Your Debts'!$G$10)))</f>
        <v/>
      </c>
      <c r="AB128" s="28">
        <f>AA128+MIN((AC127)+Z128-AA128,MAX(0,$E128-((H128-G128)+(L128-K128)+(P128-O128)+(T128-S128)+(X128-W128))))</f>
        <v/>
      </c>
      <c r="AC128" s="28">
        <f>ROUND(MAX(0,(AC127)+Z128-AB128),2)</f>
        <v/>
      </c>
      <c r="AD128" s="28">
        <f>ROUND((AG127)*(IF('Your Debts'!$G$11=0,0,INDEX('Your Debts'!$C$5:$C$12,'Your Debts'!$G$11)/12)),2)</f>
        <v/>
      </c>
      <c r="AE128" s="28">
        <f>MIN((AG127)+AD128,IF('Your Debts'!$G$11=0,0,INDEX('Your Debts'!$D$5:$D$12,'Your Debts'!$G$11)))</f>
        <v/>
      </c>
      <c r="AF128" s="28">
        <f>AE128+MIN((AG127)+AD128-AE128,MAX(0,$E128-((H128-G128)+(L128-K128)+(P128-O128)+(T128-S128)+(X128-W128)+(AB128-AA128))))</f>
        <v/>
      </c>
      <c r="AG128" s="28">
        <f>ROUND(MAX(0,(AG127)+AD128-AF128),2)</f>
        <v/>
      </c>
      <c r="AH128" s="28">
        <f>ROUND((AK127)*(IF('Your Debts'!$G$12=0,0,INDEX('Your Debts'!$C$5:$C$12,'Your Debts'!$G$12)/12)),2)</f>
        <v/>
      </c>
      <c r="AI128" s="28">
        <f>MIN((AK127)+AH128,IF('Your Debts'!$G$12=0,0,INDEX('Your Debts'!$D$5:$D$12,'Your Debts'!$G$12)))</f>
        <v/>
      </c>
      <c r="AJ128" s="28">
        <f>AI128+MIN((AK127)+AH128-AI128,MAX(0,$E128-((H128-G128)+(L128-K128)+(P128-O128)+(T128-S128)+(X128-W128)+(AB128-AA128)+(AF128-AE128))))</f>
        <v/>
      </c>
      <c r="AK128" s="28">
        <f>ROUND(MAX(0,(AK127)+AH128-AJ128),2)</f>
        <v/>
      </c>
      <c r="AL128" s="18">
        <f>I128+M128+Q128+U128+Y128+AC128+AG128+AK128</f>
        <v/>
      </c>
      <c r="AM128" s="27">
        <f>AM127+F128+J128+N128+R128+V128+Z128+AD128+AH128</f>
        <v/>
      </c>
    </row>
    <row r="129">
      <c r="A129" s="25" t="n">
        <v>124</v>
      </c>
      <c r="B129" s="26">
        <f>EDATE('Your Debts'!$B$19,123)</f>
        <v/>
      </c>
      <c r="C129" s="27">
        <f>'Your Debts'!$B$18</f>
        <v/>
      </c>
      <c r="D129" s="27">
        <f>G129+K129+O129+S129+W129+AA129+AE129+AI129</f>
        <v/>
      </c>
      <c r="E129" s="27">
        <f>MAX(0,C129-D129)</f>
        <v/>
      </c>
      <c r="F129" s="28">
        <f>ROUND((I128)*(IF('Your Debts'!$G$5=0,0,INDEX('Your Debts'!$C$5:$C$12,'Your Debts'!$G$5)/12)),2)</f>
        <v/>
      </c>
      <c r="G129" s="28">
        <f>MIN((I128)+F129,IF('Your Debts'!$G$5=0,0,INDEX('Your Debts'!$D$5:$D$12,'Your Debts'!$G$5)))</f>
        <v/>
      </c>
      <c r="H129" s="28">
        <f>G129+MIN((I128)+F129-G129,MAX(0,$E129-(0)))</f>
        <v/>
      </c>
      <c r="I129" s="28">
        <f>ROUND(MAX(0,(I128)+F129-H129),2)</f>
        <v/>
      </c>
      <c r="J129" s="28">
        <f>ROUND((M128)*(IF('Your Debts'!$G$6=0,0,INDEX('Your Debts'!$C$5:$C$12,'Your Debts'!$G$6)/12)),2)</f>
        <v/>
      </c>
      <c r="K129" s="28">
        <f>MIN((M128)+J129,IF('Your Debts'!$G$6=0,0,INDEX('Your Debts'!$D$5:$D$12,'Your Debts'!$G$6)))</f>
        <v/>
      </c>
      <c r="L129" s="28">
        <f>K129+MIN((M128)+J129-K129,MAX(0,$E129-((H129-G129))))</f>
        <v/>
      </c>
      <c r="M129" s="28">
        <f>ROUND(MAX(0,(M128)+J129-L129),2)</f>
        <v/>
      </c>
      <c r="N129" s="28">
        <f>ROUND((Q128)*(IF('Your Debts'!$G$7=0,0,INDEX('Your Debts'!$C$5:$C$12,'Your Debts'!$G$7)/12)),2)</f>
        <v/>
      </c>
      <c r="O129" s="28">
        <f>MIN((Q128)+N129,IF('Your Debts'!$G$7=0,0,INDEX('Your Debts'!$D$5:$D$12,'Your Debts'!$G$7)))</f>
        <v/>
      </c>
      <c r="P129" s="28">
        <f>O129+MIN((Q128)+N129-O129,MAX(0,$E129-((H129-G129)+(L129-K129))))</f>
        <v/>
      </c>
      <c r="Q129" s="28">
        <f>ROUND(MAX(0,(Q128)+N129-P129),2)</f>
        <v/>
      </c>
      <c r="R129" s="28">
        <f>ROUND((U128)*(IF('Your Debts'!$G$8=0,0,INDEX('Your Debts'!$C$5:$C$12,'Your Debts'!$G$8)/12)),2)</f>
        <v/>
      </c>
      <c r="S129" s="28">
        <f>MIN((U128)+R129,IF('Your Debts'!$G$8=0,0,INDEX('Your Debts'!$D$5:$D$12,'Your Debts'!$G$8)))</f>
        <v/>
      </c>
      <c r="T129" s="28">
        <f>S129+MIN((U128)+R129-S129,MAX(0,$E129-((H129-G129)+(L129-K129)+(P129-O129))))</f>
        <v/>
      </c>
      <c r="U129" s="28">
        <f>ROUND(MAX(0,(U128)+R129-T129),2)</f>
        <v/>
      </c>
      <c r="V129" s="28">
        <f>ROUND((Y128)*(IF('Your Debts'!$G$9=0,0,INDEX('Your Debts'!$C$5:$C$12,'Your Debts'!$G$9)/12)),2)</f>
        <v/>
      </c>
      <c r="W129" s="28">
        <f>MIN((Y128)+V129,IF('Your Debts'!$G$9=0,0,INDEX('Your Debts'!$D$5:$D$12,'Your Debts'!$G$9)))</f>
        <v/>
      </c>
      <c r="X129" s="28">
        <f>W129+MIN((Y128)+V129-W129,MAX(0,$E129-((H129-G129)+(L129-K129)+(P129-O129)+(T129-S129))))</f>
        <v/>
      </c>
      <c r="Y129" s="28">
        <f>ROUND(MAX(0,(Y128)+V129-X129),2)</f>
        <v/>
      </c>
      <c r="Z129" s="28">
        <f>ROUND((AC128)*(IF('Your Debts'!$G$10=0,0,INDEX('Your Debts'!$C$5:$C$12,'Your Debts'!$G$10)/12)),2)</f>
        <v/>
      </c>
      <c r="AA129" s="28">
        <f>MIN((AC128)+Z129,IF('Your Debts'!$G$10=0,0,INDEX('Your Debts'!$D$5:$D$12,'Your Debts'!$G$10)))</f>
        <v/>
      </c>
      <c r="AB129" s="28">
        <f>AA129+MIN((AC128)+Z129-AA129,MAX(0,$E129-((H129-G129)+(L129-K129)+(P129-O129)+(T129-S129)+(X129-W129))))</f>
        <v/>
      </c>
      <c r="AC129" s="28">
        <f>ROUND(MAX(0,(AC128)+Z129-AB129),2)</f>
        <v/>
      </c>
      <c r="AD129" s="28">
        <f>ROUND((AG128)*(IF('Your Debts'!$G$11=0,0,INDEX('Your Debts'!$C$5:$C$12,'Your Debts'!$G$11)/12)),2)</f>
        <v/>
      </c>
      <c r="AE129" s="28">
        <f>MIN((AG128)+AD129,IF('Your Debts'!$G$11=0,0,INDEX('Your Debts'!$D$5:$D$12,'Your Debts'!$G$11)))</f>
        <v/>
      </c>
      <c r="AF129" s="28">
        <f>AE129+MIN((AG128)+AD129-AE129,MAX(0,$E129-((H129-G129)+(L129-K129)+(P129-O129)+(T129-S129)+(X129-W129)+(AB129-AA129))))</f>
        <v/>
      </c>
      <c r="AG129" s="28">
        <f>ROUND(MAX(0,(AG128)+AD129-AF129),2)</f>
        <v/>
      </c>
      <c r="AH129" s="28">
        <f>ROUND((AK128)*(IF('Your Debts'!$G$12=0,0,INDEX('Your Debts'!$C$5:$C$12,'Your Debts'!$G$12)/12)),2)</f>
        <v/>
      </c>
      <c r="AI129" s="28">
        <f>MIN((AK128)+AH129,IF('Your Debts'!$G$12=0,0,INDEX('Your Debts'!$D$5:$D$12,'Your Debts'!$G$12)))</f>
        <v/>
      </c>
      <c r="AJ129" s="28">
        <f>AI129+MIN((AK128)+AH129-AI129,MAX(0,$E129-((H129-G129)+(L129-K129)+(P129-O129)+(T129-S129)+(X129-W129)+(AB129-AA129)+(AF129-AE129))))</f>
        <v/>
      </c>
      <c r="AK129" s="28">
        <f>ROUND(MAX(0,(AK128)+AH129-AJ129),2)</f>
        <v/>
      </c>
      <c r="AL129" s="18">
        <f>I129+M129+Q129+U129+Y129+AC129+AG129+AK129</f>
        <v/>
      </c>
      <c r="AM129" s="27">
        <f>AM128+F129+J129+N129+R129+V129+Z129+AD129+AH129</f>
        <v/>
      </c>
    </row>
    <row r="130">
      <c r="A130" s="25" t="n">
        <v>125</v>
      </c>
      <c r="B130" s="26">
        <f>EDATE('Your Debts'!$B$19,124)</f>
        <v/>
      </c>
      <c r="C130" s="27">
        <f>'Your Debts'!$B$18</f>
        <v/>
      </c>
      <c r="D130" s="27">
        <f>G130+K130+O130+S130+W130+AA130+AE130+AI130</f>
        <v/>
      </c>
      <c r="E130" s="27">
        <f>MAX(0,C130-D130)</f>
        <v/>
      </c>
      <c r="F130" s="28">
        <f>ROUND((I129)*(IF('Your Debts'!$G$5=0,0,INDEX('Your Debts'!$C$5:$C$12,'Your Debts'!$G$5)/12)),2)</f>
        <v/>
      </c>
      <c r="G130" s="28">
        <f>MIN((I129)+F130,IF('Your Debts'!$G$5=0,0,INDEX('Your Debts'!$D$5:$D$12,'Your Debts'!$G$5)))</f>
        <v/>
      </c>
      <c r="H130" s="28">
        <f>G130+MIN((I129)+F130-G130,MAX(0,$E130-(0)))</f>
        <v/>
      </c>
      <c r="I130" s="28">
        <f>ROUND(MAX(0,(I129)+F130-H130),2)</f>
        <v/>
      </c>
      <c r="J130" s="28">
        <f>ROUND((M129)*(IF('Your Debts'!$G$6=0,0,INDEX('Your Debts'!$C$5:$C$12,'Your Debts'!$G$6)/12)),2)</f>
        <v/>
      </c>
      <c r="K130" s="28">
        <f>MIN((M129)+J130,IF('Your Debts'!$G$6=0,0,INDEX('Your Debts'!$D$5:$D$12,'Your Debts'!$G$6)))</f>
        <v/>
      </c>
      <c r="L130" s="28">
        <f>K130+MIN((M129)+J130-K130,MAX(0,$E130-((H130-G130))))</f>
        <v/>
      </c>
      <c r="M130" s="28">
        <f>ROUND(MAX(0,(M129)+J130-L130),2)</f>
        <v/>
      </c>
      <c r="N130" s="28">
        <f>ROUND((Q129)*(IF('Your Debts'!$G$7=0,0,INDEX('Your Debts'!$C$5:$C$12,'Your Debts'!$G$7)/12)),2)</f>
        <v/>
      </c>
      <c r="O130" s="28">
        <f>MIN((Q129)+N130,IF('Your Debts'!$G$7=0,0,INDEX('Your Debts'!$D$5:$D$12,'Your Debts'!$G$7)))</f>
        <v/>
      </c>
      <c r="P130" s="28">
        <f>O130+MIN((Q129)+N130-O130,MAX(0,$E130-((H130-G130)+(L130-K130))))</f>
        <v/>
      </c>
      <c r="Q130" s="28">
        <f>ROUND(MAX(0,(Q129)+N130-P130),2)</f>
        <v/>
      </c>
      <c r="R130" s="28">
        <f>ROUND((U129)*(IF('Your Debts'!$G$8=0,0,INDEX('Your Debts'!$C$5:$C$12,'Your Debts'!$G$8)/12)),2)</f>
        <v/>
      </c>
      <c r="S130" s="28">
        <f>MIN((U129)+R130,IF('Your Debts'!$G$8=0,0,INDEX('Your Debts'!$D$5:$D$12,'Your Debts'!$G$8)))</f>
        <v/>
      </c>
      <c r="T130" s="28">
        <f>S130+MIN((U129)+R130-S130,MAX(0,$E130-((H130-G130)+(L130-K130)+(P130-O130))))</f>
        <v/>
      </c>
      <c r="U130" s="28">
        <f>ROUND(MAX(0,(U129)+R130-T130),2)</f>
        <v/>
      </c>
      <c r="V130" s="28">
        <f>ROUND((Y129)*(IF('Your Debts'!$G$9=0,0,INDEX('Your Debts'!$C$5:$C$12,'Your Debts'!$G$9)/12)),2)</f>
        <v/>
      </c>
      <c r="W130" s="28">
        <f>MIN((Y129)+V130,IF('Your Debts'!$G$9=0,0,INDEX('Your Debts'!$D$5:$D$12,'Your Debts'!$G$9)))</f>
        <v/>
      </c>
      <c r="X130" s="28">
        <f>W130+MIN((Y129)+V130-W130,MAX(0,$E130-((H130-G130)+(L130-K130)+(P130-O130)+(T130-S130))))</f>
        <v/>
      </c>
      <c r="Y130" s="28">
        <f>ROUND(MAX(0,(Y129)+V130-X130),2)</f>
        <v/>
      </c>
      <c r="Z130" s="28">
        <f>ROUND((AC129)*(IF('Your Debts'!$G$10=0,0,INDEX('Your Debts'!$C$5:$C$12,'Your Debts'!$G$10)/12)),2)</f>
        <v/>
      </c>
      <c r="AA130" s="28">
        <f>MIN((AC129)+Z130,IF('Your Debts'!$G$10=0,0,INDEX('Your Debts'!$D$5:$D$12,'Your Debts'!$G$10)))</f>
        <v/>
      </c>
      <c r="AB130" s="28">
        <f>AA130+MIN((AC129)+Z130-AA130,MAX(0,$E130-((H130-G130)+(L130-K130)+(P130-O130)+(T130-S130)+(X130-W130))))</f>
        <v/>
      </c>
      <c r="AC130" s="28">
        <f>ROUND(MAX(0,(AC129)+Z130-AB130),2)</f>
        <v/>
      </c>
      <c r="AD130" s="28">
        <f>ROUND((AG129)*(IF('Your Debts'!$G$11=0,0,INDEX('Your Debts'!$C$5:$C$12,'Your Debts'!$G$11)/12)),2)</f>
        <v/>
      </c>
      <c r="AE130" s="28">
        <f>MIN((AG129)+AD130,IF('Your Debts'!$G$11=0,0,INDEX('Your Debts'!$D$5:$D$12,'Your Debts'!$G$11)))</f>
        <v/>
      </c>
      <c r="AF130" s="28">
        <f>AE130+MIN((AG129)+AD130-AE130,MAX(0,$E130-((H130-G130)+(L130-K130)+(P130-O130)+(T130-S130)+(X130-W130)+(AB130-AA130))))</f>
        <v/>
      </c>
      <c r="AG130" s="28">
        <f>ROUND(MAX(0,(AG129)+AD130-AF130),2)</f>
        <v/>
      </c>
      <c r="AH130" s="28">
        <f>ROUND((AK129)*(IF('Your Debts'!$G$12=0,0,INDEX('Your Debts'!$C$5:$C$12,'Your Debts'!$G$12)/12)),2)</f>
        <v/>
      </c>
      <c r="AI130" s="28">
        <f>MIN((AK129)+AH130,IF('Your Debts'!$G$12=0,0,INDEX('Your Debts'!$D$5:$D$12,'Your Debts'!$G$12)))</f>
        <v/>
      </c>
      <c r="AJ130" s="28">
        <f>AI130+MIN((AK129)+AH130-AI130,MAX(0,$E130-((H130-G130)+(L130-K130)+(P130-O130)+(T130-S130)+(X130-W130)+(AB130-AA130)+(AF130-AE130))))</f>
        <v/>
      </c>
      <c r="AK130" s="28">
        <f>ROUND(MAX(0,(AK129)+AH130-AJ130),2)</f>
        <v/>
      </c>
      <c r="AL130" s="18">
        <f>I130+M130+Q130+U130+Y130+AC130+AG130+AK130</f>
        <v/>
      </c>
      <c r="AM130" s="27">
        <f>AM129+F130+J130+N130+R130+V130+Z130+AD130+AH130</f>
        <v/>
      </c>
    </row>
    <row r="131">
      <c r="A131" s="25" t="n">
        <v>126</v>
      </c>
      <c r="B131" s="26">
        <f>EDATE('Your Debts'!$B$19,125)</f>
        <v/>
      </c>
      <c r="C131" s="27">
        <f>'Your Debts'!$B$18</f>
        <v/>
      </c>
      <c r="D131" s="27">
        <f>G131+K131+O131+S131+W131+AA131+AE131+AI131</f>
        <v/>
      </c>
      <c r="E131" s="27">
        <f>MAX(0,C131-D131)</f>
        <v/>
      </c>
      <c r="F131" s="28">
        <f>ROUND((I130)*(IF('Your Debts'!$G$5=0,0,INDEX('Your Debts'!$C$5:$C$12,'Your Debts'!$G$5)/12)),2)</f>
        <v/>
      </c>
      <c r="G131" s="28">
        <f>MIN((I130)+F131,IF('Your Debts'!$G$5=0,0,INDEX('Your Debts'!$D$5:$D$12,'Your Debts'!$G$5)))</f>
        <v/>
      </c>
      <c r="H131" s="28">
        <f>G131+MIN((I130)+F131-G131,MAX(0,$E131-(0)))</f>
        <v/>
      </c>
      <c r="I131" s="28">
        <f>ROUND(MAX(0,(I130)+F131-H131),2)</f>
        <v/>
      </c>
      <c r="J131" s="28">
        <f>ROUND((M130)*(IF('Your Debts'!$G$6=0,0,INDEX('Your Debts'!$C$5:$C$12,'Your Debts'!$G$6)/12)),2)</f>
        <v/>
      </c>
      <c r="K131" s="28">
        <f>MIN((M130)+J131,IF('Your Debts'!$G$6=0,0,INDEX('Your Debts'!$D$5:$D$12,'Your Debts'!$G$6)))</f>
        <v/>
      </c>
      <c r="L131" s="28">
        <f>K131+MIN((M130)+J131-K131,MAX(0,$E131-((H131-G131))))</f>
        <v/>
      </c>
      <c r="M131" s="28">
        <f>ROUND(MAX(0,(M130)+J131-L131),2)</f>
        <v/>
      </c>
      <c r="N131" s="28">
        <f>ROUND((Q130)*(IF('Your Debts'!$G$7=0,0,INDEX('Your Debts'!$C$5:$C$12,'Your Debts'!$G$7)/12)),2)</f>
        <v/>
      </c>
      <c r="O131" s="28">
        <f>MIN((Q130)+N131,IF('Your Debts'!$G$7=0,0,INDEX('Your Debts'!$D$5:$D$12,'Your Debts'!$G$7)))</f>
        <v/>
      </c>
      <c r="P131" s="28">
        <f>O131+MIN((Q130)+N131-O131,MAX(0,$E131-((H131-G131)+(L131-K131))))</f>
        <v/>
      </c>
      <c r="Q131" s="28">
        <f>ROUND(MAX(0,(Q130)+N131-P131),2)</f>
        <v/>
      </c>
      <c r="R131" s="28">
        <f>ROUND((U130)*(IF('Your Debts'!$G$8=0,0,INDEX('Your Debts'!$C$5:$C$12,'Your Debts'!$G$8)/12)),2)</f>
        <v/>
      </c>
      <c r="S131" s="28">
        <f>MIN((U130)+R131,IF('Your Debts'!$G$8=0,0,INDEX('Your Debts'!$D$5:$D$12,'Your Debts'!$G$8)))</f>
        <v/>
      </c>
      <c r="T131" s="28">
        <f>S131+MIN((U130)+R131-S131,MAX(0,$E131-((H131-G131)+(L131-K131)+(P131-O131))))</f>
        <v/>
      </c>
      <c r="U131" s="28">
        <f>ROUND(MAX(0,(U130)+R131-T131),2)</f>
        <v/>
      </c>
      <c r="V131" s="28">
        <f>ROUND((Y130)*(IF('Your Debts'!$G$9=0,0,INDEX('Your Debts'!$C$5:$C$12,'Your Debts'!$G$9)/12)),2)</f>
        <v/>
      </c>
      <c r="W131" s="28">
        <f>MIN((Y130)+V131,IF('Your Debts'!$G$9=0,0,INDEX('Your Debts'!$D$5:$D$12,'Your Debts'!$G$9)))</f>
        <v/>
      </c>
      <c r="X131" s="28">
        <f>W131+MIN((Y130)+V131-W131,MAX(0,$E131-((H131-G131)+(L131-K131)+(P131-O131)+(T131-S131))))</f>
        <v/>
      </c>
      <c r="Y131" s="28">
        <f>ROUND(MAX(0,(Y130)+V131-X131),2)</f>
        <v/>
      </c>
      <c r="Z131" s="28">
        <f>ROUND((AC130)*(IF('Your Debts'!$G$10=0,0,INDEX('Your Debts'!$C$5:$C$12,'Your Debts'!$G$10)/12)),2)</f>
        <v/>
      </c>
      <c r="AA131" s="28">
        <f>MIN((AC130)+Z131,IF('Your Debts'!$G$10=0,0,INDEX('Your Debts'!$D$5:$D$12,'Your Debts'!$G$10)))</f>
        <v/>
      </c>
      <c r="AB131" s="28">
        <f>AA131+MIN((AC130)+Z131-AA131,MAX(0,$E131-((H131-G131)+(L131-K131)+(P131-O131)+(T131-S131)+(X131-W131))))</f>
        <v/>
      </c>
      <c r="AC131" s="28">
        <f>ROUND(MAX(0,(AC130)+Z131-AB131),2)</f>
        <v/>
      </c>
      <c r="AD131" s="28">
        <f>ROUND((AG130)*(IF('Your Debts'!$G$11=0,0,INDEX('Your Debts'!$C$5:$C$12,'Your Debts'!$G$11)/12)),2)</f>
        <v/>
      </c>
      <c r="AE131" s="28">
        <f>MIN((AG130)+AD131,IF('Your Debts'!$G$11=0,0,INDEX('Your Debts'!$D$5:$D$12,'Your Debts'!$G$11)))</f>
        <v/>
      </c>
      <c r="AF131" s="28">
        <f>AE131+MIN((AG130)+AD131-AE131,MAX(0,$E131-((H131-G131)+(L131-K131)+(P131-O131)+(T131-S131)+(X131-W131)+(AB131-AA131))))</f>
        <v/>
      </c>
      <c r="AG131" s="28">
        <f>ROUND(MAX(0,(AG130)+AD131-AF131),2)</f>
        <v/>
      </c>
      <c r="AH131" s="28">
        <f>ROUND((AK130)*(IF('Your Debts'!$G$12=0,0,INDEX('Your Debts'!$C$5:$C$12,'Your Debts'!$G$12)/12)),2)</f>
        <v/>
      </c>
      <c r="AI131" s="28">
        <f>MIN((AK130)+AH131,IF('Your Debts'!$G$12=0,0,INDEX('Your Debts'!$D$5:$D$12,'Your Debts'!$G$12)))</f>
        <v/>
      </c>
      <c r="AJ131" s="28">
        <f>AI131+MIN((AK130)+AH131-AI131,MAX(0,$E131-((H131-G131)+(L131-K131)+(P131-O131)+(T131-S131)+(X131-W131)+(AB131-AA131)+(AF131-AE131))))</f>
        <v/>
      </c>
      <c r="AK131" s="28">
        <f>ROUND(MAX(0,(AK130)+AH131-AJ131),2)</f>
        <v/>
      </c>
      <c r="AL131" s="18">
        <f>I131+M131+Q131+U131+Y131+AC131+AG131+AK131</f>
        <v/>
      </c>
      <c r="AM131" s="27">
        <f>AM130+F131+J131+N131+R131+V131+Z131+AD131+AH131</f>
        <v/>
      </c>
    </row>
    <row r="132">
      <c r="A132" s="25" t="n">
        <v>127</v>
      </c>
      <c r="B132" s="26">
        <f>EDATE('Your Debts'!$B$19,126)</f>
        <v/>
      </c>
      <c r="C132" s="27">
        <f>'Your Debts'!$B$18</f>
        <v/>
      </c>
      <c r="D132" s="27">
        <f>G132+K132+O132+S132+W132+AA132+AE132+AI132</f>
        <v/>
      </c>
      <c r="E132" s="27">
        <f>MAX(0,C132-D132)</f>
        <v/>
      </c>
      <c r="F132" s="28">
        <f>ROUND((I131)*(IF('Your Debts'!$G$5=0,0,INDEX('Your Debts'!$C$5:$C$12,'Your Debts'!$G$5)/12)),2)</f>
        <v/>
      </c>
      <c r="G132" s="28">
        <f>MIN((I131)+F132,IF('Your Debts'!$G$5=0,0,INDEX('Your Debts'!$D$5:$D$12,'Your Debts'!$G$5)))</f>
        <v/>
      </c>
      <c r="H132" s="28">
        <f>G132+MIN((I131)+F132-G132,MAX(0,$E132-(0)))</f>
        <v/>
      </c>
      <c r="I132" s="28">
        <f>ROUND(MAX(0,(I131)+F132-H132),2)</f>
        <v/>
      </c>
      <c r="J132" s="28">
        <f>ROUND((M131)*(IF('Your Debts'!$G$6=0,0,INDEX('Your Debts'!$C$5:$C$12,'Your Debts'!$G$6)/12)),2)</f>
        <v/>
      </c>
      <c r="K132" s="28">
        <f>MIN((M131)+J132,IF('Your Debts'!$G$6=0,0,INDEX('Your Debts'!$D$5:$D$12,'Your Debts'!$G$6)))</f>
        <v/>
      </c>
      <c r="L132" s="28">
        <f>K132+MIN((M131)+J132-K132,MAX(0,$E132-((H132-G132))))</f>
        <v/>
      </c>
      <c r="M132" s="28">
        <f>ROUND(MAX(0,(M131)+J132-L132),2)</f>
        <v/>
      </c>
      <c r="N132" s="28">
        <f>ROUND((Q131)*(IF('Your Debts'!$G$7=0,0,INDEX('Your Debts'!$C$5:$C$12,'Your Debts'!$G$7)/12)),2)</f>
        <v/>
      </c>
      <c r="O132" s="28">
        <f>MIN((Q131)+N132,IF('Your Debts'!$G$7=0,0,INDEX('Your Debts'!$D$5:$D$12,'Your Debts'!$G$7)))</f>
        <v/>
      </c>
      <c r="P132" s="28">
        <f>O132+MIN((Q131)+N132-O132,MAX(0,$E132-((H132-G132)+(L132-K132))))</f>
        <v/>
      </c>
      <c r="Q132" s="28">
        <f>ROUND(MAX(0,(Q131)+N132-P132),2)</f>
        <v/>
      </c>
      <c r="R132" s="28">
        <f>ROUND((U131)*(IF('Your Debts'!$G$8=0,0,INDEX('Your Debts'!$C$5:$C$12,'Your Debts'!$G$8)/12)),2)</f>
        <v/>
      </c>
      <c r="S132" s="28">
        <f>MIN((U131)+R132,IF('Your Debts'!$G$8=0,0,INDEX('Your Debts'!$D$5:$D$12,'Your Debts'!$G$8)))</f>
        <v/>
      </c>
      <c r="T132" s="28">
        <f>S132+MIN((U131)+R132-S132,MAX(0,$E132-((H132-G132)+(L132-K132)+(P132-O132))))</f>
        <v/>
      </c>
      <c r="U132" s="28">
        <f>ROUND(MAX(0,(U131)+R132-T132),2)</f>
        <v/>
      </c>
      <c r="V132" s="28">
        <f>ROUND((Y131)*(IF('Your Debts'!$G$9=0,0,INDEX('Your Debts'!$C$5:$C$12,'Your Debts'!$G$9)/12)),2)</f>
        <v/>
      </c>
      <c r="W132" s="28">
        <f>MIN((Y131)+V132,IF('Your Debts'!$G$9=0,0,INDEX('Your Debts'!$D$5:$D$12,'Your Debts'!$G$9)))</f>
        <v/>
      </c>
      <c r="X132" s="28">
        <f>W132+MIN((Y131)+V132-W132,MAX(0,$E132-((H132-G132)+(L132-K132)+(P132-O132)+(T132-S132))))</f>
        <v/>
      </c>
      <c r="Y132" s="28">
        <f>ROUND(MAX(0,(Y131)+V132-X132),2)</f>
        <v/>
      </c>
      <c r="Z132" s="28">
        <f>ROUND((AC131)*(IF('Your Debts'!$G$10=0,0,INDEX('Your Debts'!$C$5:$C$12,'Your Debts'!$G$10)/12)),2)</f>
        <v/>
      </c>
      <c r="AA132" s="28">
        <f>MIN((AC131)+Z132,IF('Your Debts'!$G$10=0,0,INDEX('Your Debts'!$D$5:$D$12,'Your Debts'!$G$10)))</f>
        <v/>
      </c>
      <c r="AB132" s="28">
        <f>AA132+MIN((AC131)+Z132-AA132,MAX(0,$E132-((H132-G132)+(L132-K132)+(P132-O132)+(T132-S132)+(X132-W132))))</f>
        <v/>
      </c>
      <c r="AC132" s="28">
        <f>ROUND(MAX(0,(AC131)+Z132-AB132),2)</f>
        <v/>
      </c>
      <c r="AD132" s="28">
        <f>ROUND((AG131)*(IF('Your Debts'!$G$11=0,0,INDEX('Your Debts'!$C$5:$C$12,'Your Debts'!$G$11)/12)),2)</f>
        <v/>
      </c>
      <c r="AE132" s="28">
        <f>MIN((AG131)+AD132,IF('Your Debts'!$G$11=0,0,INDEX('Your Debts'!$D$5:$D$12,'Your Debts'!$G$11)))</f>
        <v/>
      </c>
      <c r="AF132" s="28">
        <f>AE132+MIN((AG131)+AD132-AE132,MAX(0,$E132-((H132-G132)+(L132-K132)+(P132-O132)+(T132-S132)+(X132-W132)+(AB132-AA132))))</f>
        <v/>
      </c>
      <c r="AG132" s="28">
        <f>ROUND(MAX(0,(AG131)+AD132-AF132),2)</f>
        <v/>
      </c>
      <c r="AH132" s="28">
        <f>ROUND((AK131)*(IF('Your Debts'!$G$12=0,0,INDEX('Your Debts'!$C$5:$C$12,'Your Debts'!$G$12)/12)),2)</f>
        <v/>
      </c>
      <c r="AI132" s="28">
        <f>MIN((AK131)+AH132,IF('Your Debts'!$G$12=0,0,INDEX('Your Debts'!$D$5:$D$12,'Your Debts'!$G$12)))</f>
        <v/>
      </c>
      <c r="AJ132" s="28">
        <f>AI132+MIN((AK131)+AH132-AI132,MAX(0,$E132-((H132-G132)+(L132-K132)+(P132-O132)+(T132-S132)+(X132-W132)+(AB132-AA132)+(AF132-AE132))))</f>
        <v/>
      </c>
      <c r="AK132" s="28">
        <f>ROUND(MAX(0,(AK131)+AH132-AJ132),2)</f>
        <v/>
      </c>
      <c r="AL132" s="18">
        <f>I132+M132+Q132+U132+Y132+AC132+AG132+AK132</f>
        <v/>
      </c>
      <c r="AM132" s="27">
        <f>AM131+F132+J132+N132+R132+V132+Z132+AD132+AH132</f>
        <v/>
      </c>
    </row>
    <row r="133">
      <c r="A133" s="25" t="n">
        <v>128</v>
      </c>
      <c r="B133" s="26">
        <f>EDATE('Your Debts'!$B$19,127)</f>
        <v/>
      </c>
      <c r="C133" s="27">
        <f>'Your Debts'!$B$18</f>
        <v/>
      </c>
      <c r="D133" s="27">
        <f>G133+K133+O133+S133+W133+AA133+AE133+AI133</f>
        <v/>
      </c>
      <c r="E133" s="27">
        <f>MAX(0,C133-D133)</f>
        <v/>
      </c>
      <c r="F133" s="28">
        <f>ROUND((I132)*(IF('Your Debts'!$G$5=0,0,INDEX('Your Debts'!$C$5:$C$12,'Your Debts'!$G$5)/12)),2)</f>
        <v/>
      </c>
      <c r="G133" s="28">
        <f>MIN((I132)+F133,IF('Your Debts'!$G$5=0,0,INDEX('Your Debts'!$D$5:$D$12,'Your Debts'!$G$5)))</f>
        <v/>
      </c>
      <c r="H133" s="28">
        <f>G133+MIN((I132)+F133-G133,MAX(0,$E133-(0)))</f>
        <v/>
      </c>
      <c r="I133" s="28">
        <f>ROUND(MAX(0,(I132)+F133-H133),2)</f>
        <v/>
      </c>
      <c r="J133" s="28">
        <f>ROUND((M132)*(IF('Your Debts'!$G$6=0,0,INDEX('Your Debts'!$C$5:$C$12,'Your Debts'!$G$6)/12)),2)</f>
        <v/>
      </c>
      <c r="K133" s="28">
        <f>MIN((M132)+J133,IF('Your Debts'!$G$6=0,0,INDEX('Your Debts'!$D$5:$D$12,'Your Debts'!$G$6)))</f>
        <v/>
      </c>
      <c r="L133" s="28">
        <f>K133+MIN((M132)+J133-K133,MAX(0,$E133-((H133-G133))))</f>
        <v/>
      </c>
      <c r="M133" s="28">
        <f>ROUND(MAX(0,(M132)+J133-L133),2)</f>
        <v/>
      </c>
      <c r="N133" s="28">
        <f>ROUND((Q132)*(IF('Your Debts'!$G$7=0,0,INDEX('Your Debts'!$C$5:$C$12,'Your Debts'!$G$7)/12)),2)</f>
        <v/>
      </c>
      <c r="O133" s="28">
        <f>MIN((Q132)+N133,IF('Your Debts'!$G$7=0,0,INDEX('Your Debts'!$D$5:$D$12,'Your Debts'!$G$7)))</f>
        <v/>
      </c>
      <c r="P133" s="28">
        <f>O133+MIN((Q132)+N133-O133,MAX(0,$E133-((H133-G133)+(L133-K133))))</f>
        <v/>
      </c>
      <c r="Q133" s="28">
        <f>ROUND(MAX(0,(Q132)+N133-P133),2)</f>
        <v/>
      </c>
      <c r="R133" s="28">
        <f>ROUND((U132)*(IF('Your Debts'!$G$8=0,0,INDEX('Your Debts'!$C$5:$C$12,'Your Debts'!$G$8)/12)),2)</f>
        <v/>
      </c>
      <c r="S133" s="28">
        <f>MIN((U132)+R133,IF('Your Debts'!$G$8=0,0,INDEX('Your Debts'!$D$5:$D$12,'Your Debts'!$G$8)))</f>
        <v/>
      </c>
      <c r="T133" s="28">
        <f>S133+MIN((U132)+R133-S133,MAX(0,$E133-((H133-G133)+(L133-K133)+(P133-O133))))</f>
        <v/>
      </c>
      <c r="U133" s="28">
        <f>ROUND(MAX(0,(U132)+R133-T133),2)</f>
        <v/>
      </c>
      <c r="V133" s="28">
        <f>ROUND((Y132)*(IF('Your Debts'!$G$9=0,0,INDEX('Your Debts'!$C$5:$C$12,'Your Debts'!$G$9)/12)),2)</f>
        <v/>
      </c>
      <c r="W133" s="28">
        <f>MIN((Y132)+V133,IF('Your Debts'!$G$9=0,0,INDEX('Your Debts'!$D$5:$D$12,'Your Debts'!$G$9)))</f>
        <v/>
      </c>
      <c r="X133" s="28">
        <f>W133+MIN((Y132)+V133-W133,MAX(0,$E133-((H133-G133)+(L133-K133)+(P133-O133)+(T133-S133))))</f>
        <v/>
      </c>
      <c r="Y133" s="28">
        <f>ROUND(MAX(0,(Y132)+V133-X133),2)</f>
        <v/>
      </c>
      <c r="Z133" s="28">
        <f>ROUND((AC132)*(IF('Your Debts'!$G$10=0,0,INDEX('Your Debts'!$C$5:$C$12,'Your Debts'!$G$10)/12)),2)</f>
        <v/>
      </c>
      <c r="AA133" s="28">
        <f>MIN((AC132)+Z133,IF('Your Debts'!$G$10=0,0,INDEX('Your Debts'!$D$5:$D$12,'Your Debts'!$G$10)))</f>
        <v/>
      </c>
      <c r="AB133" s="28">
        <f>AA133+MIN((AC132)+Z133-AA133,MAX(0,$E133-((H133-G133)+(L133-K133)+(P133-O133)+(T133-S133)+(X133-W133))))</f>
        <v/>
      </c>
      <c r="AC133" s="28">
        <f>ROUND(MAX(0,(AC132)+Z133-AB133),2)</f>
        <v/>
      </c>
      <c r="AD133" s="28">
        <f>ROUND((AG132)*(IF('Your Debts'!$G$11=0,0,INDEX('Your Debts'!$C$5:$C$12,'Your Debts'!$G$11)/12)),2)</f>
        <v/>
      </c>
      <c r="AE133" s="28">
        <f>MIN((AG132)+AD133,IF('Your Debts'!$G$11=0,0,INDEX('Your Debts'!$D$5:$D$12,'Your Debts'!$G$11)))</f>
        <v/>
      </c>
      <c r="AF133" s="28">
        <f>AE133+MIN((AG132)+AD133-AE133,MAX(0,$E133-((H133-G133)+(L133-K133)+(P133-O133)+(T133-S133)+(X133-W133)+(AB133-AA133))))</f>
        <v/>
      </c>
      <c r="AG133" s="28">
        <f>ROUND(MAX(0,(AG132)+AD133-AF133),2)</f>
        <v/>
      </c>
      <c r="AH133" s="28">
        <f>ROUND((AK132)*(IF('Your Debts'!$G$12=0,0,INDEX('Your Debts'!$C$5:$C$12,'Your Debts'!$G$12)/12)),2)</f>
        <v/>
      </c>
      <c r="AI133" s="28">
        <f>MIN((AK132)+AH133,IF('Your Debts'!$G$12=0,0,INDEX('Your Debts'!$D$5:$D$12,'Your Debts'!$G$12)))</f>
        <v/>
      </c>
      <c r="AJ133" s="28">
        <f>AI133+MIN((AK132)+AH133-AI133,MAX(0,$E133-((H133-G133)+(L133-K133)+(P133-O133)+(T133-S133)+(X133-W133)+(AB133-AA133)+(AF133-AE133))))</f>
        <v/>
      </c>
      <c r="AK133" s="28">
        <f>ROUND(MAX(0,(AK132)+AH133-AJ133),2)</f>
        <v/>
      </c>
      <c r="AL133" s="18">
        <f>I133+M133+Q133+U133+Y133+AC133+AG133+AK133</f>
        <v/>
      </c>
      <c r="AM133" s="27">
        <f>AM132+F133+J133+N133+R133+V133+Z133+AD133+AH133</f>
        <v/>
      </c>
    </row>
    <row r="134">
      <c r="A134" s="25" t="n">
        <v>129</v>
      </c>
      <c r="B134" s="26">
        <f>EDATE('Your Debts'!$B$19,128)</f>
        <v/>
      </c>
      <c r="C134" s="27">
        <f>'Your Debts'!$B$18</f>
        <v/>
      </c>
      <c r="D134" s="27">
        <f>G134+K134+O134+S134+W134+AA134+AE134+AI134</f>
        <v/>
      </c>
      <c r="E134" s="27">
        <f>MAX(0,C134-D134)</f>
        <v/>
      </c>
      <c r="F134" s="28">
        <f>ROUND((I133)*(IF('Your Debts'!$G$5=0,0,INDEX('Your Debts'!$C$5:$C$12,'Your Debts'!$G$5)/12)),2)</f>
        <v/>
      </c>
      <c r="G134" s="28">
        <f>MIN((I133)+F134,IF('Your Debts'!$G$5=0,0,INDEX('Your Debts'!$D$5:$D$12,'Your Debts'!$G$5)))</f>
        <v/>
      </c>
      <c r="H134" s="28">
        <f>G134+MIN((I133)+F134-G134,MAX(0,$E134-(0)))</f>
        <v/>
      </c>
      <c r="I134" s="28">
        <f>ROUND(MAX(0,(I133)+F134-H134),2)</f>
        <v/>
      </c>
      <c r="J134" s="28">
        <f>ROUND((M133)*(IF('Your Debts'!$G$6=0,0,INDEX('Your Debts'!$C$5:$C$12,'Your Debts'!$G$6)/12)),2)</f>
        <v/>
      </c>
      <c r="K134" s="28">
        <f>MIN((M133)+J134,IF('Your Debts'!$G$6=0,0,INDEX('Your Debts'!$D$5:$D$12,'Your Debts'!$G$6)))</f>
        <v/>
      </c>
      <c r="L134" s="28">
        <f>K134+MIN((M133)+J134-K134,MAX(0,$E134-((H134-G134))))</f>
        <v/>
      </c>
      <c r="M134" s="28">
        <f>ROUND(MAX(0,(M133)+J134-L134),2)</f>
        <v/>
      </c>
      <c r="N134" s="28">
        <f>ROUND((Q133)*(IF('Your Debts'!$G$7=0,0,INDEX('Your Debts'!$C$5:$C$12,'Your Debts'!$G$7)/12)),2)</f>
        <v/>
      </c>
      <c r="O134" s="28">
        <f>MIN((Q133)+N134,IF('Your Debts'!$G$7=0,0,INDEX('Your Debts'!$D$5:$D$12,'Your Debts'!$G$7)))</f>
        <v/>
      </c>
      <c r="P134" s="28">
        <f>O134+MIN((Q133)+N134-O134,MAX(0,$E134-((H134-G134)+(L134-K134))))</f>
        <v/>
      </c>
      <c r="Q134" s="28">
        <f>ROUND(MAX(0,(Q133)+N134-P134),2)</f>
        <v/>
      </c>
      <c r="R134" s="28">
        <f>ROUND((U133)*(IF('Your Debts'!$G$8=0,0,INDEX('Your Debts'!$C$5:$C$12,'Your Debts'!$G$8)/12)),2)</f>
        <v/>
      </c>
      <c r="S134" s="28">
        <f>MIN((U133)+R134,IF('Your Debts'!$G$8=0,0,INDEX('Your Debts'!$D$5:$D$12,'Your Debts'!$G$8)))</f>
        <v/>
      </c>
      <c r="T134" s="28">
        <f>S134+MIN((U133)+R134-S134,MAX(0,$E134-((H134-G134)+(L134-K134)+(P134-O134))))</f>
        <v/>
      </c>
      <c r="U134" s="28">
        <f>ROUND(MAX(0,(U133)+R134-T134),2)</f>
        <v/>
      </c>
      <c r="V134" s="28">
        <f>ROUND((Y133)*(IF('Your Debts'!$G$9=0,0,INDEX('Your Debts'!$C$5:$C$12,'Your Debts'!$G$9)/12)),2)</f>
        <v/>
      </c>
      <c r="W134" s="28">
        <f>MIN((Y133)+V134,IF('Your Debts'!$G$9=0,0,INDEX('Your Debts'!$D$5:$D$12,'Your Debts'!$G$9)))</f>
        <v/>
      </c>
      <c r="X134" s="28">
        <f>W134+MIN((Y133)+V134-W134,MAX(0,$E134-((H134-G134)+(L134-K134)+(P134-O134)+(T134-S134))))</f>
        <v/>
      </c>
      <c r="Y134" s="28">
        <f>ROUND(MAX(0,(Y133)+V134-X134),2)</f>
        <v/>
      </c>
      <c r="Z134" s="28">
        <f>ROUND((AC133)*(IF('Your Debts'!$G$10=0,0,INDEX('Your Debts'!$C$5:$C$12,'Your Debts'!$G$10)/12)),2)</f>
        <v/>
      </c>
      <c r="AA134" s="28">
        <f>MIN((AC133)+Z134,IF('Your Debts'!$G$10=0,0,INDEX('Your Debts'!$D$5:$D$12,'Your Debts'!$G$10)))</f>
        <v/>
      </c>
      <c r="AB134" s="28">
        <f>AA134+MIN((AC133)+Z134-AA134,MAX(0,$E134-((H134-G134)+(L134-K134)+(P134-O134)+(T134-S134)+(X134-W134))))</f>
        <v/>
      </c>
      <c r="AC134" s="28">
        <f>ROUND(MAX(0,(AC133)+Z134-AB134),2)</f>
        <v/>
      </c>
      <c r="AD134" s="28">
        <f>ROUND((AG133)*(IF('Your Debts'!$G$11=0,0,INDEX('Your Debts'!$C$5:$C$12,'Your Debts'!$G$11)/12)),2)</f>
        <v/>
      </c>
      <c r="AE134" s="28">
        <f>MIN((AG133)+AD134,IF('Your Debts'!$G$11=0,0,INDEX('Your Debts'!$D$5:$D$12,'Your Debts'!$G$11)))</f>
        <v/>
      </c>
      <c r="AF134" s="28">
        <f>AE134+MIN((AG133)+AD134-AE134,MAX(0,$E134-((H134-G134)+(L134-K134)+(P134-O134)+(T134-S134)+(X134-W134)+(AB134-AA134))))</f>
        <v/>
      </c>
      <c r="AG134" s="28">
        <f>ROUND(MAX(0,(AG133)+AD134-AF134),2)</f>
        <v/>
      </c>
      <c r="AH134" s="28">
        <f>ROUND((AK133)*(IF('Your Debts'!$G$12=0,0,INDEX('Your Debts'!$C$5:$C$12,'Your Debts'!$G$12)/12)),2)</f>
        <v/>
      </c>
      <c r="AI134" s="28">
        <f>MIN((AK133)+AH134,IF('Your Debts'!$G$12=0,0,INDEX('Your Debts'!$D$5:$D$12,'Your Debts'!$G$12)))</f>
        <v/>
      </c>
      <c r="AJ134" s="28">
        <f>AI134+MIN((AK133)+AH134-AI134,MAX(0,$E134-((H134-G134)+(L134-K134)+(P134-O134)+(T134-S134)+(X134-W134)+(AB134-AA134)+(AF134-AE134))))</f>
        <v/>
      </c>
      <c r="AK134" s="28">
        <f>ROUND(MAX(0,(AK133)+AH134-AJ134),2)</f>
        <v/>
      </c>
      <c r="AL134" s="18">
        <f>I134+M134+Q134+U134+Y134+AC134+AG134+AK134</f>
        <v/>
      </c>
      <c r="AM134" s="27">
        <f>AM133+F134+J134+N134+R134+V134+Z134+AD134+AH134</f>
        <v/>
      </c>
    </row>
    <row r="135">
      <c r="A135" s="25" t="n">
        <v>130</v>
      </c>
      <c r="B135" s="26">
        <f>EDATE('Your Debts'!$B$19,129)</f>
        <v/>
      </c>
      <c r="C135" s="27">
        <f>'Your Debts'!$B$18</f>
        <v/>
      </c>
      <c r="D135" s="27">
        <f>G135+K135+O135+S135+W135+AA135+AE135+AI135</f>
        <v/>
      </c>
      <c r="E135" s="27">
        <f>MAX(0,C135-D135)</f>
        <v/>
      </c>
      <c r="F135" s="28">
        <f>ROUND((I134)*(IF('Your Debts'!$G$5=0,0,INDEX('Your Debts'!$C$5:$C$12,'Your Debts'!$G$5)/12)),2)</f>
        <v/>
      </c>
      <c r="G135" s="28">
        <f>MIN((I134)+F135,IF('Your Debts'!$G$5=0,0,INDEX('Your Debts'!$D$5:$D$12,'Your Debts'!$G$5)))</f>
        <v/>
      </c>
      <c r="H135" s="28">
        <f>G135+MIN((I134)+F135-G135,MAX(0,$E135-(0)))</f>
        <v/>
      </c>
      <c r="I135" s="28">
        <f>ROUND(MAX(0,(I134)+F135-H135),2)</f>
        <v/>
      </c>
      <c r="J135" s="28">
        <f>ROUND((M134)*(IF('Your Debts'!$G$6=0,0,INDEX('Your Debts'!$C$5:$C$12,'Your Debts'!$G$6)/12)),2)</f>
        <v/>
      </c>
      <c r="K135" s="28">
        <f>MIN((M134)+J135,IF('Your Debts'!$G$6=0,0,INDEX('Your Debts'!$D$5:$D$12,'Your Debts'!$G$6)))</f>
        <v/>
      </c>
      <c r="L135" s="28">
        <f>K135+MIN((M134)+J135-K135,MAX(0,$E135-((H135-G135))))</f>
        <v/>
      </c>
      <c r="M135" s="28">
        <f>ROUND(MAX(0,(M134)+J135-L135),2)</f>
        <v/>
      </c>
      <c r="N135" s="28">
        <f>ROUND((Q134)*(IF('Your Debts'!$G$7=0,0,INDEX('Your Debts'!$C$5:$C$12,'Your Debts'!$G$7)/12)),2)</f>
        <v/>
      </c>
      <c r="O135" s="28">
        <f>MIN((Q134)+N135,IF('Your Debts'!$G$7=0,0,INDEX('Your Debts'!$D$5:$D$12,'Your Debts'!$G$7)))</f>
        <v/>
      </c>
      <c r="P135" s="28">
        <f>O135+MIN((Q134)+N135-O135,MAX(0,$E135-((H135-G135)+(L135-K135))))</f>
        <v/>
      </c>
      <c r="Q135" s="28">
        <f>ROUND(MAX(0,(Q134)+N135-P135),2)</f>
        <v/>
      </c>
      <c r="R135" s="28">
        <f>ROUND((U134)*(IF('Your Debts'!$G$8=0,0,INDEX('Your Debts'!$C$5:$C$12,'Your Debts'!$G$8)/12)),2)</f>
        <v/>
      </c>
      <c r="S135" s="28">
        <f>MIN((U134)+R135,IF('Your Debts'!$G$8=0,0,INDEX('Your Debts'!$D$5:$D$12,'Your Debts'!$G$8)))</f>
        <v/>
      </c>
      <c r="T135" s="28">
        <f>S135+MIN((U134)+R135-S135,MAX(0,$E135-((H135-G135)+(L135-K135)+(P135-O135))))</f>
        <v/>
      </c>
      <c r="U135" s="28">
        <f>ROUND(MAX(0,(U134)+R135-T135),2)</f>
        <v/>
      </c>
      <c r="V135" s="28">
        <f>ROUND((Y134)*(IF('Your Debts'!$G$9=0,0,INDEX('Your Debts'!$C$5:$C$12,'Your Debts'!$G$9)/12)),2)</f>
        <v/>
      </c>
      <c r="W135" s="28">
        <f>MIN((Y134)+V135,IF('Your Debts'!$G$9=0,0,INDEX('Your Debts'!$D$5:$D$12,'Your Debts'!$G$9)))</f>
        <v/>
      </c>
      <c r="X135" s="28">
        <f>W135+MIN((Y134)+V135-W135,MAX(0,$E135-((H135-G135)+(L135-K135)+(P135-O135)+(T135-S135))))</f>
        <v/>
      </c>
      <c r="Y135" s="28">
        <f>ROUND(MAX(0,(Y134)+V135-X135),2)</f>
        <v/>
      </c>
      <c r="Z135" s="28">
        <f>ROUND((AC134)*(IF('Your Debts'!$G$10=0,0,INDEX('Your Debts'!$C$5:$C$12,'Your Debts'!$G$10)/12)),2)</f>
        <v/>
      </c>
      <c r="AA135" s="28">
        <f>MIN((AC134)+Z135,IF('Your Debts'!$G$10=0,0,INDEX('Your Debts'!$D$5:$D$12,'Your Debts'!$G$10)))</f>
        <v/>
      </c>
      <c r="AB135" s="28">
        <f>AA135+MIN((AC134)+Z135-AA135,MAX(0,$E135-((H135-G135)+(L135-K135)+(P135-O135)+(T135-S135)+(X135-W135))))</f>
        <v/>
      </c>
      <c r="AC135" s="28">
        <f>ROUND(MAX(0,(AC134)+Z135-AB135),2)</f>
        <v/>
      </c>
      <c r="AD135" s="28">
        <f>ROUND((AG134)*(IF('Your Debts'!$G$11=0,0,INDEX('Your Debts'!$C$5:$C$12,'Your Debts'!$G$11)/12)),2)</f>
        <v/>
      </c>
      <c r="AE135" s="28">
        <f>MIN((AG134)+AD135,IF('Your Debts'!$G$11=0,0,INDEX('Your Debts'!$D$5:$D$12,'Your Debts'!$G$11)))</f>
        <v/>
      </c>
      <c r="AF135" s="28">
        <f>AE135+MIN((AG134)+AD135-AE135,MAX(0,$E135-((H135-G135)+(L135-K135)+(P135-O135)+(T135-S135)+(X135-W135)+(AB135-AA135))))</f>
        <v/>
      </c>
      <c r="AG135" s="28">
        <f>ROUND(MAX(0,(AG134)+AD135-AF135),2)</f>
        <v/>
      </c>
      <c r="AH135" s="28">
        <f>ROUND((AK134)*(IF('Your Debts'!$G$12=0,0,INDEX('Your Debts'!$C$5:$C$12,'Your Debts'!$G$12)/12)),2)</f>
        <v/>
      </c>
      <c r="AI135" s="28">
        <f>MIN((AK134)+AH135,IF('Your Debts'!$G$12=0,0,INDEX('Your Debts'!$D$5:$D$12,'Your Debts'!$G$12)))</f>
        <v/>
      </c>
      <c r="AJ135" s="28">
        <f>AI135+MIN((AK134)+AH135-AI135,MAX(0,$E135-((H135-G135)+(L135-K135)+(P135-O135)+(T135-S135)+(X135-W135)+(AB135-AA135)+(AF135-AE135))))</f>
        <v/>
      </c>
      <c r="AK135" s="28">
        <f>ROUND(MAX(0,(AK134)+AH135-AJ135),2)</f>
        <v/>
      </c>
      <c r="AL135" s="18">
        <f>I135+M135+Q135+U135+Y135+AC135+AG135+AK135</f>
        <v/>
      </c>
      <c r="AM135" s="27">
        <f>AM134+F135+J135+N135+R135+V135+Z135+AD135+AH135</f>
        <v/>
      </c>
    </row>
    <row r="136">
      <c r="A136" s="25" t="n">
        <v>131</v>
      </c>
      <c r="B136" s="26">
        <f>EDATE('Your Debts'!$B$19,130)</f>
        <v/>
      </c>
      <c r="C136" s="27">
        <f>'Your Debts'!$B$18</f>
        <v/>
      </c>
      <c r="D136" s="27">
        <f>G136+K136+O136+S136+W136+AA136+AE136+AI136</f>
        <v/>
      </c>
      <c r="E136" s="27">
        <f>MAX(0,C136-D136)</f>
        <v/>
      </c>
      <c r="F136" s="28">
        <f>ROUND((I135)*(IF('Your Debts'!$G$5=0,0,INDEX('Your Debts'!$C$5:$C$12,'Your Debts'!$G$5)/12)),2)</f>
        <v/>
      </c>
      <c r="G136" s="28">
        <f>MIN((I135)+F136,IF('Your Debts'!$G$5=0,0,INDEX('Your Debts'!$D$5:$D$12,'Your Debts'!$G$5)))</f>
        <v/>
      </c>
      <c r="H136" s="28">
        <f>G136+MIN((I135)+F136-G136,MAX(0,$E136-(0)))</f>
        <v/>
      </c>
      <c r="I136" s="28">
        <f>ROUND(MAX(0,(I135)+F136-H136),2)</f>
        <v/>
      </c>
      <c r="J136" s="28">
        <f>ROUND((M135)*(IF('Your Debts'!$G$6=0,0,INDEX('Your Debts'!$C$5:$C$12,'Your Debts'!$G$6)/12)),2)</f>
        <v/>
      </c>
      <c r="K136" s="28">
        <f>MIN((M135)+J136,IF('Your Debts'!$G$6=0,0,INDEX('Your Debts'!$D$5:$D$12,'Your Debts'!$G$6)))</f>
        <v/>
      </c>
      <c r="L136" s="28">
        <f>K136+MIN((M135)+J136-K136,MAX(0,$E136-((H136-G136))))</f>
        <v/>
      </c>
      <c r="M136" s="28">
        <f>ROUND(MAX(0,(M135)+J136-L136),2)</f>
        <v/>
      </c>
      <c r="N136" s="28">
        <f>ROUND((Q135)*(IF('Your Debts'!$G$7=0,0,INDEX('Your Debts'!$C$5:$C$12,'Your Debts'!$G$7)/12)),2)</f>
        <v/>
      </c>
      <c r="O136" s="28">
        <f>MIN((Q135)+N136,IF('Your Debts'!$G$7=0,0,INDEX('Your Debts'!$D$5:$D$12,'Your Debts'!$G$7)))</f>
        <v/>
      </c>
      <c r="P136" s="28">
        <f>O136+MIN((Q135)+N136-O136,MAX(0,$E136-((H136-G136)+(L136-K136))))</f>
        <v/>
      </c>
      <c r="Q136" s="28">
        <f>ROUND(MAX(0,(Q135)+N136-P136),2)</f>
        <v/>
      </c>
      <c r="R136" s="28">
        <f>ROUND((U135)*(IF('Your Debts'!$G$8=0,0,INDEX('Your Debts'!$C$5:$C$12,'Your Debts'!$G$8)/12)),2)</f>
        <v/>
      </c>
      <c r="S136" s="28">
        <f>MIN((U135)+R136,IF('Your Debts'!$G$8=0,0,INDEX('Your Debts'!$D$5:$D$12,'Your Debts'!$G$8)))</f>
        <v/>
      </c>
      <c r="T136" s="28">
        <f>S136+MIN((U135)+R136-S136,MAX(0,$E136-((H136-G136)+(L136-K136)+(P136-O136))))</f>
        <v/>
      </c>
      <c r="U136" s="28">
        <f>ROUND(MAX(0,(U135)+R136-T136),2)</f>
        <v/>
      </c>
      <c r="V136" s="28">
        <f>ROUND((Y135)*(IF('Your Debts'!$G$9=0,0,INDEX('Your Debts'!$C$5:$C$12,'Your Debts'!$G$9)/12)),2)</f>
        <v/>
      </c>
      <c r="W136" s="28">
        <f>MIN((Y135)+V136,IF('Your Debts'!$G$9=0,0,INDEX('Your Debts'!$D$5:$D$12,'Your Debts'!$G$9)))</f>
        <v/>
      </c>
      <c r="X136" s="28">
        <f>W136+MIN((Y135)+V136-W136,MAX(0,$E136-((H136-G136)+(L136-K136)+(P136-O136)+(T136-S136))))</f>
        <v/>
      </c>
      <c r="Y136" s="28">
        <f>ROUND(MAX(0,(Y135)+V136-X136),2)</f>
        <v/>
      </c>
      <c r="Z136" s="28">
        <f>ROUND((AC135)*(IF('Your Debts'!$G$10=0,0,INDEX('Your Debts'!$C$5:$C$12,'Your Debts'!$G$10)/12)),2)</f>
        <v/>
      </c>
      <c r="AA136" s="28">
        <f>MIN((AC135)+Z136,IF('Your Debts'!$G$10=0,0,INDEX('Your Debts'!$D$5:$D$12,'Your Debts'!$G$10)))</f>
        <v/>
      </c>
      <c r="AB136" s="28">
        <f>AA136+MIN((AC135)+Z136-AA136,MAX(0,$E136-((H136-G136)+(L136-K136)+(P136-O136)+(T136-S136)+(X136-W136))))</f>
        <v/>
      </c>
      <c r="AC136" s="28">
        <f>ROUND(MAX(0,(AC135)+Z136-AB136),2)</f>
        <v/>
      </c>
      <c r="AD136" s="28">
        <f>ROUND((AG135)*(IF('Your Debts'!$G$11=0,0,INDEX('Your Debts'!$C$5:$C$12,'Your Debts'!$G$11)/12)),2)</f>
        <v/>
      </c>
      <c r="AE136" s="28">
        <f>MIN((AG135)+AD136,IF('Your Debts'!$G$11=0,0,INDEX('Your Debts'!$D$5:$D$12,'Your Debts'!$G$11)))</f>
        <v/>
      </c>
      <c r="AF136" s="28">
        <f>AE136+MIN((AG135)+AD136-AE136,MAX(0,$E136-((H136-G136)+(L136-K136)+(P136-O136)+(T136-S136)+(X136-W136)+(AB136-AA136))))</f>
        <v/>
      </c>
      <c r="AG136" s="28">
        <f>ROUND(MAX(0,(AG135)+AD136-AF136),2)</f>
        <v/>
      </c>
      <c r="AH136" s="28">
        <f>ROUND((AK135)*(IF('Your Debts'!$G$12=0,0,INDEX('Your Debts'!$C$5:$C$12,'Your Debts'!$G$12)/12)),2)</f>
        <v/>
      </c>
      <c r="AI136" s="28">
        <f>MIN((AK135)+AH136,IF('Your Debts'!$G$12=0,0,INDEX('Your Debts'!$D$5:$D$12,'Your Debts'!$G$12)))</f>
        <v/>
      </c>
      <c r="AJ136" s="28">
        <f>AI136+MIN((AK135)+AH136-AI136,MAX(0,$E136-((H136-G136)+(L136-K136)+(P136-O136)+(T136-S136)+(X136-W136)+(AB136-AA136)+(AF136-AE136))))</f>
        <v/>
      </c>
      <c r="AK136" s="28">
        <f>ROUND(MAX(0,(AK135)+AH136-AJ136),2)</f>
        <v/>
      </c>
      <c r="AL136" s="18">
        <f>I136+M136+Q136+U136+Y136+AC136+AG136+AK136</f>
        <v/>
      </c>
      <c r="AM136" s="27">
        <f>AM135+F136+J136+N136+R136+V136+Z136+AD136+AH136</f>
        <v/>
      </c>
    </row>
    <row r="137">
      <c r="A137" s="25" t="n">
        <v>132</v>
      </c>
      <c r="B137" s="26">
        <f>EDATE('Your Debts'!$B$19,131)</f>
        <v/>
      </c>
      <c r="C137" s="27">
        <f>'Your Debts'!$B$18</f>
        <v/>
      </c>
      <c r="D137" s="27">
        <f>G137+K137+O137+S137+W137+AA137+AE137+AI137</f>
        <v/>
      </c>
      <c r="E137" s="27">
        <f>MAX(0,C137-D137)</f>
        <v/>
      </c>
      <c r="F137" s="28">
        <f>ROUND((I136)*(IF('Your Debts'!$G$5=0,0,INDEX('Your Debts'!$C$5:$C$12,'Your Debts'!$G$5)/12)),2)</f>
        <v/>
      </c>
      <c r="G137" s="28">
        <f>MIN((I136)+F137,IF('Your Debts'!$G$5=0,0,INDEX('Your Debts'!$D$5:$D$12,'Your Debts'!$G$5)))</f>
        <v/>
      </c>
      <c r="H137" s="28">
        <f>G137+MIN((I136)+F137-G137,MAX(0,$E137-(0)))</f>
        <v/>
      </c>
      <c r="I137" s="28">
        <f>ROUND(MAX(0,(I136)+F137-H137),2)</f>
        <v/>
      </c>
      <c r="J137" s="28">
        <f>ROUND((M136)*(IF('Your Debts'!$G$6=0,0,INDEX('Your Debts'!$C$5:$C$12,'Your Debts'!$G$6)/12)),2)</f>
        <v/>
      </c>
      <c r="K137" s="28">
        <f>MIN((M136)+J137,IF('Your Debts'!$G$6=0,0,INDEX('Your Debts'!$D$5:$D$12,'Your Debts'!$G$6)))</f>
        <v/>
      </c>
      <c r="L137" s="28">
        <f>K137+MIN((M136)+J137-K137,MAX(0,$E137-((H137-G137))))</f>
        <v/>
      </c>
      <c r="M137" s="28">
        <f>ROUND(MAX(0,(M136)+J137-L137),2)</f>
        <v/>
      </c>
      <c r="N137" s="28">
        <f>ROUND((Q136)*(IF('Your Debts'!$G$7=0,0,INDEX('Your Debts'!$C$5:$C$12,'Your Debts'!$G$7)/12)),2)</f>
        <v/>
      </c>
      <c r="O137" s="28">
        <f>MIN((Q136)+N137,IF('Your Debts'!$G$7=0,0,INDEX('Your Debts'!$D$5:$D$12,'Your Debts'!$G$7)))</f>
        <v/>
      </c>
      <c r="P137" s="28">
        <f>O137+MIN((Q136)+N137-O137,MAX(0,$E137-((H137-G137)+(L137-K137))))</f>
        <v/>
      </c>
      <c r="Q137" s="28">
        <f>ROUND(MAX(0,(Q136)+N137-P137),2)</f>
        <v/>
      </c>
      <c r="R137" s="28">
        <f>ROUND((U136)*(IF('Your Debts'!$G$8=0,0,INDEX('Your Debts'!$C$5:$C$12,'Your Debts'!$G$8)/12)),2)</f>
        <v/>
      </c>
      <c r="S137" s="28">
        <f>MIN((U136)+R137,IF('Your Debts'!$G$8=0,0,INDEX('Your Debts'!$D$5:$D$12,'Your Debts'!$G$8)))</f>
        <v/>
      </c>
      <c r="T137" s="28">
        <f>S137+MIN((U136)+R137-S137,MAX(0,$E137-((H137-G137)+(L137-K137)+(P137-O137))))</f>
        <v/>
      </c>
      <c r="U137" s="28">
        <f>ROUND(MAX(0,(U136)+R137-T137),2)</f>
        <v/>
      </c>
      <c r="V137" s="28">
        <f>ROUND((Y136)*(IF('Your Debts'!$G$9=0,0,INDEX('Your Debts'!$C$5:$C$12,'Your Debts'!$G$9)/12)),2)</f>
        <v/>
      </c>
      <c r="W137" s="28">
        <f>MIN((Y136)+V137,IF('Your Debts'!$G$9=0,0,INDEX('Your Debts'!$D$5:$D$12,'Your Debts'!$G$9)))</f>
        <v/>
      </c>
      <c r="X137" s="28">
        <f>W137+MIN((Y136)+V137-W137,MAX(0,$E137-((H137-G137)+(L137-K137)+(P137-O137)+(T137-S137))))</f>
        <v/>
      </c>
      <c r="Y137" s="28">
        <f>ROUND(MAX(0,(Y136)+V137-X137),2)</f>
        <v/>
      </c>
      <c r="Z137" s="28">
        <f>ROUND((AC136)*(IF('Your Debts'!$G$10=0,0,INDEX('Your Debts'!$C$5:$C$12,'Your Debts'!$G$10)/12)),2)</f>
        <v/>
      </c>
      <c r="AA137" s="28">
        <f>MIN((AC136)+Z137,IF('Your Debts'!$G$10=0,0,INDEX('Your Debts'!$D$5:$D$12,'Your Debts'!$G$10)))</f>
        <v/>
      </c>
      <c r="AB137" s="28">
        <f>AA137+MIN((AC136)+Z137-AA137,MAX(0,$E137-((H137-G137)+(L137-K137)+(P137-O137)+(T137-S137)+(X137-W137))))</f>
        <v/>
      </c>
      <c r="AC137" s="28">
        <f>ROUND(MAX(0,(AC136)+Z137-AB137),2)</f>
        <v/>
      </c>
      <c r="AD137" s="28">
        <f>ROUND((AG136)*(IF('Your Debts'!$G$11=0,0,INDEX('Your Debts'!$C$5:$C$12,'Your Debts'!$G$11)/12)),2)</f>
        <v/>
      </c>
      <c r="AE137" s="28">
        <f>MIN((AG136)+AD137,IF('Your Debts'!$G$11=0,0,INDEX('Your Debts'!$D$5:$D$12,'Your Debts'!$G$11)))</f>
        <v/>
      </c>
      <c r="AF137" s="28">
        <f>AE137+MIN((AG136)+AD137-AE137,MAX(0,$E137-((H137-G137)+(L137-K137)+(P137-O137)+(T137-S137)+(X137-W137)+(AB137-AA137))))</f>
        <v/>
      </c>
      <c r="AG137" s="28">
        <f>ROUND(MAX(0,(AG136)+AD137-AF137),2)</f>
        <v/>
      </c>
      <c r="AH137" s="28">
        <f>ROUND((AK136)*(IF('Your Debts'!$G$12=0,0,INDEX('Your Debts'!$C$5:$C$12,'Your Debts'!$G$12)/12)),2)</f>
        <v/>
      </c>
      <c r="AI137" s="28">
        <f>MIN((AK136)+AH137,IF('Your Debts'!$G$12=0,0,INDEX('Your Debts'!$D$5:$D$12,'Your Debts'!$G$12)))</f>
        <v/>
      </c>
      <c r="AJ137" s="28">
        <f>AI137+MIN((AK136)+AH137-AI137,MAX(0,$E137-((H137-G137)+(L137-K137)+(P137-O137)+(T137-S137)+(X137-W137)+(AB137-AA137)+(AF137-AE137))))</f>
        <v/>
      </c>
      <c r="AK137" s="28">
        <f>ROUND(MAX(0,(AK136)+AH137-AJ137),2)</f>
        <v/>
      </c>
      <c r="AL137" s="18">
        <f>I137+M137+Q137+U137+Y137+AC137+AG137+AK137</f>
        <v/>
      </c>
      <c r="AM137" s="27">
        <f>AM136+F137+J137+N137+R137+V137+Z137+AD137+AH137</f>
        <v/>
      </c>
    </row>
    <row r="138">
      <c r="A138" s="25" t="n">
        <v>133</v>
      </c>
      <c r="B138" s="26">
        <f>EDATE('Your Debts'!$B$19,132)</f>
        <v/>
      </c>
      <c r="C138" s="27">
        <f>'Your Debts'!$B$18</f>
        <v/>
      </c>
      <c r="D138" s="27">
        <f>G138+K138+O138+S138+W138+AA138+AE138+AI138</f>
        <v/>
      </c>
      <c r="E138" s="27">
        <f>MAX(0,C138-D138)</f>
        <v/>
      </c>
      <c r="F138" s="28">
        <f>ROUND((I137)*(IF('Your Debts'!$G$5=0,0,INDEX('Your Debts'!$C$5:$C$12,'Your Debts'!$G$5)/12)),2)</f>
        <v/>
      </c>
      <c r="G138" s="28">
        <f>MIN((I137)+F138,IF('Your Debts'!$G$5=0,0,INDEX('Your Debts'!$D$5:$D$12,'Your Debts'!$G$5)))</f>
        <v/>
      </c>
      <c r="H138" s="28">
        <f>G138+MIN((I137)+F138-G138,MAX(0,$E138-(0)))</f>
        <v/>
      </c>
      <c r="I138" s="28">
        <f>ROUND(MAX(0,(I137)+F138-H138),2)</f>
        <v/>
      </c>
      <c r="J138" s="28">
        <f>ROUND((M137)*(IF('Your Debts'!$G$6=0,0,INDEX('Your Debts'!$C$5:$C$12,'Your Debts'!$G$6)/12)),2)</f>
        <v/>
      </c>
      <c r="K138" s="28">
        <f>MIN((M137)+J138,IF('Your Debts'!$G$6=0,0,INDEX('Your Debts'!$D$5:$D$12,'Your Debts'!$G$6)))</f>
        <v/>
      </c>
      <c r="L138" s="28">
        <f>K138+MIN((M137)+J138-K138,MAX(0,$E138-((H138-G138))))</f>
        <v/>
      </c>
      <c r="M138" s="28">
        <f>ROUND(MAX(0,(M137)+J138-L138),2)</f>
        <v/>
      </c>
      <c r="N138" s="28">
        <f>ROUND((Q137)*(IF('Your Debts'!$G$7=0,0,INDEX('Your Debts'!$C$5:$C$12,'Your Debts'!$G$7)/12)),2)</f>
        <v/>
      </c>
      <c r="O138" s="28">
        <f>MIN((Q137)+N138,IF('Your Debts'!$G$7=0,0,INDEX('Your Debts'!$D$5:$D$12,'Your Debts'!$G$7)))</f>
        <v/>
      </c>
      <c r="P138" s="28">
        <f>O138+MIN((Q137)+N138-O138,MAX(0,$E138-((H138-G138)+(L138-K138))))</f>
        <v/>
      </c>
      <c r="Q138" s="28">
        <f>ROUND(MAX(0,(Q137)+N138-P138),2)</f>
        <v/>
      </c>
      <c r="R138" s="28">
        <f>ROUND((U137)*(IF('Your Debts'!$G$8=0,0,INDEX('Your Debts'!$C$5:$C$12,'Your Debts'!$G$8)/12)),2)</f>
        <v/>
      </c>
      <c r="S138" s="28">
        <f>MIN((U137)+R138,IF('Your Debts'!$G$8=0,0,INDEX('Your Debts'!$D$5:$D$12,'Your Debts'!$G$8)))</f>
        <v/>
      </c>
      <c r="T138" s="28">
        <f>S138+MIN((U137)+R138-S138,MAX(0,$E138-((H138-G138)+(L138-K138)+(P138-O138))))</f>
        <v/>
      </c>
      <c r="U138" s="28">
        <f>ROUND(MAX(0,(U137)+R138-T138),2)</f>
        <v/>
      </c>
      <c r="V138" s="28">
        <f>ROUND((Y137)*(IF('Your Debts'!$G$9=0,0,INDEX('Your Debts'!$C$5:$C$12,'Your Debts'!$G$9)/12)),2)</f>
        <v/>
      </c>
      <c r="W138" s="28">
        <f>MIN((Y137)+V138,IF('Your Debts'!$G$9=0,0,INDEX('Your Debts'!$D$5:$D$12,'Your Debts'!$G$9)))</f>
        <v/>
      </c>
      <c r="X138" s="28">
        <f>W138+MIN((Y137)+V138-W138,MAX(0,$E138-((H138-G138)+(L138-K138)+(P138-O138)+(T138-S138))))</f>
        <v/>
      </c>
      <c r="Y138" s="28">
        <f>ROUND(MAX(0,(Y137)+V138-X138),2)</f>
        <v/>
      </c>
      <c r="Z138" s="28">
        <f>ROUND((AC137)*(IF('Your Debts'!$G$10=0,0,INDEX('Your Debts'!$C$5:$C$12,'Your Debts'!$G$10)/12)),2)</f>
        <v/>
      </c>
      <c r="AA138" s="28">
        <f>MIN((AC137)+Z138,IF('Your Debts'!$G$10=0,0,INDEX('Your Debts'!$D$5:$D$12,'Your Debts'!$G$10)))</f>
        <v/>
      </c>
      <c r="AB138" s="28">
        <f>AA138+MIN((AC137)+Z138-AA138,MAX(0,$E138-((H138-G138)+(L138-K138)+(P138-O138)+(T138-S138)+(X138-W138))))</f>
        <v/>
      </c>
      <c r="AC138" s="28">
        <f>ROUND(MAX(0,(AC137)+Z138-AB138),2)</f>
        <v/>
      </c>
      <c r="AD138" s="28">
        <f>ROUND((AG137)*(IF('Your Debts'!$G$11=0,0,INDEX('Your Debts'!$C$5:$C$12,'Your Debts'!$G$11)/12)),2)</f>
        <v/>
      </c>
      <c r="AE138" s="28">
        <f>MIN((AG137)+AD138,IF('Your Debts'!$G$11=0,0,INDEX('Your Debts'!$D$5:$D$12,'Your Debts'!$G$11)))</f>
        <v/>
      </c>
      <c r="AF138" s="28">
        <f>AE138+MIN((AG137)+AD138-AE138,MAX(0,$E138-((H138-G138)+(L138-K138)+(P138-O138)+(T138-S138)+(X138-W138)+(AB138-AA138))))</f>
        <v/>
      </c>
      <c r="AG138" s="28">
        <f>ROUND(MAX(0,(AG137)+AD138-AF138),2)</f>
        <v/>
      </c>
      <c r="AH138" s="28">
        <f>ROUND((AK137)*(IF('Your Debts'!$G$12=0,0,INDEX('Your Debts'!$C$5:$C$12,'Your Debts'!$G$12)/12)),2)</f>
        <v/>
      </c>
      <c r="AI138" s="28">
        <f>MIN((AK137)+AH138,IF('Your Debts'!$G$12=0,0,INDEX('Your Debts'!$D$5:$D$12,'Your Debts'!$G$12)))</f>
        <v/>
      </c>
      <c r="AJ138" s="28">
        <f>AI138+MIN((AK137)+AH138-AI138,MAX(0,$E138-((H138-G138)+(L138-K138)+(P138-O138)+(T138-S138)+(X138-W138)+(AB138-AA138)+(AF138-AE138))))</f>
        <v/>
      </c>
      <c r="AK138" s="28">
        <f>ROUND(MAX(0,(AK137)+AH138-AJ138),2)</f>
        <v/>
      </c>
      <c r="AL138" s="18">
        <f>I138+M138+Q138+U138+Y138+AC138+AG138+AK138</f>
        <v/>
      </c>
      <c r="AM138" s="27">
        <f>AM137+F138+J138+N138+R138+V138+Z138+AD138+AH138</f>
        <v/>
      </c>
    </row>
    <row r="139">
      <c r="A139" s="25" t="n">
        <v>134</v>
      </c>
      <c r="B139" s="26">
        <f>EDATE('Your Debts'!$B$19,133)</f>
        <v/>
      </c>
      <c r="C139" s="27">
        <f>'Your Debts'!$B$18</f>
        <v/>
      </c>
      <c r="D139" s="27">
        <f>G139+K139+O139+S139+W139+AA139+AE139+AI139</f>
        <v/>
      </c>
      <c r="E139" s="27">
        <f>MAX(0,C139-D139)</f>
        <v/>
      </c>
      <c r="F139" s="28">
        <f>ROUND((I138)*(IF('Your Debts'!$G$5=0,0,INDEX('Your Debts'!$C$5:$C$12,'Your Debts'!$G$5)/12)),2)</f>
        <v/>
      </c>
      <c r="G139" s="28">
        <f>MIN((I138)+F139,IF('Your Debts'!$G$5=0,0,INDEX('Your Debts'!$D$5:$D$12,'Your Debts'!$G$5)))</f>
        <v/>
      </c>
      <c r="H139" s="28">
        <f>G139+MIN((I138)+F139-G139,MAX(0,$E139-(0)))</f>
        <v/>
      </c>
      <c r="I139" s="28">
        <f>ROUND(MAX(0,(I138)+F139-H139),2)</f>
        <v/>
      </c>
      <c r="J139" s="28">
        <f>ROUND((M138)*(IF('Your Debts'!$G$6=0,0,INDEX('Your Debts'!$C$5:$C$12,'Your Debts'!$G$6)/12)),2)</f>
        <v/>
      </c>
      <c r="K139" s="28">
        <f>MIN((M138)+J139,IF('Your Debts'!$G$6=0,0,INDEX('Your Debts'!$D$5:$D$12,'Your Debts'!$G$6)))</f>
        <v/>
      </c>
      <c r="L139" s="28">
        <f>K139+MIN((M138)+J139-K139,MAX(0,$E139-((H139-G139))))</f>
        <v/>
      </c>
      <c r="M139" s="28">
        <f>ROUND(MAX(0,(M138)+J139-L139),2)</f>
        <v/>
      </c>
      <c r="N139" s="28">
        <f>ROUND((Q138)*(IF('Your Debts'!$G$7=0,0,INDEX('Your Debts'!$C$5:$C$12,'Your Debts'!$G$7)/12)),2)</f>
        <v/>
      </c>
      <c r="O139" s="28">
        <f>MIN((Q138)+N139,IF('Your Debts'!$G$7=0,0,INDEX('Your Debts'!$D$5:$D$12,'Your Debts'!$G$7)))</f>
        <v/>
      </c>
      <c r="P139" s="28">
        <f>O139+MIN((Q138)+N139-O139,MAX(0,$E139-((H139-G139)+(L139-K139))))</f>
        <v/>
      </c>
      <c r="Q139" s="28">
        <f>ROUND(MAX(0,(Q138)+N139-P139),2)</f>
        <v/>
      </c>
      <c r="R139" s="28">
        <f>ROUND((U138)*(IF('Your Debts'!$G$8=0,0,INDEX('Your Debts'!$C$5:$C$12,'Your Debts'!$G$8)/12)),2)</f>
        <v/>
      </c>
      <c r="S139" s="28">
        <f>MIN((U138)+R139,IF('Your Debts'!$G$8=0,0,INDEX('Your Debts'!$D$5:$D$12,'Your Debts'!$G$8)))</f>
        <v/>
      </c>
      <c r="T139" s="28">
        <f>S139+MIN((U138)+R139-S139,MAX(0,$E139-((H139-G139)+(L139-K139)+(P139-O139))))</f>
        <v/>
      </c>
      <c r="U139" s="28">
        <f>ROUND(MAX(0,(U138)+R139-T139),2)</f>
        <v/>
      </c>
      <c r="V139" s="28">
        <f>ROUND((Y138)*(IF('Your Debts'!$G$9=0,0,INDEX('Your Debts'!$C$5:$C$12,'Your Debts'!$G$9)/12)),2)</f>
        <v/>
      </c>
      <c r="W139" s="28">
        <f>MIN((Y138)+V139,IF('Your Debts'!$G$9=0,0,INDEX('Your Debts'!$D$5:$D$12,'Your Debts'!$G$9)))</f>
        <v/>
      </c>
      <c r="X139" s="28">
        <f>W139+MIN((Y138)+V139-W139,MAX(0,$E139-((H139-G139)+(L139-K139)+(P139-O139)+(T139-S139))))</f>
        <v/>
      </c>
      <c r="Y139" s="28">
        <f>ROUND(MAX(0,(Y138)+V139-X139),2)</f>
        <v/>
      </c>
      <c r="Z139" s="28">
        <f>ROUND((AC138)*(IF('Your Debts'!$G$10=0,0,INDEX('Your Debts'!$C$5:$C$12,'Your Debts'!$G$10)/12)),2)</f>
        <v/>
      </c>
      <c r="AA139" s="28">
        <f>MIN((AC138)+Z139,IF('Your Debts'!$G$10=0,0,INDEX('Your Debts'!$D$5:$D$12,'Your Debts'!$G$10)))</f>
        <v/>
      </c>
      <c r="AB139" s="28">
        <f>AA139+MIN((AC138)+Z139-AA139,MAX(0,$E139-((H139-G139)+(L139-K139)+(P139-O139)+(T139-S139)+(X139-W139))))</f>
        <v/>
      </c>
      <c r="AC139" s="28">
        <f>ROUND(MAX(0,(AC138)+Z139-AB139),2)</f>
        <v/>
      </c>
      <c r="AD139" s="28">
        <f>ROUND((AG138)*(IF('Your Debts'!$G$11=0,0,INDEX('Your Debts'!$C$5:$C$12,'Your Debts'!$G$11)/12)),2)</f>
        <v/>
      </c>
      <c r="AE139" s="28">
        <f>MIN((AG138)+AD139,IF('Your Debts'!$G$11=0,0,INDEX('Your Debts'!$D$5:$D$12,'Your Debts'!$G$11)))</f>
        <v/>
      </c>
      <c r="AF139" s="28">
        <f>AE139+MIN((AG138)+AD139-AE139,MAX(0,$E139-((H139-G139)+(L139-K139)+(P139-O139)+(T139-S139)+(X139-W139)+(AB139-AA139))))</f>
        <v/>
      </c>
      <c r="AG139" s="28">
        <f>ROUND(MAX(0,(AG138)+AD139-AF139),2)</f>
        <v/>
      </c>
      <c r="AH139" s="28">
        <f>ROUND((AK138)*(IF('Your Debts'!$G$12=0,0,INDEX('Your Debts'!$C$5:$C$12,'Your Debts'!$G$12)/12)),2)</f>
        <v/>
      </c>
      <c r="AI139" s="28">
        <f>MIN((AK138)+AH139,IF('Your Debts'!$G$12=0,0,INDEX('Your Debts'!$D$5:$D$12,'Your Debts'!$G$12)))</f>
        <v/>
      </c>
      <c r="AJ139" s="28">
        <f>AI139+MIN((AK138)+AH139-AI139,MAX(0,$E139-((H139-G139)+(L139-K139)+(P139-O139)+(T139-S139)+(X139-W139)+(AB139-AA139)+(AF139-AE139))))</f>
        <v/>
      </c>
      <c r="AK139" s="28">
        <f>ROUND(MAX(0,(AK138)+AH139-AJ139),2)</f>
        <v/>
      </c>
      <c r="AL139" s="18">
        <f>I139+M139+Q139+U139+Y139+AC139+AG139+AK139</f>
        <v/>
      </c>
      <c r="AM139" s="27">
        <f>AM138+F139+J139+N139+R139+V139+Z139+AD139+AH139</f>
        <v/>
      </c>
    </row>
    <row r="140">
      <c r="A140" s="25" t="n">
        <v>135</v>
      </c>
      <c r="B140" s="26">
        <f>EDATE('Your Debts'!$B$19,134)</f>
        <v/>
      </c>
      <c r="C140" s="27">
        <f>'Your Debts'!$B$18</f>
        <v/>
      </c>
      <c r="D140" s="27">
        <f>G140+K140+O140+S140+W140+AA140+AE140+AI140</f>
        <v/>
      </c>
      <c r="E140" s="27">
        <f>MAX(0,C140-D140)</f>
        <v/>
      </c>
      <c r="F140" s="28">
        <f>ROUND((I139)*(IF('Your Debts'!$G$5=0,0,INDEX('Your Debts'!$C$5:$C$12,'Your Debts'!$G$5)/12)),2)</f>
        <v/>
      </c>
      <c r="G140" s="28">
        <f>MIN((I139)+F140,IF('Your Debts'!$G$5=0,0,INDEX('Your Debts'!$D$5:$D$12,'Your Debts'!$G$5)))</f>
        <v/>
      </c>
      <c r="H140" s="28">
        <f>G140+MIN((I139)+F140-G140,MAX(0,$E140-(0)))</f>
        <v/>
      </c>
      <c r="I140" s="28">
        <f>ROUND(MAX(0,(I139)+F140-H140),2)</f>
        <v/>
      </c>
      <c r="J140" s="28">
        <f>ROUND((M139)*(IF('Your Debts'!$G$6=0,0,INDEX('Your Debts'!$C$5:$C$12,'Your Debts'!$G$6)/12)),2)</f>
        <v/>
      </c>
      <c r="K140" s="28">
        <f>MIN((M139)+J140,IF('Your Debts'!$G$6=0,0,INDEX('Your Debts'!$D$5:$D$12,'Your Debts'!$G$6)))</f>
        <v/>
      </c>
      <c r="L140" s="28">
        <f>K140+MIN((M139)+J140-K140,MAX(0,$E140-((H140-G140))))</f>
        <v/>
      </c>
      <c r="M140" s="28">
        <f>ROUND(MAX(0,(M139)+J140-L140),2)</f>
        <v/>
      </c>
      <c r="N140" s="28">
        <f>ROUND((Q139)*(IF('Your Debts'!$G$7=0,0,INDEX('Your Debts'!$C$5:$C$12,'Your Debts'!$G$7)/12)),2)</f>
        <v/>
      </c>
      <c r="O140" s="28">
        <f>MIN((Q139)+N140,IF('Your Debts'!$G$7=0,0,INDEX('Your Debts'!$D$5:$D$12,'Your Debts'!$G$7)))</f>
        <v/>
      </c>
      <c r="P140" s="28">
        <f>O140+MIN((Q139)+N140-O140,MAX(0,$E140-((H140-G140)+(L140-K140))))</f>
        <v/>
      </c>
      <c r="Q140" s="28">
        <f>ROUND(MAX(0,(Q139)+N140-P140),2)</f>
        <v/>
      </c>
      <c r="R140" s="28">
        <f>ROUND((U139)*(IF('Your Debts'!$G$8=0,0,INDEX('Your Debts'!$C$5:$C$12,'Your Debts'!$G$8)/12)),2)</f>
        <v/>
      </c>
      <c r="S140" s="28">
        <f>MIN((U139)+R140,IF('Your Debts'!$G$8=0,0,INDEX('Your Debts'!$D$5:$D$12,'Your Debts'!$G$8)))</f>
        <v/>
      </c>
      <c r="T140" s="28">
        <f>S140+MIN((U139)+R140-S140,MAX(0,$E140-((H140-G140)+(L140-K140)+(P140-O140))))</f>
        <v/>
      </c>
      <c r="U140" s="28">
        <f>ROUND(MAX(0,(U139)+R140-T140),2)</f>
        <v/>
      </c>
      <c r="V140" s="28">
        <f>ROUND((Y139)*(IF('Your Debts'!$G$9=0,0,INDEX('Your Debts'!$C$5:$C$12,'Your Debts'!$G$9)/12)),2)</f>
        <v/>
      </c>
      <c r="W140" s="28">
        <f>MIN((Y139)+V140,IF('Your Debts'!$G$9=0,0,INDEX('Your Debts'!$D$5:$D$12,'Your Debts'!$G$9)))</f>
        <v/>
      </c>
      <c r="X140" s="28">
        <f>W140+MIN((Y139)+V140-W140,MAX(0,$E140-((H140-G140)+(L140-K140)+(P140-O140)+(T140-S140))))</f>
        <v/>
      </c>
      <c r="Y140" s="28">
        <f>ROUND(MAX(0,(Y139)+V140-X140),2)</f>
        <v/>
      </c>
      <c r="Z140" s="28">
        <f>ROUND((AC139)*(IF('Your Debts'!$G$10=0,0,INDEX('Your Debts'!$C$5:$C$12,'Your Debts'!$G$10)/12)),2)</f>
        <v/>
      </c>
      <c r="AA140" s="28">
        <f>MIN((AC139)+Z140,IF('Your Debts'!$G$10=0,0,INDEX('Your Debts'!$D$5:$D$12,'Your Debts'!$G$10)))</f>
        <v/>
      </c>
      <c r="AB140" s="28">
        <f>AA140+MIN((AC139)+Z140-AA140,MAX(0,$E140-((H140-G140)+(L140-K140)+(P140-O140)+(T140-S140)+(X140-W140))))</f>
        <v/>
      </c>
      <c r="AC140" s="28">
        <f>ROUND(MAX(0,(AC139)+Z140-AB140),2)</f>
        <v/>
      </c>
      <c r="AD140" s="28">
        <f>ROUND((AG139)*(IF('Your Debts'!$G$11=0,0,INDEX('Your Debts'!$C$5:$C$12,'Your Debts'!$G$11)/12)),2)</f>
        <v/>
      </c>
      <c r="AE140" s="28">
        <f>MIN((AG139)+AD140,IF('Your Debts'!$G$11=0,0,INDEX('Your Debts'!$D$5:$D$12,'Your Debts'!$G$11)))</f>
        <v/>
      </c>
      <c r="AF140" s="28">
        <f>AE140+MIN((AG139)+AD140-AE140,MAX(0,$E140-((H140-G140)+(L140-K140)+(P140-O140)+(T140-S140)+(X140-W140)+(AB140-AA140))))</f>
        <v/>
      </c>
      <c r="AG140" s="28">
        <f>ROUND(MAX(0,(AG139)+AD140-AF140),2)</f>
        <v/>
      </c>
      <c r="AH140" s="28">
        <f>ROUND((AK139)*(IF('Your Debts'!$G$12=0,0,INDEX('Your Debts'!$C$5:$C$12,'Your Debts'!$G$12)/12)),2)</f>
        <v/>
      </c>
      <c r="AI140" s="28">
        <f>MIN((AK139)+AH140,IF('Your Debts'!$G$12=0,0,INDEX('Your Debts'!$D$5:$D$12,'Your Debts'!$G$12)))</f>
        <v/>
      </c>
      <c r="AJ140" s="28">
        <f>AI140+MIN((AK139)+AH140-AI140,MAX(0,$E140-((H140-G140)+(L140-K140)+(P140-O140)+(T140-S140)+(X140-W140)+(AB140-AA140)+(AF140-AE140))))</f>
        <v/>
      </c>
      <c r="AK140" s="28">
        <f>ROUND(MAX(0,(AK139)+AH140-AJ140),2)</f>
        <v/>
      </c>
      <c r="AL140" s="18">
        <f>I140+M140+Q140+U140+Y140+AC140+AG140+AK140</f>
        <v/>
      </c>
      <c r="AM140" s="27">
        <f>AM139+F140+J140+N140+R140+V140+Z140+AD140+AH140</f>
        <v/>
      </c>
    </row>
    <row r="141">
      <c r="A141" s="25" t="n">
        <v>136</v>
      </c>
      <c r="B141" s="26">
        <f>EDATE('Your Debts'!$B$19,135)</f>
        <v/>
      </c>
      <c r="C141" s="27">
        <f>'Your Debts'!$B$18</f>
        <v/>
      </c>
      <c r="D141" s="27">
        <f>G141+K141+O141+S141+W141+AA141+AE141+AI141</f>
        <v/>
      </c>
      <c r="E141" s="27">
        <f>MAX(0,C141-D141)</f>
        <v/>
      </c>
      <c r="F141" s="28">
        <f>ROUND((I140)*(IF('Your Debts'!$G$5=0,0,INDEX('Your Debts'!$C$5:$C$12,'Your Debts'!$G$5)/12)),2)</f>
        <v/>
      </c>
      <c r="G141" s="28">
        <f>MIN((I140)+F141,IF('Your Debts'!$G$5=0,0,INDEX('Your Debts'!$D$5:$D$12,'Your Debts'!$G$5)))</f>
        <v/>
      </c>
      <c r="H141" s="28">
        <f>G141+MIN((I140)+F141-G141,MAX(0,$E141-(0)))</f>
        <v/>
      </c>
      <c r="I141" s="28">
        <f>ROUND(MAX(0,(I140)+F141-H141),2)</f>
        <v/>
      </c>
      <c r="J141" s="28">
        <f>ROUND((M140)*(IF('Your Debts'!$G$6=0,0,INDEX('Your Debts'!$C$5:$C$12,'Your Debts'!$G$6)/12)),2)</f>
        <v/>
      </c>
      <c r="K141" s="28">
        <f>MIN((M140)+J141,IF('Your Debts'!$G$6=0,0,INDEX('Your Debts'!$D$5:$D$12,'Your Debts'!$G$6)))</f>
        <v/>
      </c>
      <c r="L141" s="28">
        <f>K141+MIN((M140)+J141-K141,MAX(0,$E141-((H141-G141))))</f>
        <v/>
      </c>
      <c r="M141" s="28">
        <f>ROUND(MAX(0,(M140)+J141-L141),2)</f>
        <v/>
      </c>
      <c r="N141" s="28">
        <f>ROUND((Q140)*(IF('Your Debts'!$G$7=0,0,INDEX('Your Debts'!$C$5:$C$12,'Your Debts'!$G$7)/12)),2)</f>
        <v/>
      </c>
      <c r="O141" s="28">
        <f>MIN((Q140)+N141,IF('Your Debts'!$G$7=0,0,INDEX('Your Debts'!$D$5:$D$12,'Your Debts'!$G$7)))</f>
        <v/>
      </c>
      <c r="P141" s="28">
        <f>O141+MIN((Q140)+N141-O141,MAX(0,$E141-((H141-G141)+(L141-K141))))</f>
        <v/>
      </c>
      <c r="Q141" s="28">
        <f>ROUND(MAX(0,(Q140)+N141-P141),2)</f>
        <v/>
      </c>
      <c r="R141" s="28">
        <f>ROUND((U140)*(IF('Your Debts'!$G$8=0,0,INDEX('Your Debts'!$C$5:$C$12,'Your Debts'!$G$8)/12)),2)</f>
        <v/>
      </c>
      <c r="S141" s="28">
        <f>MIN((U140)+R141,IF('Your Debts'!$G$8=0,0,INDEX('Your Debts'!$D$5:$D$12,'Your Debts'!$G$8)))</f>
        <v/>
      </c>
      <c r="T141" s="28">
        <f>S141+MIN((U140)+R141-S141,MAX(0,$E141-((H141-G141)+(L141-K141)+(P141-O141))))</f>
        <v/>
      </c>
      <c r="U141" s="28">
        <f>ROUND(MAX(0,(U140)+R141-T141),2)</f>
        <v/>
      </c>
      <c r="V141" s="28">
        <f>ROUND((Y140)*(IF('Your Debts'!$G$9=0,0,INDEX('Your Debts'!$C$5:$C$12,'Your Debts'!$G$9)/12)),2)</f>
        <v/>
      </c>
      <c r="W141" s="28">
        <f>MIN((Y140)+V141,IF('Your Debts'!$G$9=0,0,INDEX('Your Debts'!$D$5:$D$12,'Your Debts'!$G$9)))</f>
        <v/>
      </c>
      <c r="X141" s="28">
        <f>W141+MIN((Y140)+V141-W141,MAX(0,$E141-((H141-G141)+(L141-K141)+(P141-O141)+(T141-S141))))</f>
        <v/>
      </c>
      <c r="Y141" s="28">
        <f>ROUND(MAX(0,(Y140)+V141-X141),2)</f>
        <v/>
      </c>
      <c r="Z141" s="28">
        <f>ROUND((AC140)*(IF('Your Debts'!$G$10=0,0,INDEX('Your Debts'!$C$5:$C$12,'Your Debts'!$G$10)/12)),2)</f>
        <v/>
      </c>
      <c r="AA141" s="28">
        <f>MIN((AC140)+Z141,IF('Your Debts'!$G$10=0,0,INDEX('Your Debts'!$D$5:$D$12,'Your Debts'!$G$10)))</f>
        <v/>
      </c>
      <c r="AB141" s="28">
        <f>AA141+MIN((AC140)+Z141-AA141,MAX(0,$E141-((H141-G141)+(L141-K141)+(P141-O141)+(T141-S141)+(X141-W141))))</f>
        <v/>
      </c>
      <c r="AC141" s="28">
        <f>ROUND(MAX(0,(AC140)+Z141-AB141),2)</f>
        <v/>
      </c>
      <c r="AD141" s="28">
        <f>ROUND((AG140)*(IF('Your Debts'!$G$11=0,0,INDEX('Your Debts'!$C$5:$C$12,'Your Debts'!$G$11)/12)),2)</f>
        <v/>
      </c>
      <c r="AE141" s="28">
        <f>MIN((AG140)+AD141,IF('Your Debts'!$G$11=0,0,INDEX('Your Debts'!$D$5:$D$12,'Your Debts'!$G$11)))</f>
        <v/>
      </c>
      <c r="AF141" s="28">
        <f>AE141+MIN((AG140)+AD141-AE141,MAX(0,$E141-((H141-G141)+(L141-K141)+(P141-O141)+(T141-S141)+(X141-W141)+(AB141-AA141))))</f>
        <v/>
      </c>
      <c r="AG141" s="28">
        <f>ROUND(MAX(0,(AG140)+AD141-AF141),2)</f>
        <v/>
      </c>
      <c r="AH141" s="28">
        <f>ROUND((AK140)*(IF('Your Debts'!$G$12=0,0,INDEX('Your Debts'!$C$5:$C$12,'Your Debts'!$G$12)/12)),2)</f>
        <v/>
      </c>
      <c r="AI141" s="28">
        <f>MIN((AK140)+AH141,IF('Your Debts'!$G$12=0,0,INDEX('Your Debts'!$D$5:$D$12,'Your Debts'!$G$12)))</f>
        <v/>
      </c>
      <c r="AJ141" s="28">
        <f>AI141+MIN((AK140)+AH141-AI141,MAX(0,$E141-((H141-G141)+(L141-K141)+(P141-O141)+(T141-S141)+(X141-W141)+(AB141-AA141)+(AF141-AE141))))</f>
        <v/>
      </c>
      <c r="AK141" s="28">
        <f>ROUND(MAX(0,(AK140)+AH141-AJ141),2)</f>
        <v/>
      </c>
      <c r="AL141" s="18">
        <f>I141+M141+Q141+U141+Y141+AC141+AG141+AK141</f>
        <v/>
      </c>
      <c r="AM141" s="27">
        <f>AM140+F141+J141+N141+R141+V141+Z141+AD141+AH141</f>
        <v/>
      </c>
    </row>
    <row r="142">
      <c r="A142" s="25" t="n">
        <v>137</v>
      </c>
      <c r="B142" s="26">
        <f>EDATE('Your Debts'!$B$19,136)</f>
        <v/>
      </c>
      <c r="C142" s="27">
        <f>'Your Debts'!$B$18</f>
        <v/>
      </c>
      <c r="D142" s="27">
        <f>G142+K142+O142+S142+W142+AA142+AE142+AI142</f>
        <v/>
      </c>
      <c r="E142" s="27">
        <f>MAX(0,C142-D142)</f>
        <v/>
      </c>
      <c r="F142" s="28">
        <f>ROUND((I141)*(IF('Your Debts'!$G$5=0,0,INDEX('Your Debts'!$C$5:$C$12,'Your Debts'!$G$5)/12)),2)</f>
        <v/>
      </c>
      <c r="G142" s="28">
        <f>MIN((I141)+F142,IF('Your Debts'!$G$5=0,0,INDEX('Your Debts'!$D$5:$D$12,'Your Debts'!$G$5)))</f>
        <v/>
      </c>
      <c r="H142" s="28">
        <f>G142+MIN((I141)+F142-G142,MAX(0,$E142-(0)))</f>
        <v/>
      </c>
      <c r="I142" s="28">
        <f>ROUND(MAX(0,(I141)+F142-H142),2)</f>
        <v/>
      </c>
      <c r="J142" s="28">
        <f>ROUND((M141)*(IF('Your Debts'!$G$6=0,0,INDEX('Your Debts'!$C$5:$C$12,'Your Debts'!$G$6)/12)),2)</f>
        <v/>
      </c>
      <c r="K142" s="28">
        <f>MIN((M141)+J142,IF('Your Debts'!$G$6=0,0,INDEX('Your Debts'!$D$5:$D$12,'Your Debts'!$G$6)))</f>
        <v/>
      </c>
      <c r="L142" s="28">
        <f>K142+MIN((M141)+J142-K142,MAX(0,$E142-((H142-G142))))</f>
        <v/>
      </c>
      <c r="M142" s="28">
        <f>ROUND(MAX(0,(M141)+J142-L142),2)</f>
        <v/>
      </c>
      <c r="N142" s="28">
        <f>ROUND((Q141)*(IF('Your Debts'!$G$7=0,0,INDEX('Your Debts'!$C$5:$C$12,'Your Debts'!$G$7)/12)),2)</f>
        <v/>
      </c>
      <c r="O142" s="28">
        <f>MIN((Q141)+N142,IF('Your Debts'!$G$7=0,0,INDEX('Your Debts'!$D$5:$D$12,'Your Debts'!$G$7)))</f>
        <v/>
      </c>
      <c r="P142" s="28">
        <f>O142+MIN((Q141)+N142-O142,MAX(0,$E142-((H142-G142)+(L142-K142))))</f>
        <v/>
      </c>
      <c r="Q142" s="28">
        <f>ROUND(MAX(0,(Q141)+N142-P142),2)</f>
        <v/>
      </c>
      <c r="R142" s="28">
        <f>ROUND((U141)*(IF('Your Debts'!$G$8=0,0,INDEX('Your Debts'!$C$5:$C$12,'Your Debts'!$G$8)/12)),2)</f>
        <v/>
      </c>
      <c r="S142" s="28">
        <f>MIN((U141)+R142,IF('Your Debts'!$G$8=0,0,INDEX('Your Debts'!$D$5:$D$12,'Your Debts'!$G$8)))</f>
        <v/>
      </c>
      <c r="T142" s="28">
        <f>S142+MIN((U141)+R142-S142,MAX(0,$E142-((H142-G142)+(L142-K142)+(P142-O142))))</f>
        <v/>
      </c>
      <c r="U142" s="28">
        <f>ROUND(MAX(0,(U141)+R142-T142),2)</f>
        <v/>
      </c>
      <c r="V142" s="28">
        <f>ROUND((Y141)*(IF('Your Debts'!$G$9=0,0,INDEX('Your Debts'!$C$5:$C$12,'Your Debts'!$G$9)/12)),2)</f>
        <v/>
      </c>
      <c r="W142" s="28">
        <f>MIN((Y141)+V142,IF('Your Debts'!$G$9=0,0,INDEX('Your Debts'!$D$5:$D$12,'Your Debts'!$G$9)))</f>
        <v/>
      </c>
      <c r="X142" s="28">
        <f>W142+MIN((Y141)+V142-W142,MAX(0,$E142-((H142-G142)+(L142-K142)+(P142-O142)+(T142-S142))))</f>
        <v/>
      </c>
      <c r="Y142" s="28">
        <f>ROUND(MAX(0,(Y141)+V142-X142),2)</f>
        <v/>
      </c>
      <c r="Z142" s="28">
        <f>ROUND((AC141)*(IF('Your Debts'!$G$10=0,0,INDEX('Your Debts'!$C$5:$C$12,'Your Debts'!$G$10)/12)),2)</f>
        <v/>
      </c>
      <c r="AA142" s="28">
        <f>MIN((AC141)+Z142,IF('Your Debts'!$G$10=0,0,INDEX('Your Debts'!$D$5:$D$12,'Your Debts'!$G$10)))</f>
        <v/>
      </c>
      <c r="AB142" s="28">
        <f>AA142+MIN((AC141)+Z142-AA142,MAX(0,$E142-((H142-G142)+(L142-K142)+(P142-O142)+(T142-S142)+(X142-W142))))</f>
        <v/>
      </c>
      <c r="AC142" s="28">
        <f>ROUND(MAX(0,(AC141)+Z142-AB142),2)</f>
        <v/>
      </c>
      <c r="AD142" s="28">
        <f>ROUND((AG141)*(IF('Your Debts'!$G$11=0,0,INDEX('Your Debts'!$C$5:$C$12,'Your Debts'!$G$11)/12)),2)</f>
        <v/>
      </c>
      <c r="AE142" s="28">
        <f>MIN((AG141)+AD142,IF('Your Debts'!$G$11=0,0,INDEX('Your Debts'!$D$5:$D$12,'Your Debts'!$G$11)))</f>
        <v/>
      </c>
      <c r="AF142" s="28">
        <f>AE142+MIN((AG141)+AD142-AE142,MAX(0,$E142-((H142-G142)+(L142-K142)+(P142-O142)+(T142-S142)+(X142-W142)+(AB142-AA142))))</f>
        <v/>
      </c>
      <c r="AG142" s="28">
        <f>ROUND(MAX(0,(AG141)+AD142-AF142),2)</f>
        <v/>
      </c>
      <c r="AH142" s="28">
        <f>ROUND((AK141)*(IF('Your Debts'!$G$12=0,0,INDEX('Your Debts'!$C$5:$C$12,'Your Debts'!$G$12)/12)),2)</f>
        <v/>
      </c>
      <c r="AI142" s="28">
        <f>MIN((AK141)+AH142,IF('Your Debts'!$G$12=0,0,INDEX('Your Debts'!$D$5:$D$12,'Your Debts'!$G$12)))</f>
        <v/>
      </c>
      <c r="AJ142" s="28">
        <f>AI142+MIN((AK141)+AH142-AI142,MAX(0,$E142-((H142-G142)+(L142-K142)+(P142-O142)+(T142-S142)+(X142-W142)+(AB142-AA142)+(AF142-AE142))))</f>
        <v/>
      </c>
      <c r="AK142" s="28">
        <f>ROUND(MAX(0,(AK141)+AH142-AJ142),2)</f>
        <v/>
      </c>
      <c r="AL142" s="18">
        <f>I142+M142+Q142+U142+Y142+AC142+AG142+AK142</f>
        <v/>
      </c>
      <c r="AM142" s="27">
        <f>AM141+F142+J142+N142+R142+V142+Z142+AD142+AH142</f>
        <v/>
      </c>
    </row>
    <row r="143">
      <c r="A143" s="25" t="n">
        <v>138</v>
      </c>
      <c r="B143" s="26">
        <f>EDATE('Your Debts'!$B$19,137)</f>
        <v/>
      </c>
      <c r="C143" s="27">
        <f>'Your Debts'!$B$18</f>
        <v/>
      </c>
      <c r="D143" s="27">
        <f>G143+K143+O143+S143+W143+AA143+AE143+AI143</f>
        <v/>
      </c>
      <c r="E143" s="27">
        <f>MAX(0,C143-D143)</f>
        <v/>
      </c>
      <c r="F143" s="28">
        <f>ROUND((I142)*(IF('Your Debts'!$G$5=0,0,INDEX('Your Debts'!$C$5:$C$12,'Your Debts'!$G$5)/12)),2)</f>
        <v/>
      </c>
      <c r="G143" s="28">
        <f>MIN((I142)+F143,IF('Your Debts'!$G$5=0,0,INDEX('Your Debts'!$D$5:$D$12,'Your Debts'!$G$5)))</f>
        <v/>
      </c>
      <c r="H143" s="28">
        <f>G143+MIN((I142)+F143-G143,MAX(0,$E143-(0)))</f>
        <v/>
      </c>
      <c r="I143" s="28">
        <f>ROUND(MAX(0,(I142)+F143-H143),2)</f>
        <v/>
      </c>
      <c r="J143" s="28">
        <f>ROUND((M142)*(IF('Your Debts'!$G$6=0,0,INDEX('Your Debts'!$C$5:$C$12,'Your Debts'!$G$6)/12)),2)</f>
        <v/>
      </c>
      <c r="K143" s="28">
        <f>MIN((M142)+J143,IF('Your Debts'!$G$6=0,0,INDEX('Your Debts'!$D$5:$D$12,'Your Debts'!$G$6)))</f>
        <v/>
      </c>
      <c r="L143" s="28">
        <f>K143+MIN((M142)+J143-K143,MAX(0,$E143-((H143-G143))))</f>
        <v/>
      </c>
      <c r="M143" s="28">
        <f>ROUND(MAX(0,(M142)+J143-L143),2)</f>
        <v/>
      </c>
      <c r="N143" s="28">
        <f>ROUND((Q142)*(IF('Your Debts'!$G$7=0,0,INDEX('Your Debts'!$C$5:$C$12,'Your Debts'!$G$7)/12)),2)</f>
        <v/>
      </c>
      <c r="O143" s="28">
        <f>MIN((Q142)+N143,IF('Your Debts'!$G$7=0,0,INDEX('Your Debts'!$D$5:$D$12,'Your Debts'!$G$7)))</f>
        <v/>
      </c>
      <c r="P143" s="28">
        <f>O143+MIN((Q142)+N143-O143,MAX(0,$E143-((H143-G143)+(L143-K143))))</f>
        <v/>
      </c>
      <c r="Q143" s="28">
        <f>ROUND(MAX(0,(Q142)+N143-P143),2)</f>
        <v/>
      </c>
      <c r="R143" s="28">
        <f>ROUND((U142)*(IF('Your Debts'!$G$8=0,0,INDEX('Your Debts'!$C$5:$C$12,'Your Debts'!$G$8)/12)),2)</f>
        <v/>
      </c>
      <c r="S143" s="28">
        <f>MIN((U142)+R143,IF('Your Debts'!$G$8=0,0,INDEX('Your Debts'!$D$5:$D$12,'Your Debts'!$G$8)))</f>
        <v/>
      </c>
      <c r="T143" s="28">
        <f>S143+MIN((U142)+R143-S143,MAX(0,$E143-((H143-G143)+(L143-K143)+(P143-O143))))</f>
        <v/>
      </c>
      <c r="U143" s="28">
        <f>ROUND(MAX(0,(U142)+R143-T143),2)</f>
        <v/>
      </c>
      <c r="V143" s="28">
        <f>ROUND((Y142)*(IF('Your Debts'!$G$9=0,0,INDEX('Your Debts'!$C$5:$C$12,'Your Debts'!$G$9)/12)),2)</f>
        <v/>
      </c>
      <c r="W143" s="28">
        <f>MIN((Y142)+V143,IF('Your Debts'!$G$9=0,0,INDEX('Your Debts'!$D$5:$D$12,'Your Debts'!$G$9)))</f>
        <v/>
      </c>
      <c r="X143" s="28">
        <f>W143+MIN((Y142)+V143-W143,MAX(0,$E143-((H143-G143)+(L143-K143)+(P143-O143)+(T143-S143))))</f>
        <v/>
      </c>
      <c r="Y143" s="28">
        <f>ROUND(MAX(0,(Y142)+V143-X143),2)</f>
        <v/>
      </c>
      <c r="Z143" s="28">
        <f>ROUND((AC142)*(IF('Your Debts'!$G$10=0,0,INDEX('Your Debts'!$C$5:$C$12,'Your Debts'!$G$10)/12)),2)</f>
        <v/>
      </c>
      <c r="AA143" s="28">
        <f>MIN((AC142)+Z143,IF('Your Debts'!$G$10=0,0,INDEX('Your Debts'!$D$5:$D$12,'Your Debts'!$G$10)))</f>
        <v/>
      </c>
      <c r="AB143" s="28">
        <f>AA143+MIN((AC142)+Z143-AA143,MAX(0,$E143-((H143-G143)+(L143-K143)+(P143-O143)+(T143-S143)+(X143-W143))))</f>
        <v/>
      </c>
      <c r="AC143" s="28">
        <f>ROUND(MAX(0,(AC142)+Z143-AB143),2)</f>
        <v/>
      </c>
      <c r="AD143" s="28">
        <f>ROUND((AG142)*(IF('Your Debts'!$G$11=0,0,INDEX('Your Debts'!$C$5:$C$12,'Your Debts'!$G$11)/12)),2)</f>
        <v/>
      </c>
      <c r="AE143" s="28">
        <f>MIN((AG142)+AD143,IF('Your Debts'!$G$11=0,0,INDEX('Your Debts'!$D$5:$D$12,'Your Debts'!$G$11)))</f>
        <v/>
      </c>
      <c r="AF143" s="28">
        <f>AE143+MIN((AG142)+AD143-AE143,MAX(0,$E143-((H143-G143)+(L143-K143)+(P143-O143)+(T143-S143)+(X143-W143)+(AB143-AA143))))</f>
        <v/>
      </c>
      <c r="AG143" s="28">
        <f>ROUND(MAX(0,(AG142)+AD143-AF143),2)</f>
        <v/>
      </c>
      <c r="AH143" s="28">
        <f>ROUND((AK142)*(IF('Your Debts'!$G$12=0,0,INDEX('Your Debts'!$C$5:$C$12,'Your Debts'!$G$12)/12)),2)</f>
        <v/>
      </c>
      <c r="AI143" s="28">
        <f>MIN((AK142)+AH143,IF('Your Debts'!$G$12=0,0,INDEX('Your Debts'!$D$5:$D$12,'Your Debts'!$G$12)))</f>
        <v/>
      </c>
      <c r="AJ143" s="28">
        <f>AI143+MIN((AK142)+AH143-AI143,MAX(0,$E143-((H143-G143)+(L143-K143)+(P143-O143)+(T143-S143)+(X143-W143)+(AB143-AA143)+(AF143-AE143))))</f>
        <v/>
      </c>
      <c r="AK143" s="28">
        <f>ROUND(MAX(0,(AK142)+AH143-AJ143),2)</f>
        <v/>
      </c>
      <c r="AL143" s="18">
        <f>I143+M143+Q143+U143+Y143+AC143+AG143+AK143</f>
        <v/>
      </c>
      <c r="AM143" s="27">
        <f>AM142+F143+J143+N143+R143+V143+Z143+AD143+AH143</f>
        <v/>
      </c>
    </row>
    <row r="144">
      <c r="A144" s="25" t="n">
        <v>139</v>
      </c>
      <c r="B144" s="26">
        <f>EDATE('Your Debts'!$B$19,138)</f>
        <v/>
      </c>
      <c r="C144" s="27">
        <f>'Your Debts'!$B$18</f>
        <v/>
      </c>
      <c r="D144" s="27">
        <f>G144+K144+O144+S144+W144+AA144+AE144+AI144</f>
        <v/>
      </c>
      <c r="E144" s="27">
        <f>MAX(0,C144-D144)</f>
        <v/>
      </c>
      <c r="F144" s="28">
        <f>ROUND((I143)*(IF('Your Debts'!$G$5=0,0,INDEX('Your Debts'!$C$5:$C$12,'Your Debts'!$G$5)/12)),2)</f>
        <v/>
      </c>
      <c r="G144" s="28">
        <f>MIN((I143)+F144,IF('Your Debts'!$G$5=0,0,INDEX('Your Debts'!$D$5:$D$12,'Your Debts'!$G$5)))</f>
        <v/>
      </c>
      <c r="H144" s="28">
        <f>G144+MIN((I143)+F144-G144,MAX(0,$E144-(0)))</f>
        <v/>
      </c>
      <c r="I144" s="28">
        <f>ROUND(MAX(0,(I143)+F144-H144),2)</f>
        <v/>
      </c>
      <c r="J144" s="28">
        <f>ROUND((M143)*(IF('Your Debts'!$G$6=0,0,INDEX('Your Debts'!$C$5:$C$12,'Your Debts'!$G$6)/12)),2)</f>
        <v/>
      </c>
      <c r="K144" s="28">
        <f>MIN((M143)+J144,IF('Your Debts'!$G$6=0,0,INDEX('Your Debts'!$D$5:$D$12,'Your Debts'!$G$6)))</f>
        <v/>
      </c>
      <c r="L144" s="28">
        <f>K144+MIN((M143)+J144-K144,MAX(0,$E144-((H144-G144))))</f>
        <v/>
      </c>
      <c r="M144" s="28">
        <f>ROUND(MAX(0,(M143)+J144-L144),2)</f>
        <v/>
      </c>
      <c r="N144" s="28">
        <f>ROUND((Q143)*(IF('Your Debts'!$G$7=0,0,INDEX('Your Debts'!$C$5:$C$12,'Your Debts'!$G$7)/12)),2)</f>
        <v/>
      </c>
      <c r="O144" s="28">
        <f>MIN((Q143)+N144,IF('Your Debts'!$G$7=0,0,INDEX('Your Debts'!$D$5:$D$12,'Your Debts'!$G$7)))</f>
        <v/>
      </c>
      <c r="P144" s="28">
        <f>O144+MIN((Q143)+N144-O144,MAX(0,$E144-((H144-G144)+(L144-K144))))</f>
        <v/>
      </c>
      <c r="Q144" s="28">
        <f>ROUND(MAX(0,(Q143)+N144-P144),2)</f>
        <v/>
      </c>
      <c r="R144" s="28">
        <f>ROUND((U143)*(IF('Your Debts'!$G$8=0,0,INDEX('Your Debts'!$C$5:$C$12,'Your Debts'!$G$8)/12)),2)</f>
        <v/>
      </c>
      <c r="S144" s="28">
        <f>MIN((U143)+R144,IF('Your Debts'!$G$8=0,0,INDEX('Your Debts'!$D$5:$D$12,'Your Debts'!$G$8)))</f>
        <v/>
      </c>
      <c r="T144" s="28">
        <f>S144+MIN((U143)+R144-S144,MAX(0,$E144-((H144-G144)+(L144-K144)+(P144-O144))))</f>
        <v/>
      </c>
      <c r="U144" s="28">
        <f>ROUND(MAX(0,(U143)+R144-T144),2)</f>
        <v/>
      </c>
      <c r="V144" s="28">
        <f>ROUND((Y143)*(IF('Your Debts'!$G$9=0,0,INDEX('Your Debts'!$C$5:$C$12,'Your Debts'!$G$9)/12)),2)</f>
        <v/>
      </c>
      <c r="W144" s="28">
        <f>MIN((Y143)+V144,IF('Your Debts'!$G$9=0,0,INDEX('Your Debts'!$D$5:$D$12,'Your Debts'!$G$9)))</f>
        <v/>
      </c>
      <c r="X144" s="28">
        <f>W144+MIN((Y143)+V144-W144,MAX(0,$E144-((H144-G144)+(L144-K144)+(P144-O144)+(T144-S144))))</f>
        <v/>
      </c>
      <c r="Y144" s="28">
        <f>ROUND(MAX(0,(Y143)+V144-X144),2)</f>
        <v/>
      </c>
      <c r="Z144" s="28">
        <f>ROUND((AC143)*(IF('Your Debts'!$G$10=0,0,INDEX('Your Debts'!$C$5:$C$12,'Your Debts'!$G$10)/12)),2)</f>
        <v/>
      </c>
      <c r="AA144" s="28">
        <f>MIN((AC143)+Z144,IF('Your Debts'!$G$10=0,0,INDEX('Your Debts'!$D$5:$D$12,'Your Debts'!$G$10)))</f>
        <v/>
      </c>
      <c r="AB144" s="28">
        <f>AA144+MIN((AC143)+Z144-AA144,MAX(0,$E144-((H144-G144)+(L144-K144)+(P144-O144)+(T144-S144)+(X144-W144))))</f>
        <v/>
      </c>
      <c r="AC144" s="28">
        <f>ROUND(MAX(0,(AC143)+Z144-AB144),2)</f>
        <v/>
      </c>
      <c r="AD144" s="28">
        <f>ROUND((AG143)*(IF('Your Debts'!$G$11=0,0,INDEX('Your Debts'!$C$5:$C$12,'Your Debts'!$G$11)/12)),2)</f>
        <v/>
      </c>
      <c r="AE144" s="28">
        <f>MIN((AG143)+AD144,IF('Your Debts'!$G$11=0,0,INDEX('Your Debts'!$D$5:$D$12,'Your Debts'!$G$11)))</f>
        <v/>
      </c>
      <c r="AF144" s="28">
        <f>AE144+MIN((AG143)+AD144-AE144,MAX(0,$E144-((H144-G144)+(L144-K144)+(P144-O144)+(T144-S144)+(X144-W144)+(AB144-AA144))))</f>
        <v/>
      </c>
      <c r="AG144" s="28">
        <f>ROUND(MAX(0,(AG143)+AD144-AF144),2)</f>
        <v/>
      </c>
      <c r="AH144" s="28">
        <f>ROUND((AK143)*(IF('Your Debts'!$G$12=0,0,INDEX('Your Debts'!$C$5:$C$12,'Your Debts'!$G$12)/12)),2)</f>
        <v/>
      </c>
      <c r="AI144" s="28">
        <f>MIN((AK143)+AH144,IF('Your Debts'!$G$12=0,0,INDEX('Your Debts'!$D$5:$D$12,'Your Debts'!$G$12)))</f>
        <v/>
      </c>
      <c r="AJ144" s="28">
        <f>AI144+MIN((AK143)+AH144-AI144,MAX(0,$E144-((H144-G144)+(L144-K144)+(P144-O144)+(T144-S144)+(X144-W144)+(AB144-AA144)+(AF144-AE144))))</f>
        <v/>
      </c>
      <c r="AK144" s="28">
        <f>ROUND(MAX(0,(AK143)+AH144-AJ144),2)</f>
        <v/>
      </c>
      <c r="AL144" s="18">
        <f>I144+M144+Q144+U144+Y144+AC144+AG144+AK144</f>
        <v/>
      </c>
      <c r="AM144" s="27">
        <f>AM143+F144+J144+N144+R144+V144+Z144+AD144+AH144</f>
        <v/>
      </c>
    </row>
    <row r="145">
      <c r="A145" s="25" t="n">
        <v>140</v>
      </c>
      <c r="B145" s="26">
        <f>EDATE('Your Debts'!$B$19,139)</f>
        <v/>
      </c>
      <c r="C145" s="27">
        <f>'Your Debts'!$B$18</f>
        <v/>
      </c>
      <c r="D145" s="27">
        <f>G145+K145+O145+S145+W145+AA145+AE145+AI145</f>
        <v/>
      </c>
      <c r="E145" s="27">
        <f>MAX(0,C145-D145)</f>
        <v/>
      </c>
      <c r="F145" s="28">
        <f>ROUND((I144)*(IF('Your Debts'!$G$5=0,0,INDEX('Your Debts'!$C$5:$C$12,'Your Debts'!$G$5)/12)),2)</f>
        <v/>
      </c>
      <c r="G145" s="28">
        <f>MIN((I144)+F145,IF('Your Debts'!$G$5=0,0,INDEX('Your Debts'!$D$5:$D$12,'Your Debts'!$G$5)))</f>
        <v/>
      </c>
      <c r="H145" s="28">
        <f>G145+MIN((I144)+F145-G145,MAX(0,$E145-(0)))</f>
        <v/>
      </c>
      <c r="I145" s="28">
        <f>ROUND(MAX(0,(I144)+F145-H145),2)</f>
        <v/>
      </c>
      <c r="J145" s="28">
        <f>ROUND((M144)*(IF('Your Debts'!$G$6=0,0,INDEX('Your Debts'!$C$5:$C$12,'Your Debts'!$G$6)/12)),2)</f>
        <v/>
      </c>
      <c r="K145" s="28">
        <f>MIN((M144)+J145,IF('Your Debts'!$G$6=0,0,INDEX('Your Debts'!$D$5:$D$12,'Your Debts'!$G$6)))</f>
        <v/>
      </c>
      <c r="L145" s="28">
        <f>K145+MIN((M144)+J145-K145,MAX(0,$E145-((H145-G145))))</f>
        <v/>
      </c>
      <c r="M145" s="28">
        <f>ROUND(MAX(0,(M144)+J145-L145),2)</f>
        <v/>
      </c>
      <c r="N145" s="28">
        <f>ROUND((Q144)*(IF('Your Debts'!$G$7=0,0,INDEX('Your Debts'!$C$5:$C$12,'Your Debts'!$G$7)/12)),2)</f>
        <v/>
      </c>
      <c r="O145" s="28">
        <f>MIN((Q144)+N145,IF('Your Debts'!$G$7=0,0,INDEX('Your Debts'!$D$5:$D$12,'Your Debts'!$G$7)))</f>
        <v/>
      </c>
      <c r="P145" s="28">
        <f>O145+MIN((Q144)+N145-O145,MAX(0,$E145-((H145-G145)+(L145-K145))))</f>
        <v/>
      </c>
      <c r="Q145" s="28">
        <f>ROUND(MAX(0,(Q144)+N145-P145),2)</f>
        <v/>
      </c>
      <c r="R145" s="28">
        <f>ROUND((U144)*(IF('Your Debts'!$G$8=0,0,INDEX('Your Debts'!$C$5:$C$12,'Your Debts'!$G$8)/12)),2)</f>
        <v/>
      </c>
      <c r="S145" s="28">
        <f>MIN((U144)+R145,IF('Your Debts'!$G$8=0,0,INDEX('Your Debts'!$D$5:$D$12,'Your Debts'!$G$8)))</f>
        <v/>
      </c>
      <c r="T145" s="28">
        <f>S145+MIN((U144)+R145-S145,MAX(0,$E145-((H145-G145)+(L145-K145)+(P145-O145))))</f>
        <v/>
      </c>
      <c r="U145" s="28">
        <f>ROUND(MAX(0,(U144)+R145-T145),2)</f>
        <v/>
      </c>
      <c r="V145" s="28">
        <f>ROUND((Y144)*(IF('Your Debts'!$G$9=0,0,INDEX('Your Debts'!$C$5:$C$12,'Your Debts'!$G$9)/12)),2)</f>
        <v/>
      </c>
      <c r="W145" s="28">
        <f>MIN((Y144)+V145,IF('Your Debts'!$G$9=0,0,INDEX('Your Debts'!$D$5:$D$12,'Your Debts'!$G$9)))</f>
        <v/>
      </c>
      <c r="X145" s="28">
        <f>W145+MIN((Y144)+V145-W145,MAX(0,$E145-((H145-G145)+(L145-K145)+(P145-O145)+(T145-S145))))</f>
        <v/>
      </c>
      <c r="Y145" s="28">
        <f>ROUND(MAX(0,(Y144)+V145-X145),2)</f>
        <v/>
      </c>
      <c r="Z145" s="28">
        <f>ROUND((AC144)*(IF('Your Debts'!$G$10=0,0,INDEX('Your Debts'!$C$5:$C$12,'Your Debts'!$G$10)/12)),2)</f>
        <v/>
      </c>
      <c r="AA145" s="28">
        <f>MIN((AC144)+Z145,IF('Your Debts'!$G$10=0,0,INDEX('Your Debts'!$D$5:$D$12,'Your Debts'!$G$10)))</f>
        <v/>
      </c>
      <c r="AB145" s="28">
        <f>AA145+MIN((AC144)+Z145-AA145,MAX(0,$E145-((H145-G145)+(L145-K145)+(P145-O145)+(T145-S145)+(X145-W145))))</f>
        <v/>
      </c>
      <c r="AC145" s="28">
        <f>ROUND(MAX(0,(AC144)+Z145-AB145),2)</f>
        <v/>
      </c>
      <c r="AD145" s="28">
        <f>ROUND((AG144)*(IF('Your Debts'!$G$11=0,0,INDEX('Your Debts'!$C$5:$C$12,'Your Debts'!$G$11)/12)),2)</f>
        <v/>
      </c>
      <c r="AE145" s="28">
        <f>MIN((AG144)+AD145,IF('Your Debts'!$G$11=0,0,INDEX('Your Debts'!$D$5:$D$12,'Your Debts'!$G$11)))</f>
        <v/>
      </c>
      <c r="AF145" s="28">
        <f>AE145+MIN((AG144)+AD145-AE145,MAX(0,$E145-((H145-G145)+(L145-K145)+(P145-O145)+(T145-S145)+(X145-W145)+(AB145-AA145))))</f>
        <v/>
      </c>
      <c r="AG145" s="28">
        <f>ROUND(MAX(0,(AG144)+AD145-AF145),2)</f>
        <v/>
      </c>
      <c r="AH145" s="28">
        <f>ROUND((AK144)*(IF('Your Debts'!$G$12=0,0,INDEX('Your Debts'!$C$5:$C$12,'Your Debts'!$G$12)/12)),2)</f>
        <v/>
      </c>
      <c r="AI145" s="28">
        <f>MIN((AK144)+AH145,IF('Your Debts'!$G$12=0,0,INDEX('Your Debts'!$D$5:$D$12,'Your Debts'!$G$12)))</f>
        <v/>
      </c>
      <c r="AJ145" s="28">
        <f>AI145+MIN((AK144)+AH145-AI145,MAX(0,$E145-((H145-G145)+(L145-K145)+(P145-O145)+(T145-S145)+(X145-W145)+(AB145-AA145)+(AF145-AE145))))</f>
        <v/>
      </c>
      <c r="AK145" s="28">
        <f>ROUND(MAX(0,(AK144)+AH145-AJ145),2)</f>
        <v/>
      </c>
      <c r="AL145" s="18">
        <f>I145+M145+Q145+U145+Y145+AC145+AG145+AK145</f>
        <v/>
      </c>
      <c r="AM145" s="27">
        <f>AM144+F145+J145+N145+R145+V145+Z145+AD145+AH145</f>
        <v/>
      </c>
    </row>
    <row r="146">
      <c r="A146" s="25" t="n">
        <v>141</v>
      </c>
      <c r="B146" s="26">
        <f>EDATE('Your Debts'!$B$19,140)</f>
        <v/>
      </c>
      <c r="C146" s="27">
        <f>'Your Debts'!$B$18</f>
        <v/>
      </c>
      <c r="D146" s="27">
        <f>G146+K146+O146+S146+W146+AA146+AE146+AI146</f>
        <v/>
      </c>
      <c r="E146" s="27">
        <f>MAX(0,C146-D146)</f>
        <v/>
      </c>
      <c r="F146" s="28">
        <f>ROUND((I145)*(IF('Your Debts'!$G$5=0,0,INDEX('Your Debts'!$C$5:$C$12,'Your Debts'!$G$5)/12)),2)</f>
        <v/>
      </c>
      <c r="G146" s="28">
        <f>MIN((I145)+F146,IF('Your Debts'!$G$5=0,0,INDEX('Your Debts'!$D$5:$D$12,'Your Debts'!$G$5)))</f>
        <v/>
      </c>
      <c r="H146" s="28">
        <f>G146+MIN((I145)+F146-G146,MAX(0,$E146-(0)))</f>
        <v/>
      </c>
      <c r="I146" s="28">
        <f>ROUND(MAX(0,(I145)+F146-H146),2)</f>
        <v/>
      </c>
      <c r="J146" s="28">
        <f>ROUND((M145)*(IF('Your Debts'!$G$6=0,0,INDEX('Your Debts'!$C$5:$C$12,'Your Debts'!$G$6)/12)),2)</f>
        <v/>
      </c>
      <c r="K146" s="28">
        <f>MIN((M145)+J146,IF('Your Debts'!$G$6=0,0,INDEX('Your Debts'!$D$5:$D$12,'Your Debts'!$G$6)))</f>
        <v/>
      </c>
      <c r="L146" s="28">
        <f>K146+MIN((M145)+J146-K146,MAX(0,$E146-((H146-G146))))</f>
        <v/>
      </c>
      <c r="M146" s="28">
        <f>ROUND(MAX(0,(M145)+J146-L146),2)</f>
        <v/>
      </c>
      <c r="N146" s="28">
        <f>ROUND((Q145)*(IF('Your Debts'!$G$7=0,0,INDEX('Your Debts'!$C$5:$C$12,'Your Debts'!$G$7)/12)),2)</f>
        <v/>
      </c>
      <c r="O146" s="28">
        <f>MIN((Q145)+N146,IF('Your Debts'!$G$7=0,0,INDEX('Your Debts'!$D$5:$D$12,'Your Debts'!$G$7)))</f>
        <v/>
      </c>
      <c r="P146" s="28">
        <f>O146+MIN((Q145)+N146-O146,MAX(0,$E146-((H146-G146)+(L146-K146))))</f>
        <v/>
      </c>
      <c r="Q146" s="28">
        <f>ROUND(MAX(0,(Q145)+N146-P146),2)</f>
        <v/>
      </c>
      <c r="R146" s="28">
        <f>ROUND((U145)*(IF('Your Debts'!$G$8=0,0,INDEX('Your Debts'!$C$5:$C$12,'Your Debts'!$G$8)/12)),2)</f>
        <v/>
      </c>
      <c r="S146" s="28">
        <f>MIN((U145)+R146,IF('Your Debts'!$G$8=0,0,INDEX('Your Debts'!$D$5:$D$12,'Your Debts'!$G$8)))</f>
        <v/>
      </c>
      <c r="T146" s="28">
        <f>S146+MIN((U145)+R146-S146,MAX(0,$E146-((H146-G146)+(L146-K146)+(P146-O146))))</f>
        <v/>
      </c>
      <c r="U146" s="28">
        <f>ROUND(MAX(0,(U145)+R146-T146),2)</f>
        <v/>
      </c>
      <c r="V146" s="28">
        <f>ROUND((Y145)*(IF('Your Debts'!$G$9=0,0,INDEX('Your Debts'!$C$5:$C$12,'Your Debts'!$G$9)/12)),2)</f>
        <v/>
      </c>
      <c r="W146" s="28">
        <f>MIN((Y145)+V146,IF('Your Debts'!$G$9=0,0,INDEX('Your Debts'!$D$5:$D$12,'Your Debts'!$G$9)))</f>
        <v/>
      </c>
      <c r="X146" s="28">
        <f>W146+MIN((Y145)+V146-W146,MAX(0,$E146-((H146-G146)+(L146-K146)+(P146-O146)+(T146-S146))))</f>
        <v/>
      </c>
      <c r="Y146" s="28">
        <f>ROUND(MAX(0,(Y145)+V146-X146),2)</f>
        <v/>
      </c>
      <c r="Z146" s="28">
        <f>ROUND((AC145)*(IF('Your Debts'!$G$10=0,0,INDEX('Your Debts'!$C$5:$C$12,'Your Debts'!$G$10)/12)),2)</f>
        <v/>
      </c>
      <c r="AA146" s="28">
        <f>MIN((AC145)+Z146,IF('Your Debts'!$G$10=0,0,INDEX('Your Debts'!$D$5:$D$12,'Your Debts'!$G$10)))</f>
        <v/>
      </c>
      <c r="AB146" s="28">
        <f>AA146+MIN((AC145)+Z146-AA146,MAX(0,$E146-((H146-G146)+(L146-K146)+(P146-O146)+(T146-S146)+(X146-W146))))</f>
        <v/>
      </c>
      <c r="AC146" s="28">
        <f>ROUND(MAX(0,(AC145)+Z146-AB146),2)</f>
        <v/>
      </c>
      <c r="AD146" s="28">
        <f>ROUND((AG145)*(IF('Your Debts'!$G$11=0,0,INDEX('Your Debts'!$C$5:$C$12,'Your Debts'!$G$11)/12)),2)</f>
        <v/>
      </c>
      <c r="AE146" s="28">
        <f>MIN((AG145)+AD146,IF('Your Debts'!$G$11=0,0,INDEX('Your Debts'!$D$5:$D$12,'Your Debts'!$G$11)))</f>
        <v/>
      </c>
      <c r="AF146" s="28">
        <f>AE146+MIN((AG145)+AD146-AE146,MAX(0,$E146-((H146-G146)+(L146-K146)+(P146-O146)+(T146-S146)+(X146-W146)+(AB146-AA146))))</f>
        <v/>
      </c>
      <c r="AG146" s="28">
        <f>ROUND(MAX(0,(AG145)+AD146-AF146),2)</f>
        <v/>
      </c>
      <c r="AH146" s="28">
        <f>ROUND((AK145)*(IF('Your Debts'!$G$12=0,0,INDEX('Your Debts'!$C$5:$C$12,'Your Debts'!$G$12)/12)),2)</f>
        <v/>
      </c>
      <c r="AI146" s="28">
        <f>MIN((AK145)+AH146,IF('Your Debts'!$G$12=0,0,INDEX('Your Debts'!$D$5:$D$12,'Your Debts'!$G$12)))</f>
        <v/>
      </c>
      <c r="AJ146" s="28">
        <f>AI146+MIN((AK145)+AH146-AI146,MAX(0,$E146-((H146-G146)+(L146-K146)+(P146-O146)+(T146-S146)+(X146-W146)+(AB146-AA146)+(AF146-AE146))))</f>
        <v/>
      </c>
      <c r="AK146" s="28">
        <f>ROUND(MAX(0,(AK145)+AH146-AJ146),2)</f>
        <v/>
      </c>
      <c r="AL146" s="18">
        <f>I146+M146+Q146+U146+Y146+AC146+AG146+AK146</f>
        <v/>
      </c>
      <c r="AM146" s="27">
        <f>AM145+F146+J146+N146+R146+V146+Z146+AD146+AH146</f>
        <v/>
      </c>
    </row>
    <row r="147">
      <c r="A147" s="25" t="n">
        <v>142</v>
      </c>
      <c r="B147" s="26">
        <f>EDATE('Your Debts'!$B$19,141)</f>
        <v/>
      </c>
      <c r="C147" s="27">
        <f>'Your Debts'!$B$18</f>
        <v/>
      </c>
      <c r="D147" s="27">
        <f>G147+K147+O147+S147+W147+AA147+AE147+AI147</f>
        <v/>
      </c>
      <c r="E147" s="27">
        <f>MAX(0,C147-D147)</f>
        <v/>
      </c>
      <c r="F147" s="28">
        <f>ROUND((I146)*(IF('Your Debts'!$G$5=0,0,INDEX('Your Debts'!$C$5:$C$12,'Your Debts'!$G$5)/12)),2)</f>
        <v/>
      </c>
      <c r="G147" s="28">
        <f>MIN((I146)+F147,IF('Your Debts'!$G$5=0,0,INDEX('Your Debts'!$D$5:$D$12,'Your Debts'!$G$5)))</f>
        <v/>
      </c>
      <c r="H147" s="28">
        <f>G147+MIN((I146)+F147-G147,MAX(0,$E147-(0)))</f>
        <v/>
      </c>
      <c r="I147" s="28">
        <f>ROUND(MAX(0,(I146)+F147-H147),2)</f>
        <v/>
      </c>
      <c r="J147" s="28">
        <f>ROUND((M146)*(IF('Your Debts'!$G$6=0,0,INDEX('Your Debts'!$C$5:$C$12,'Your Debts'!$G$6)/12)),2)</f>
        <v/>
      </c>
      <c r="K147" s="28">
        <f>MIN((M146)+J147,IF('Your Debts'!$G$6=0,0,INDEX('Your Debts'!$D$5:$D$12,'Your Debts'!$G$6)))</f>
        <v/>
      </c>
      <c r="L147" s="28">
        <f>K147+MIN((M146)+J147-K147,MAX(0,$E147-((H147-G147))))</f>
        <v/>
      </c>
      <c r="M147" s="28">
        <f>ROUND(MAX(0,(M146)+J147-L147),2)</f>
        <v/>
      </c>
      <c r="N147" s="28">
        <f>ROUND((Q146)*(IF('Your Debts'!$G$7=0,0,INDEX('Your Debts'!$C$5:$C$12,'Your Debts'!$G$7)/12)),2)</f>
        <v/>
      </c>
      <c r="O147" s="28">
        <f>MIN((Q146)+N147,IF('Your Debts'!$G$7=0,0,INDEX('Your Debts'!$D$5:$D$12,'Your Debts'!$G$7)))</f>
        <v/>
      </c>
      <c r="P147" s="28">
        <f>O147+MIN((Q146)+N147-O147,MAX(0,$E147-((H147-G147)+(L147-K147))))</f>
        <v/>
      </c>
      <c r="Q147" s="28">
        <f>ROUND(MAX(0,(Q146)+N147-P147),2)</f>
        <v/>
      </c>
      <c r="R147" s="28">
        <f>ROUND((U146)*(IF('Your Debts'!$G$8=0,0,INDEX('Your Debts'!$C$5:$C$12,'Your Debts'!$G$8)/12)),2)</f>
        <v/>
      </c>
      <c r="S147" s="28">
        <f>MIN((U146)+R147,IF('Your Debts'!$G$8=0,0,INDEX('Your Debts'!$D$5:$D$12,'Your Debts'!$G$8)))</f>
        <v/>
      </c>
      <c r="T147" s="28">
        <f>S147+MIN((U146)+R147-S147,MAX(0,$E147-((H147-G147)+(L147-K147)+(P147-O147))))</f>
        <v/>
      </c>
      <c r="U147" s="28">
        <f>ROUND(MAX(0,(U146)+R147-T147),2)</f>
        <v/>
      </c>
      <c r="V147" s="28">
        <f>ROUND((Y146)*(IF('Your Debts'!$G$9=0,0,INDEX('Your Debts'!$C$5:$C$12,'Your Debts'!$G$9)/12)),2)</f>
        <v/>
      </c>
      <c r="W147" s="28">
        <f>MIN((Y146)+V147,IF('Your Debts'!$G$9=0,0,INDEX('Your Debts'!$D$5:$D$12,'Your Debts'!$G$9)))</f>
        <v/>
      </c>
      <c r="X147" s="28">
        <f>W147+MIN((Y146)+V147-W147,MAX(0,$E147-((H147-G147)+(L147-K147)+(P147-O147)+(T147-S147))))</f>
        <v/>
      </c>
      <c r="Y147" s="28">
        <f>ROUND(MAX(0,(Y146)+V147-X147),2)</f>
        <v/>
      </c>
      <c r="Z147" s="28">
        <f>ROUND((AC146)*(IF('Your Debts'!$G$10=0,0,INDEX('Your Debts'!$C$5:$C$12,'Your Debts'!$G$10)/12)),2)</f>
        <v/>
      </c>
      <c r="AA147" s="28">
        <f>MIN((AC146)+Z147,IF('Your Debts'!$G$10=0,0,INDEX('Your Debts'!$D$5:$D$12,'Your Debts'!$G$10)))</f>
        <v/>
      </c>
      <c r="AB147" s="28">
        <f>AA147+MIN((AC146)+Z147-AA147,MAX(0,$E147-((H147-G147)+(L147-K147)+(P147-O147)+(T147-S147)+(X147-W147))))</f>
        <v/>
      </c>
      <c r="AC147" s="28">
        <f>ROUND(MAX(0,(AC146)+Z147-AB147),2)</f>
        <v/>
      </c>
      <c r="AD147" s="28">
        <f>ROUND((AG146)*(IF('Your Debts'!$G$11=0,0,INDEX('Your Debts'!$C$5:$C$12,'Your Debts'!$G$11)/12)),2)</f>
        <v/>
      </c>
      <c r="AE147" s="28">
        <f>MIN((AG146)+AD147,IF('Your Debts'!$G$11=0,0,INDEX('Your Debts'!$D$5:$D$12,'Your Debts'!$G$11)))</f>
        <v/>
      </c>
      <c r="AF147" s="28">
        <f>AE147+MIN((AG146)+AD147-AE147,MAX(0,$E147-((H147-G147)+(L147-K147)+(P147-O147)+(T147-S147)+(X147-W147)+(AB147-AA147))))</f>
        <v/>
      </c>
      <c r="AG147" s="28">
        <f>ROUND(MAX(0,(AG146)+AD147-AF147),2)</f>
        <v/>
      </c>
      <c r="AH147" s="28">
        <f>ROUND((AK146)*(IF('Your Debts'!$G$12=0,0,INDEX('Your Debts'!$C$5:$C$12,'Your Debts'!$G$12)/12)),2)</f>
        <v/>
      </c>
      <c r="AI147" s="28">
        <f>MIN((AK146)+AH147,IF('Your Debts'!$G$12=0,0,INDEX('Your Debts'!$D$5:$D$12,'Your Debts'!$G$12)))</f>
        <v/>
      </c>
      <c r="AJ147" s="28">
        <f>AI147+MIN((AK146)+AH147-AI147,MAX(0,$E147-((H147-G147)+(L147-K147)+(P147-O147)+(T147-S147)+(X147-W147)+(AB147-AA147)+(AF147-AE147))))</f>
        <v/>
      </c>
      <c r="AK147" s="28">
        <f>ROUND(MAX(0,(AK146)+AH147-AJ147),2)</f>
        <v/>
      </c>
      <c r="AL147" s="18">
        <f>I147+M147+Q147+U147+Y147+AC147+AG147+AK147</f>
        <v/>
      </c>
      <c r="AM147" s="27">
        <f>AM146+F147+J147+N147+R147+V147+Z147+AD147+AH147</f>
        <v/>
      </c>
    </row>
    <row r="148">
      <c r="A148" s="25" t="n">
        <v>143</v>
      </c>
      <c r="B148" s="26">
        <f>EDATE('Your Debts'!$B$19,142)</f>
        <v/>
      </c>
      <c r="C148" s="27">
        <f>'Your Debts'!$B$18</f>
        <v/>
      </c>
      <c r="D148" s="27">
        <f>G148+K148+O148+S148+W148+AA148+AE148+AI148</f>
        <v/>
      </c>
      <c r="E148" s="27">
        <f>MAX(0,C148-D148)</f>
        <v/>
      </c>
      <c r="F148" s="28">
        <f>ROUND((I147)*(IF('Your Debts'!$G$5=0,0,INDEX('Your Debts'!$C$5:$C$12,'Your Debts'!$G$5)/12)),2)</f>
        <v/>
      </c>
      <c r="G148" s="28">
        <f>MIN((I147)+F148,IF('Your Debts'!$G$5=0,0,INDEX('Your Debts'!$D$5:$D$12,'Your Debts'!$G$5)))</f>
        <v/>
      </c>
      <c r="H148" s="28">
        <f>G148+MIN((I147)+F148-G148,MAX(0,$E148-(0)))</f>
        <v/>
      </c>
      <c r="I148" s="28">
        <f>ROUND(MAX(0,(I147)+F148-H148),2)</f>
        <v/>
      </c>
      <c r="J148" s="28">
        <f>ROUND((M147)*(IF('Your Debts'!$G$6=0,0,INDEX('Your Debts'!$C$5:$C$12,'Your Debts'!$G$6)/12)),2)</f>
        <v/>
      </c>
      <c r="K148" s="28">
        <f>MIN((M147)+J148,IF('Your Debts'!$G$6=0,0,INDEX('Your Debts'!$D$5:$D$12,'Your Debts'!$G$6)))</f>
        <v/>
      </c>
      <c r="L148" s="28">
        <f>K148+MIN((M147)+J148-K148,MAX(0,$E148-((H148-G148))))</f>
        <v/>
      </c>
      <c r="M148" s="28">
        <f>ROUND(MAX(0,(M147)+J148-L148),2)</f>
        <v/>
      </c>
      <c r="N148" s="28">
        <f>ROUND((Q147)*(IF('Your Debts'!$G$7=0,0,INDEX('Your Debts'!$C$5:$C$12,'Your Debts'!$G$7)/12)),2)</f>
        <v/>
      </c>
      <c r="O148" s="28">
        <f>MIN((Q147)+N148,IF('Your Debts'!$G$7=0,0,INDEX('Your Debts'!$D$5:$D$12,'Your Debts'!$G$7)))</f>
        <v/>
      </c>
      <c r="P148" s="28">
        <f>O148+MIN((Q147)+N148-O148,MAX(0,$E148-((H148-G148)+(L148-K148))))</f>
        <v/>
      </c>
      <c r="Q148" s="28">
        <f>ROUND(MAX(0,(Q147)+N148-P148),2)</f>
        <v/>
      </c>
      <c r="R148" s="28">
        <f>ROUND((U147)*(IF('Your Debts'!$G$8=0,0,INDEX('Your Debts'!$C$5:$C$12,'Your Debts'!$G$8)/12)),2)</f>
        <v/>
      </c>
      <c r="S148" s="28">
        <f>MIN((U147)+R148,IF('Your Debts'!$G$8=0,0,INDEX('Your Debts'!$D$5:$D$12,'Your Debts'!$G$8)))</f>
        <v/>
      </c>
      <c r="T148" s="28">
        <f>S148+MIN((U147)+R148-S148,MAX(0,$E148-((H148-G148)+(L148-K148)+(P148-O148))))</f>
        <v/>
      </c>
      <c r="U148" s="28">
        <f>ROUND(MAX(0,(U147)+R148-T148),2)</f>
        <v/>
      </c>
      <c r="V148" s="28">
        <f>ROUND((Y147)*(IF('Your Debts'!$G$9=0,0,INDEX('Your Debts'!$C$5:$C$12,'Your Debts'!$G$9)/12)),2)</f>
        <v/>
      </c>
      <c r="W148" s="28">
        <f>MIN((Y147)+V148,IF('Your Debts'!$G$9=0,0,INDEX('Your Debts'!$D$5:$D$12,'Your Debts'!$G$9)))</f>
        <v/>
      </c>
      <c r="X148" s="28">
        <f>W148+MIN((Y147)+V148-W148,MAX(0,$E148-((H148-G148)+(L148-K148)+(P148-O148)+(T148-S148))))</f>
        <v/>
      </c>
      <c r="Y148" s="28">
        <f>ROUND(MAX(0,(Y147)+V148-X148),2)</f>
        <v/>
      </c>
      <c r="Z148" s="28">
        <f>ROUND((AC147)*(IF('Your Debts'!$G$10=0,0,INDEX('Your Debts'!$C$5:$C$12,'Your Debts'!$G$10)/12)),2)</f>
        <v/>
      </c>
      <c r="AA148" s="28">
        <f>MIN((AC147)+Z148,IF('Your Debts'!$G$10=0,0,INDEX('Your Debts'!$D$5:$D$12,'Your Debts'!$G$10)))</f>
        <v/>
      </c>
      <c r="AB148" s="28">
        <f>AA148+MIN((AC147)+Z148-AA148,MAX(0,$E148-((H148-G148)+(L148-K148)+(P148-O148)+(T148-S148)+(X148-W148))))</f>
        <v/>
      </c>
      <c r="AC148" s="28">
        <f>ROUND(MAX(0,(AC147)+Z148-AB148),2)</f>
        <v/>
      </c>
      <c r="AD148" s="28">
        <f>ROUND((AG147)*(IF('Your Debts'!$G$11=0,0,INDEX('Your Debts'!$C$5:$C$12,'Your Debts'!$G$11)/12)),2)</f>
        <v/>
      </c>
      <c r="AE148" s="28">
        <f>MIN((AG147)+AD148,IF('Your Debts'!$G$11=0,0,INDEX('Your Debts'!$D$5:$D$12,'Your Debts'!$G$11)))</f>
        <v/>
      </c>
      <c r="AF148" s="28">
        <f>AE148+MIN((AG147)+AD148-AE148,MAX(0,$E148-((H148-G148)+(L148-K148)+(P148-O148)+(T148-S148)+(X148-W148)+(AB148-AA148))))</f>
        <v/>
      </c>
      <c r="AG148" s="28">
        <f>ROUND(MAX(0,(AG147)+AD148-AF148),2)</f>
        <v/>
      </c>
      <c r="AH148" s="28">
        <f>ROUND((AK147)*(IF('Your Debts'!$G$12=0,0,INDEX('Your Debts'!$C$5:$C$12,'Your Debts'!$G$12)/12)),2)</f>
        <v/>
      </c>
      <c r="AI148" s="28">
        <f>MIN((AK147)+AH148,IF('Your Debts'!$G$12=0,0,INDEX('Your Debts'!$D$5:$D$12,'Your Debts'!$G$12)))</f>
        <v/>
      </c>
      <c r="AJ148" s="28">
        <f>AI148+MIN((AK147)+AH148-AI148,MAX(0,$E148-((H148-G148)+(L148-K148)+(P148-O148)+(T148-S148)+(X148-W148)+(AB148-AA148)+(AF148-AE148))))</f>
        <v/>
      </c>
      <c r="AK148" s="28">
        <f>ROUND(MAX(0,(AK147)+AH148-AJ148),2)</f>
        <v/>
      </c>
      <c r="AL148" s="18">
        <f>I148+M148+Q148+U148+Y148+AC148+AG148+AK148</f>
        <v/>
      </c>
      <c r="AM148" s="27">
        <f>AM147+F148+J148+N148+R148+V148+Z148+AD148+AH148</f>
        <v/>
      </c>
    </row>
    <row r="149">
      <c r="A149" s="25" t="n">
        <v>144</v>
      </c>
      <c r="B149" s="26">
        <f>EDATE('Your Debts'!$B$19,143)</f>
        <v/>
      </c>
      <c r="C149" s="27">
        <f>'Your Debts'!$B$18</f>
        <v/>
      </c>
      <c r="D149" s="27">
        <f>G149+K149+O149+S149+W149+AA149+AE149+AI149</f>
        <v/>
      </c>
      <c r="E149" s="27">
        <f>MAX(0,C149-D149)</f>
        <v/>
      </c>
      <c r="F149" s="28">
        <f>ROUND((I148)*(IF('Your Debts'!$G$5=0,0,INDEX('Your Debts'!$C$5:$C$12,'Your Debts'!$G$5)/12)),2)</f>
        <v/>
      </c>
      <c r="G149" s="28">
        <f>MIN((I148)+F149,IF('Your Debts'!$G$5=0,0,INDEX('Your Debts'!$D$5:$D$12,'Your Debts'!$G$5)))</f>
        <v/>
      </c>
      <c r="H149" s="28">
        <f>G149+MIN((I148)+F149-G149,MAX(0,$E149-(0)))</f>
        <v/>
      </c>
      <c r="I149" s="28">
        <f>ROUND(MAX(0,(I148)+F149-H149),2)</f>
        <v/>
      </c>
      <c r="J149" s="28">
        <f>ROUND((M148)*(IF('Your Debts'!$G$6=0,0,INDEX('Your Debts'!$C$5:$C$12,'Your Debts'!$G$6)/12)),2)</f>
        <v/>
      </c>
      <c r="K149" s="28">
        <f>MIN((M148)+J149,IF('Your Debts'!$G$6=0,0,INDEX('Your Debts'!$D$5:$D$12,'Your Debts'!$G$6)))</f>
        <v/>
      </c>
      <c r="L149" s="28">
        <f>K149+MIN((M148)+J149-K149,MAX(0,$E149-((H149-G149))))</f>
        <v/>
      </c>
      <c r="M149" s="28">
        <f>ROUND(MAX(0,(M148)+J149-L149),2)</f>
        <v/>
      </c>
      <c r="N149" s="28">
        <f>ROUND((Q148)*(IF('Your Debts'!$G$7=0,0,INDEX('Your Debts'!$C$5:$C$12,'Your Debts'!$G$7)/12)),2)</f>
        <v/>
      </c>
      <c r="O149" s="28">
        <f>MIN((Q148)+N149,IF('Your Debts'!$G$7=0,0,INDEX('Your Debts'!$D$5:$D$12,'Your Debts'!$G$7)))</f>
        <v/>
      </c>
      <c r="P149" s="28">
        <f>O149+MIN((Q148)+N149-O149,MAX(0,$E149-((H149-G149)+(L149-K149))))</f>
        <v/>
      </c>
      <c r="Q149" s="28">
        <f>ROUND(MAX(0,(Q148)+N149-P149),2)</f>
        <v/>
      </c>
      <c r="R149" s="28">
        <f>ROUND((U148)*(IF('Your Debts'!$G$8=0,0,INDEX('Your Debts'!$C$5:$C$12,'Your Debts'!$G$8)/12)),2)</f>
        <v/>
      </c>
      <c r="S149" s="28">
        <f>MIN((U148)+R149,IF('Your Debts'!$G$8=0,0,INDEX('Your Debts'!$D$5:$D$12,'Your Debts'!$G$8)))</f>
        <v/>
      </c>
      <c r="T149" s="28">
        <f>S149+MIN((U148)+R149-S149,MAX(0,$E149-((H149-G149)+(L149-K149)+(P149-O149))))</f>
        <v/>
      </c>
      <c r="U149" s="28">
        <f>ROUND(MAX(0,(U148)+R149-T149),2)</f>
        <v/>
      </c>
      <c r="V149" s="28">
        <f>ROUND((Y148)*(IF('Your Debts'!$G$9=0,0,INDEX('Your Debts'!$C$5:$C$12,'Your Debts'!$G$9)/12)),2)</f>
        <v/>
      </c>
      <c r="W149" s="28">
        <f>MIN((Y148)+V149,IF('Your Debts'!$G$9=0,0,INDEX('Your Debts'!$D$5:$D$12,'Your Debts'!$G$9)))</f>
        <v/>
      </c>
      <c r="X149" s="28">
        <f>W149+MIN((Y148)+V149-W149,MAX(0,$E149-((H149-G149)+(L149-K149)+(P149-O149)+(T149-S149))))</f>
        <v/>
      </c>
      <c r="Y149" s="28">
        <f>ROUND(MAX(0,(Y148)+V149-X149),2)</f>
        <v/>
      </c>
      <c r="Z149" s="28">
        <f>ROUND((AC148)*(IF('Your Debts'!$G$10=0,0,INDEX('Your Debts'!$C$5:$C$12,'Your Debts'!$G$10)/12)),2)</f>
        <v/>
      </c>
      <c r="AA149" s="28">
        <f>MIN((AC148)+Z149,IF('Your Debts'!$G$10=0,0,INDEX('Your Debts'!$D$5:$D$12,'Your Debts'!$G$10)))</f>
        <v/>
      </c>
      <c r="AB149" s="28">
        <f>AA149+MIN((AC148)+Z149-AA149,MAX(0,$E149-((H149-G149)+(L149-K149)+(P149-O149)+(T149-S149)+(X149-W149))))</f>
        <v/>
      </c>
      <c r="AC149" s="28">
        <f>ROUND(MAX(0,(AC148)+Z149-AB149),2)</f>
        <v/>
      </c>
      <c r="AD149" s="28">
        <f>ROUND((AG148)*(IF('Your Debts'!$G$11=0,0,INDEX('Your Debts'!$C$5:$C$12,'Your Debts'!$G$11)/12)),2)</f>
        <v/>
      </c>
      <c r="AE149" s="28">
        <f>MIN((AG148)+AD149,IF('Your Debts'!$G$11=0,0,INDEX('Your Debts'!$D$5:$D$12,'Your Debts'!$G$11)))</f>
        <v/>
      </c>
      <c r="AF149" s="28">
        <f>AE149+MIN((AG148)+AD149-AE149,MAX(0,$E149-((H149-G149)+(L149-K149)+(P149-O149)+(T149-S149)+(X149-W149)+(AB149-AA149))))</f>
        <v/>
      </c>
      <c r="AG149" s="28">
        <f>ROUND(MAX(0,(AG148)+AD149-AF149),2)</f>
        <v/>
      </c>
      <c r="AH149" s="28">
        <f>ROUND((AK148)*(IF('Your Debts'!$G$12=0,0,INDEX('Your Debts'!$C$5:$C$12,'Your Debts'!$G$12)/12)),2)</f>
        <v/>
      </c>
      <c r="AI149" s="28">
        <f>MIN((AK148)+AH149,IF('Your Debts'!$G$12=0,0,INDEX('Your Debts'!$D$5:$D$12,'Your Debts'!$G$12)))</f>
        <v/>
      </c>
      <c r="AJ149" s="28">
        <f>AI149+MIN((AK148)+AH149-AI149,MAX(0,$E149-((H149-G149)+(L149-K149)+(P149-O149)+(T149-S149)+(X149-W149)+(AB149-AA149)+(AF149-AE149))))</f>
        <v/>
      </c>
      <c r="AK149" s="28">
        <f>ROUND(MAX(0,(AK148)+AH149-AJ149),2)</f>
        <v/>
      </c>
      <c r="AL149" s="18">
        <f>I149+M149+Q149+U149+Y149+AC149+AG149+AK149</f>
        <v/>
      </c>
      <c r="AM149" s="27">
        <f>AM148+F149+J149+N149+R149+V149+Z149+AD149+AH149</f>
        <v/>
      </c>
    </row>
    <row r="150">
      <c r="A150" s="25" t="n">
        <v>145</v>
      </c>
      <c r="B150" s="26">
        <f>EDATE('Your Debts'!$B$19,144)</f>
        <v/>
      </c>
      <c r="C150" s="27">
        <f>'Your Debts'!$B$18</f>
        <v/>
      </c>
      <c r="D150" s="27">
        <f>G150+K150+O150+S150+W150+AA150+AE150+AI150</f>
        <v/>
      </c>
      <c r="E150" s="27">
        <f>MAX(0,C150-D150)</f>
        <v/>
      </c>
      <c r="F150" s="28">
        <f>ROUND((I149)*(IF('Your Debts'!$G$5=0,0,INDEX('Your Debts'!$C$5:$C$12,'Your Debts'!$G$5)/12)),2)</f>
        <v/>
      </c>
      <c r="G150" s="28">
        <f>MIN((I149)+F150,IF('Your Debts'!$G$5=0,0,INDEX('Your Debts'!$D$5:$D$12,'Your Debts'!$G$5)))</f>
        <v/>
      </c>
      <c r="H150" s="28">
        <f>G150+MIN((I149)+F150-G150,MAX(0,$E150-(0)))</f>
        <v/>
      </c>
      <c r="I150" s="28">
        <f>ROUND(MAX(0,(I149)+F150-H150),2)</f>
        <v/>
      </c>
      <c r="J150" s="28">
        <f>ROUND((M149)*(IF('Your Debts'!$G$6=0,0,INDEX('Your Debts'!$C$5:$C$12,'Your Debts'!$G$6)/12)),2)</f>
        <v/>
      </c>
      <c r="K150" s="28">
        <f>MIN((M149)+J150,IF('Your Debts'!$G$6=0,0,INDEX('Your Debts'!$D$5:$D$12,'Your Debts'!$G$6)))</f>
        <v/>
      </c>
      <c r="L150" s="28">
        <f>K150+MIN((M149)+J150-K150,MAX(0,$E150-((H150-G150))))</f>
        <v/>
      </c>
      <c r="M150" s="28">
        <f>ROUND(MAX(0,(M149)+J150-L150),2)</f>
        <v/>
      </c>
      <c r="N150" s="28">
        <f>ROUND((Q149)*(IF('Your Debts'!$G$7=0,0,INDEX('Your Debts'!$C$5:$C$12,'Your Debts'!$G$7)/12)),2)</f>
        <v/>
      </c>
      <c r="O150" s="28">
        <f>MIN((Q149)+N150,IF('Your Debts'!$G$7=0,0,INDEX('Your Debts'!$D$5:$D$12,'Your Debts'!$G$7)))</f>
        <v/>
      </c>
      <c r="P150" s="28">
        <f>O150+MIN((Q149)+N150-O150,MAX(0,$E150-((H150-G150)+(L150-K150))))</f>
        <v/>
      </c>
      <c r="Q150" s="28">
        <f>ROUND(MAX(0,(Q149)+N150-P150),2)</f>
        <v/>
      </c>
      <c r="R150" s="28">
        <f>ROUND((U149)*(IF('Your Debts'!$G$8=0,0,INDEX('Your Debts'!$C$5:$C$12,'Your Debts'!$G$8)/12)),2)</f>
        <v/>
      </c>
      <c r="S150" s="28">
        <f>MIN((U149)+R150,IF('Your Debts'!$G$8=0,0,INDEX('Your Debts'!$D$5:$D$12,'Your Debts'!$G$8)))</f>
        <v/>
      </c>
      <c r="T150" s="28">
        <f>S150+MIN((U149)+R150-S150,MAX(0,$E150-((H150-G150)+(L150-K150)+(P150-O150))))</f>
        <v/>
      </c>
      <c r="U150" s="28">
        <f>ROUND(MAX(0,(U149)+R150-T150),2)</f>
        <v/>
      </c>
      <c r="V150" s="28">
        <f>ROUND((Y149)*(IF('Your Debts'!$G$9=0,0,INDEX('Your Debts'!$C$5:$C$12,'Your Debts'!$G$9)/12)),2)</f>
        <v/>
      </c>
      <c r="W150" s="28">
        <f>MIN((Y149)+V150,IF('Your Debts'!$G$9=0,0,INDEX('Your Debts'!$D$5:$D$12,'Your Debts'!$G$9)))</f>
        <v/>
      </c>
      <c r="X150" s="28">
        <f>W150+MIN((Y149)+V150-W150,MAX(0,$E150-((H150-G150)+(L150-K150)+(P150-O150)+(T150-S150))))</f>
        <v/>
      </c>
      <c r="Y150" s="28">
        <f>ROUND(MAX(0,(Y149)+V150-X150),2)</f>
        <v/>
      </c>
      <c r="Z150" s="28">
        <f>ROUND((AC149)*(IF('Your Debts'!$G$10=0,0,INDEX('Your Debts'!$C$5:$C$12,'Your Debts'!$G$10)/12)),2)</f>
        <v/>
      </c>
      <c r="AA150" s="28">
        <f>MIN((AC149)+Z150,IF('Your Debts'!$G$10=0,0,INDEX('Your Debts'!$D$5:$D$12,'Your Debts'!$G$10)))</f>
        <v/>
      </c>
      <c r="AB150" s="28">
        <f>AA150+MIN((AC149)+Z150-AA150,MAX(0,$E150-((H150-G150)+(L150-K150)+(P150-O150)+(T150-S150)+(X150-W150))))</f>
        <v/>
      </c>
      <c r="AC150" s="28">
        <f>ROUND(MAX(0,(AC149)+Z150-AB150),2)</f>
        <v/>
      </c>
      <c r="AD150" s="28">
        <f>ROUND((AG149)*(IF('Your Debts'!$G$11=0,0,INDEX('Your Debts'!$C$5:$C$12,'Your Debts'!$G$11)/12)),2)</f>
        <v/>
      </c>
      <c r="AE150" s="28">
        <f>MIN((AG149)+AD150,IF('Your Debts'!$G$11=0,0,INDEX('Your Debts'!$D$5:$D$12,'Your Debts'!$G$11)))</f>
        <v/>
      </c>
      <c r="AF150" s="28">
        <f>AE150+MIN((AG149)+AD150-AE150,MAX(0,$E150-((H150-G150)+(L150-K150)+(P150-O150)+(T150-S150)+(X150-W150)+(AB150-AA150))))</f>
        <v/>
      </c>
      <c r="AG150" s="28">
        <f>ROUND(MAX(0,(AG149)+AD150-AF150),2)</f>
        <v/>
      </c>
      <c r="AH150" s="28">
        <f>ROUND((AK149)*(IF('Your Debts'!$G$12=0,0,INDEX('Your Debts'!$C$5:$C$12,'Your Debts'!$G$12)/12)),2)</f>
        <v/>
      </c>
      <c r="AI150" s="28">
        <f>MIN((AK149)+AH150,IF('Your Debts'!$G$12=0,0,INDEX('Your Debts'!$D$5:$D$12,'Your Debts'!$G$12)))</f>
        <v/>
      </c>
      <c r="AJ150" s="28">
        <f>AI150+MIN((AK149)+AH150-AI150,MAX(0,$E150-((H150-G150)+(L150-K150)+(P150-O150)+(T150-S150)+(X150-W150)+(AB150-AA150)+(AF150-AE150))))</f>
        <v/>
      </c>
      <c r="AK150" s="28">
        <f>ROUND(MAX(0,(AK149)+AH150-AJ150),2)</f>
        <v/>
      </c>
      <c r="AL150" s="18">
        <f>I150+M150+Q150+U150+Y150+AC150+AG150+AK150</f>
        <v/>
      </c>
      <c r="AM150" s="27">
        <f>AM149+F150+J150+N150+R150+V150+Z150+AD150+AH150</f>
        <v/>
      </c>
    </row>
    <row r="151">
      <c r="A151" s="25" t="n">
        <v>146</v>
      </c>
      <c r="B151" s="26">
        <f>EDATE('Your Debts'!$B$19,145)</f>
        <v/>
      </c>
      <c r="C151" s="27">
        <f>'Your Debts'!$B$18</f>
        <v/>
      </c>
      <c r="D151" s="27">
        <f>G151+K151+O151+S151+W151+AA151+AE151+AI151</f>
        <v/>
      </c>
      <c r="E151" s="27">
        <f>MAX(0,C151-D151)</f>
        <v/>
      </c>
      <c r="F151" s="28">
        <f>ROUND((I150)*(IF('Your Debts'!$G$5=0,0,INDEX('Your Debts'!$C$5:$C$12,'Your Debts'!$G$5)/12)),2)</f>
        <v/>
      </c>
      <c r="G151" s="28">
        <f>MIN((I150)+F151,IF('Your Debts'!$G$5=0,0,INDEX('Your Debts'!$D$5:$D$12,'Your Debts'!$G$5)))</f>
        <v/>
      </c>
      <c r="H151" s="28">
        <f>G151+MIN((I150)+F151-G151,MAX(0,$E151-(0)))</f>
        <v/>
      </c>
      <c r="I151" s="28">
        <f>ROUND(MAX(0,(I150)+F151-H151),2)</f>
        <v/>
      </c>
      <c r="J151" s="28">
        <f>ROUND((M150)*(IF('Your Debts'!$G$6=0,0,INDEX('Your Debts'!$C$5:$C$12,'Your Debts'!$G$6)/12)),2)</f>
        <v/>
      </c>
      <c r="K151" s="28">
        <f>MIN((M150)+J151,IF('Your Debts'!$G$6=0,0,INDEX('Your Debts'!$D$5:$D$12,'Your Debts'!$G$6)))</f>
        <v/>
      </c>
      <c r="L151" s="28">
        <f>K151+MIN((M150)+J151-K151,MAX(0,$E151-((H151-G151))))</f>
        <v/>
      </c>
      <c r="M151" s="28">
        <f>ROUND(MAX(0,(M150)+J151-L151),2)</f>
        <v/>
      </c>
      <c r="N151" s="28">
        <f>ROUND((Q150)*(IF('Your Debts'!$G$7=0,0,INDEX('Your Debts'!$C$5:$C$12,'Your Debts'!$G$7)/12)),2)</f>
        <v/>
      </c>
      <c r="O151" s="28">
        <f>MIN((Q150)+N151,IF('Your Debts'!$G$7=0,0,INDEX('Your Debts'!$D$5:$D$12,'Your Debts'!$G$7)))</f>
        <v/>
      </c>
      <c r="P151" s="28">
        <f>O151+MIN((Q150)+N151-O151,MAX(0,$E151-((H151-G151)+(L151-K151))))</f>
        <v/>
      </c>
      <c r="Q151" s="28">
        <f>ROUND(MAX(0,(Q150)+N151-P151),2)</f>
        <v/>
      </c>
      <c r="R151" s="28">
        <f>ROUND((U150)*(IF('Your Debts'!$G$8=0,0,INDEX('Your Debts'!$C$5:$C$12,'Your Debts'!$G$8)/12)),2)</f>
        <v/>
      </c>
      <c r="S151" s="28">
        <f>MIN((U150)+R151,IF('Your Debts'!$G$8=0,0,INDEX('Your Debts'!$D$5:$D$12,'Your Debts'!$G$8)))</f>
        <v/>
      </c>
      <c r="T151" s="28">
        <f>S151+MIN((U150)+R151-S151,MAX(0,$E151-((H151-G151)+(L151-K151)+(P151-O151))))</f>
        <v/>
      </c>
      <c r="U151" s="28">
        <f>ROUND(MAX(0,(U150)+R151-T151),2)</f>
        <v/>
      </c>
      <c r="V151" s="28">
        <f>ROUND((Y150)*(IF('Your Debts'!$G$9=0,0,INDEX('Your Debts'!$C$5:$C$12,'Your Debts'!$G$9)/12)),2)</f>
        <v/>
      </c>
      <c r="W151" s="28">
        <f>MIN((Y150)+V151,IF('Your Debts'!$G$9=0,0,INDEX('Your Debts'!$D$5:$D$12,'Your Debts'!$G$9)))</f>
        <v/>
      </c>
      <c r="X151" s="28">
        <f>W151+MIN((Y150)+V151-W151,MAX(0,$E151-((H151-G151)+(L151-K151)+(P151-O151)+(T151-S151))))</f>
        <v/>
      </c>
      <c r="Y151" s="28">
        <f>ROUND(MAX(0,(Y150)+V151-X151),2)</f>
        <v/>
      </c>
      <c r="Z151" s="28">
        <f>ROUND((AC150)*(IF('Your Debts'!$G$10=0,0,INDEX('Your Debts'!$C$5:$C$12,'Your Debts'!$G$10)/12)),2)</f>
        <v/>
      </c>
      <c r="AA151" s="28">
        <f>MIN((AC150)+Z151,IF('Your Debts'!$G$10=0,0,INDEX('Your Debts'!$D$5:$D$12,'Your Debts'!$G$10)))</f>
        <v/>
      </c>
      <c r="AB151" s="28">
        <f>AA151+MIN((AC150)+Z151-AA151,MAX(0,$E151-((H151-G151)+(L151-K151)+(P151-O151)+(T151-S151)+(X151-W151))))</f>
        <v/>
      </c>
      <c r="AC151" s="28">
        <f>ROUND(MAX(0,(AC150)+Z151-AB151),2)</f>
        <v/>
      </c>
      <c r="AD151" s="28">
        <f>ROUND((AG150)*(IF('Your Debts'!$G$11=0,0,INDEX('Your Debts'!$C$5:$C$12,'Your Debts'!$G$11)/12)),2)</f>
        <v/>
      </c>
      <c r="AE151" s="28">
        <f>MIN((AG150)+AD151,IF('Your Debts'!$G$11=0,0,INDEX('Your Debts'!$D$5:$D$12,'Your Debts'!$G$11)))</f>
        <v/>
      </c>
      <c r="AF151" s="28">
        <f>AE151+MIN((AG150)+AD151-AE151,MAX(0,$E151-((H151-G151)+(L151-K151)+(P151-O151)+(T151-S151)+(X151-W151)+(AB151-AA151))))</f>
        <v/>
      </c>
      <c r="AG151" s="28">
        <f>ROUND(MAX(0,(AG150)+AD151-AF151),2)</f>
        <v/>
      </c>
      <c r="AH151" s="28">
        <f>ROUND((AK150)*(IF('Your Debts'!$G$12=0,0,INDEX('Your Debts'!$C$5:$C$12,'Your Debts'!$G$12)/12)),2)</f>
        <v/>
      </c>
      <c r="AI151" s="28">
        <f>MIN((AK150)+AH151,IF('Your Debts'!$G$12=0,0,INDEX('Your Debts'!$D$5:$D$12,'Your Debts'!$G$12)))</f>
        <v/>
      </c>
      <c r="AJ151" s="28">
        <f>AI151+MIN((AK150)+AH151-AI151,MAX(0,$E151-((H151-G151)+(L151-K151)+(P151-O151)+(T151-S151)+(X151-W151)+(AB151-AA151)+(AF151-AE151))))</f>
        <v/>
      </c>
      <c r="AK151" s="28">
        <f>ROUND(MAX(0,(AK150)+AH151-AJ151),2)</f>
        <v/>
      </c>
      <c r="AL151" s="18">
        <f>I151+M151+Q151+U151+Y151+AC151+AG151+AK151</f>
        <v/>
      </c>
      <c r="AM151" s="27">
        <f>AM150+F151+J151+N151+R151+V151+Z151+AD151+AH151</f>
        <v/>
      </c>
    </row>
    <row r="152">
      <c r="A152" s="25" t="n">
        <v>147</v>
      </c>
      <c r="B152" s="26">
        <f>EDATE('Your Debts'!$B$19,146)</f>
        <v/>
      </c>
      <c r="C152" s="27">
        <f>'Your Debts'!$B$18</f>
        <v/>
      </c>
      <c r="D152" s="27">
        <f>G152+K152+O152+S152+W152+AA152+AE152+AI152</f>
        <v/>
      </c>
      <c r="E152" s="27">
        <f>MAX(0,C152-D152)</f>
        <v/>
      </c>
      <c r="F152" s="28">
        <f>ROUND((I151)*(IF('Your Debts'!$G$5=0,0,INDEX('Your Debts'!$C$5:$C$12,'Your Debts'!$G$5)/12)),2)</f>
        <v/>
      </c>
      <c r="G152" s="28">
        <f>MIN((I151)+F152,IF('Your Debts'!$G$5=0,0,INDEX('Your Debts'!$D$5:$D$12,'Your Debts'!$G$5)))</f>
        <v/>
      </c>
      <c r="H152" s="28">
        <f>G152+MIN((I151)+F152-G152,MAX(0,$E152-(0)))</f>
        <v/>
      </c>
      <c r="I152" s="28">
        <f>ROUND(MAX(0,(I151)+F152-H152),2)</f>
        <v/>
      </c>
      <c r="J152" s="28">
        <f>ROUND((M151)*(IF('Your Debts'!$G$6=0,0,INDEX('Your Debts'!$C$5:$C$12,'Your Debts'!$G$6)/12)),2)</f>
        <v/>
      </c>
      <c r="K152" s="28">
        <f>MIN((M151)+J152,IF('Your Debts'!$G$6=0,0,INDEX('Your Debts'!$D$5:$D$12,'Your Debts'!$G$6)))</f>
        <v/>
      </c>
      <c r="L152" s="28">
        <f>K152+MIN((M151)+J152-K152,MAX(0,$E152-((H152-G152))))</f>
        <v/>
      </c>
      <c r="M152" s="28">
        <f>ROUND(MAX(0,(M151)+J152-L152),2)</f>
        <v/>
      </c>
      <c r="N152" s="28">
        <f>ROUND((Q151)*(IF('Your Debts'!$G$7=0,0,INDEX('Your Debts'!$C$5:$C$12,'Your Debts'!$G$7)/12)),2)</f>
        <v/>
      </c>
      <c r="O152" s="28">
        <f>MIN((Q151)+N152,IF('Your Debts'!$G$7=0,0,INDEX('Your Debts'!$D$5:$D$12,'Your Debts'!$G$7)))</f>
        <v/>
      </c>
      <c r="P152" s="28">
        <f>O152+MIN((Q151)+N152-O152,MAX(0,$E152-((H152-G152)+(L152-K152))))</f>
        <v/>
      </c>
      <c r="Q152" s="28">
        <f>ROUND(MAX(0,(Q151)+N152-P152),2)</f>
        <v/>
      </c>
      <c r="R152" s="28">
        <f>ROUND((U151)*(IF('Your Debts'!$G$8=0,0,INDEX('Your Debts'!$C$5:$C$12,'Your Debts'!$G$8)/12)),2)</f>
        <v/>
      </c>
      <c r="S152" s="28">
        <f>MIN((U151)+R152,IF('Your Debts'!$G$8=0,0,INDEX('Your Debts'!$D$5:$D$12,'Your Debts'!$G$8)))</f>
        <v/>
      </c>
      <c r="T152" s="28">
        <f>S152+MIN((U151)+R152-S152,MAX(0,$E152-((H152-G152)+(L152-K152)+(P152-O152))))</f>
        <v/>
      </c>
      <c r="U152" s="28">
        <f>ROUND(MAX(0,(U151)+R152-T152),2)</f>
        <v/>
      </c>
      <c r="V152" s="28">
        <f>ROUND((Y151)*(IF('Your Debts'!$G$9=0,0,INDEX('Your Debts'!$C$5:$C$12,'Your Debts'!$G$9)/12)),2)</f>
        <v/>
      </c>
      <c r="W152" s="28">
        <f>MIN((Y151)+V152,IF('Your Debts'!$G$9=0,0,INDEX('Your Debts'!$D$5:$D$12,'Your Debts'!$G$9)))</f>
        <v/>
      </c>
      <c r="X152" s="28">
        <f>W152+MIN((Y151)+V152-W152,MAX(0,$E152-((H152-G152)+(L152-K152)+(P152-O152)+(T152-S152))))</f>
        <v/>
      </c>
      <c r="Y152" s="28">
        <f>ROUND(MAX(0,(Y151)+V152-X152),2)</f>
        <v/>
      </c>
      <c r="Z152" s="28">
        <f>ROUND((AC151)*(IF('Your Debts'!$G$10=0,0,INDEX('Your Debts'!$C$5:$C$12,'Your Debts'!$G$10)/12)),2)</f>
        <v/>
      </c>
      <c r="AA152" s="28">
        <f>MIN((AC151)+Z152,IF('Your Debts'!$G$10=0,0,INDEX('Your Debts'!$D$5:$D$12,'Your Debts'!$G$10)))</f>
        <v/>
      </c>
      <c r="AB152" s="28">
        <f>AA152+MIN((AC151)+Z152-AA152,MAX(0,$E152-((H152-G152)+(L152-K152)+(P152-O152)+(T152-S152)+(X152-W152))))</f>
        <v/>
      </c>
      <c r="AC152" s="28">
        <f>ROUND(MAX(0,(AC151)+Z152-AB152),2)</f>
        <v/>
      </c>
      <c r="AD152" s="28">
        <f>ROUND((AG151)*(IF('Your Debts'!$G$11=0,0,INDEX('Your Debts'!$C$5:$C$12,'Your Debts'!$G$11)/12)),2)</f>
        <v/>
      </c>
      <c r="AE152" s="28">
        <f>MIN((AG151)+AD152,IF('Your Debts'!$G$11=0,0,INDEX('Your Debts'!$D$5:$D$12,'Your Debts'!$G$11)))</f>
        <v/>
      </c>
      <c r="AF152" s="28">
        <f>AE152+MIN((AG151)+AD152-AE152,MAX(0,$E152-((H152-G152)+(L152-K152)+(P152-O152)+(T152-S152)+(X152-W152)+(AB152-AA152))))</f>
        <v/>
      </c>
      <c r="AG152" s="28">
        <f>ROUND(MAX(0,(AG151)+AD152-AF152),2)</f>
        <v/>
      </c>
      <c r="AH152" s="28">
        <f>ROUND((AK151)*(IF('Your Debts'!$G$12=0,0,INDEX('Your Debts'!$C$5:$C$12,'Your Debts'!$G$12)/12)),2)</f>
        <v/>
      </c>
      <c r="AI152" s="28">
        <f>MIN((AK151)+AH152,IF('Your Debts'!$G$12=0,0,INDEX('Your Debts'!$D$5:$D$12,'Your Debts'!$G$12)))</f>
        <v/>
      </c>
      <c r="AJ152" s="28">
        <f>AI152+MIN((AK151)+AH152-AI152,MAX(0,$E152-((H152-G152)+(L152-K152)+(P152-O152)+(T152-S152)+(X152-W152)+(AB152-AA152)+(AF152-AE152))))</f>
        <v/>
      </c>
      <c r="AK152" s="28">
        <f>ROUND(MAX(0,(AK151)+AH152-AJ152),2)</f>
        <v/>
      </c>
      <c r="AL152" s="18">
        <f>I152+M152+Q152+U152+Y152+AC152+AG152+AK152</f>
        <v/>
      </c>
      <c r="AM152" s="27">
        <f>AM151+F152+J152+N152+R152+V152+Z152+AD152+AH152</f>
        <v/>
      </c>
    </row>
    <row r="153">
      <c r="A153" s="25" t="n">
        <v>148</v>
      </c>
      <c r="B153" s="26">
        <f>EDATE('Your Debts'!$B$19,147)</f>
        <v/>
      </c>
      <c r="C153" s="27">
        <f>'Your Debts'!$B$18</f>
        <v/>
      </c>
      <c r="D153" s="27">
        <f>G153+K153+O153+S153+W153+AA153+AE153+AI153</f>
        <v/>
      </c>
      <c r="E153" s="27">
        <f>MAX(0,C153-D153)</f>
        <v/>
      </c>
      <c r="F153" s="28">
        <f>ROUND((I152)*(IF('Your Debts'!$G$5=0,0,INDEX('Your Debts'!$C$5:$C$12,'Your Debts'!$G$5)/12)),2)</f>
        <v/>
      </c>
      <c r="G153" s="28">
        <f>MIN((I152)+F153,IF('Your Debts'!$G$5=0,0,INDEX('Your Debts'!$D$5:$D$12,'Your Debts'!$G$5)))</f>
        <v/>
      </c>
      <c r="H153" s="28">
        <f>G153+MIN((I152)+F153-G153,MAX(0,$E153-(0)))</f>
        <v/>
      </c>
      <c r="I153" s="28">
        <f>ROUND(MAX(0,(I152)+F153-H153),2)</f>
        <v/>
      </c>
      <c r="J153" s="28">
        <f>ROUND((M152)*(IF('Your Debts'!$G$6=0,0,INDEX('Your Debts'!$C$5:$C$12,'Your Debts'!$G$6)/12)),2)</f>
        <v/>
      </c>
      <c r="K153" s="28">
        <f>MIN((M152)+J153,IF('Your Debts'!$G$6=0,0,INDEX('Your Debts'!$D$5:$D$12,'Your Debts'!$G$6)))</f>
        <v/>
      </c>
      <c r="L153" s="28">
        <f>K153+MIN((M152)+J153-K153,MAX(0,$E153-((H153-G153))))</f>
        <v/>
      </c>
      <c r="M153" s="28">
        <f>ROUND(MAX(0,(M152)+J153-L153),2)</f>
        <v/>
      </c>
      <c r="N153" s="28">
        <f>ROUND((Q152)*(IF('Your Debts'!$G$7=0,0,INDEX('Your Debts'!$C$5:$C$12,'Your Debts'!$G$7)/12)),2)</f>
        <v/>
      </c>
      <c r="O153" s="28">
        <f>MIN((Q152)+N153,IF('Your Debts'!$G$7=0,0,INDEX('Your Debts'!$D$5:$D$12,'Your Debts'!$G$7)))</f>
        <v/>
      </c>
      <c r="P153" s="28">
        <f>O153+MIN((Q152)+N153-O153,MAX(0,$E153-((H153-G153)+(L153-K153))))</f>
        <v/>
      </c>
      <c r="Q153" s="28">
        <f>ROUND(MAX(0,(Q152)+N153-P153),2)</f>
        <v/>
      </c>
      <c r="R153" s="28">
        <f>ROUND((U152)*(IF('Your Debts'!$G$8=0,0,INDEX('Your Debts'!$C$5:$C$12,'Your Debts'!$G$8)/12)),2)</f>
        <v/>
      </c>
      <c r="S153" s="28">
        <f>MIN((U152)+R153,IF('Your Debts'!$G$8=0,0,INDEX('Your Debts'!$D$5:$D$12,'Your Debts'!$G$8)))</f>
        <v/>
      </c>
      <c r="T153" s="28">
        <f>S153+MIN((U152)+R153-S153,MAX(0,$E153-((H153-G153)+(L153-K153)+(P153-O153))))</f>
        <v/>
      </c>
      <c r="U153" s="28">
        <f>ROUND(MAX(0,(U152)+R153-T153),2)</f>
        <v/>
      </c>
      <c r="V153" s="28">
        <f>ROUND((Y152)*(IF('Your Debts'!$G$9=0,0,INDEX('Your Debts'!$C$5:$C$12,'Your Debts'!$G$9)/12)),2)</f>
        <v/>
      </c>
      <c r="W153" s="28">
        <f>MIN((Y152)+V153,IF('Your Debts'!$G$9=0,0,INDEX('Your Debts'!$D$5:$D$12,'Your Debts'!$G$9)))</f>
        <v/>
      </c>
      <c r="X153" s="28">
        <f>W153+MIN((Y152)+V153-W153,MAX(0,$E153-((H153-G153)+(L153-K153)+(P153-O153)+(T153-S153))))</f>
        <v/>
      </c>
      <c r="Y153" s="28">
        <f>ROUND(MAX(0,(Y152)+V153-X153),2)</f>
        <v/>
      </c>
      <c r="Z153" s="28">
        <f>ROUND((AC152)*(IF('Your Debts'!$G$10=0,0,INDEX('Your Debts'!$C$5:$C$12,'Your Debts'!$G$10)/12)),2)</f>
        <v/>
      </c>
      <c r="AA153" s="28">
        <f>MIN((AC152)+Z153,IF('Your Debts'!$G$10=0,0,INDEX('Your Debts'!$D$5:$D$12,'Your Debts'!$G$10)))</f>
        <v/>
      </c>
      <c r="AB153" s="28">
        <f>AA153+MIN((AC152)+Z153-AA153,MAX(0,$E153-((H153-G153)+(L153-K153)+(P153-O153)+(T153-S153)+(X153-W153))))</f>
        <v/>
      </c>
      <c r="AC153" s="28">
        <f>ROUND(MAX(0,(AC152)+Z153-AB153),2)</f>
        <v/>
      </c>
      <c r="AD153" s="28">
        <f>ROUND((AG152)*(IF('Your Debts'!$G$11=0,0,INDEX('Your Debts'!$C$5:$C$12,'Your Debts'!$G$11)/12)),2)</f>
        <v/>
      </c>
      <c r="AE153" s="28">
        <f>MIN((AG152)+AD153,IF('Your Debts'!$G$11=0,0,INDEX('Your Debts'!$D$5:$D$12,'Your Debts'!$G$11)))</f>
        <v/>
      </c>
      <c r="AF153" s="28">
        <f>AE153+MIN((AG152)+AD153-AE153,MAX(0,$E153-((H153-G153)+(L153-K153)+(P153-O153)+(T153-S153)+(X153-W153)+(AB153-AA153))))</f>
        <v/>
      </c>
      <c r="AG153" s="28">
        <f>ROUND(MAX(0,(AG152)+AD153-AF153),2)</f>
        <v/>
      </c>
      <c r="AH153" s="28">
        <f>ROUND((AK152)*(IF('Your Debts'!$G$12=0,0,INDEX('Your Debts'!$C$5:$C$12,'Your Debts'!$G$12)/12)),2)</f>
        <v/>
      </c>
      <c r="AI153" s="28">
        <f>MIN((AK152)+AH153,IF('Your Debts'!$G$12=0,0,INDEX('Your Debts'!$D$5:$D$12,'Your Debts'!$G$12)))</f>
        <v/>
      </c>
      <c r="AJ153" s="28">
        <f>AI153+MIN((AK152)+AH153-AI153,MAX(0,$E153-((H153-G153)+(L153-K153)+(P153-O153)+(T153-S153)+(X153-W153)+(AB153-AA153)+(AF153-AE153))))</f>
        <v/>
      </c>
      <c r="AK153" s="28">
        <f>ROUND(MAX(0,(AK152)+AH153-AJ153),2)</f>
        <v/>
      </c>
      <c r="AL153" s="18">
        <f>I153+M153+Q153+U153+Y153+AC153+AG153+AK153</f>
        <v/>
      </c>
      <c r="AM153" s="27">
        <f>AM152+F153+J153+N153+R153+V153+Z153+AD153+AH153</f>
        <v/>
      </c>
    </row>
    <row r="154">
      <c r="A154" s="25" t="n">
        <v>149</v>
      </c>
      <c r="B154" s="26">
        <f>EDATE('Your Debts'!$B$19,148)</f>
        <v/>
      </c>
      <c r="C154" s="27">
        <f>'Your Debts'!$B$18</f>
        <v/>
      </c>
      <c r="D154" s="27">
        <f>G154+K154+O154+S154+W154+AA154+AE154+AI154</f>
        <v/>
      </c>
      <c r="E154" s="27">
        <f>MAX(0,C154-D154)</f>
        <v/>
      </c>
      <c r="F154" s="28">
        <f>ROUND((I153)*(IF('Your Debts'!$G$5=0,0,INDEX('Your Debts'!$C$5:$C$12,'Your Debts'!$G$5)/12)),2)</f>
        <v/>
      </c>
      <c r="G154" s="28">
        <f>MIN((I153)+F154,IF('Your Debts'!$G$5=0,0,INDEX('Your Debts'!$D$5:$D$12,'Your Debts'!$G$5)))</f>
        <v/>
      </c>
      <c r="H154" s="28">
        <f>G154+MIN((I153)+F154-G154,MAX(0,$E154-(0)))</f>
        <v/>
      </c>
      <c r="I154" s="28">
        <f>ROUND(MAX(0,(I153)+F154-H154),2)</f>
        <v/>
      </c>
      <c r="J154" s="28">
        <f>ROUND((M153)*(IF('Your Debts'!$G$6=0,0,INDEX('Your Debts'!$C$5:$C$12,'Your Debts'!$G$6)/12)),2)</f>
        <v/>
      </c>
      <c r="K154" s="28">
        <f>MIN((M153)+J154,IF('Your Debts'!$G$6=0,0,INDEX('Your Debts'!$D$5:$D$12,'Your Debts'!$G$6)))</f>
        <v/>
      </c>
      <c r="L154" s="28">
        <f>K154+MIN((M153)+J154-K154,MAX(0,$E154-((H154-G154))))</f>
        <v/>
      </c>
      <c r="M154" s="28">
        <f>ROUND(MAX(0,(M153)+J154-L154),2)</f>
        <v/>
      </c>
      <c r="N154" s="28">
        <f>ROUND((Q153)*(IF('Your Debts'!$G$7=0,0,INDEX('Your Debts'!$C$5:$C$12,'Your Debts'!$G$7)/12)),2)</f>
        <v/>
      </c>
      <c r="O154" s="28">
        <f>MIN((Q153)+N154,IF('Your Debts'!$G$7=0,0,INDEX('Your Debts'!$D$5:$D$12,'Your Debts'!$G$7)))</f>
        <v/>
      </c>
      <c r="P154" s="28">
        <f>O154+MIN((Q153)+N154-O154,MAX(0,$E154-((H154-G154)+(L154-K154))))</f>
        <v/>
      </c>
      <c r="Q154" s="28">
        <f>ROUND(MAX(0,(Q153)+N154-P154),2)</f>
        <v/>
      </c>
      <c r="R154" s="28">
        <f>ROUND((U153)*(IF('Your Debts'!$G$8=0,0,INDEX('Your Debts'!$C$5:$C$12,'Your Debts'!$G$8)/12)),2)</f>
        <v/>
      </c>
      <c r="S154" s="28">
        <f>MIN((U153)+R154,IF('Your Debts'!$G$8=0,0,INDEX('Your Debts'!$D$5:$D$12,'Your Debts'!$G$8)))</f>
        <v/>
      </c>
      <c r="T154" s="28">
        <f>S154+MIN((U153)+R154-S154,MAX(0,$E154-((H154-G154)+(L154-K154)+(P154-O154))))</f>
        <v/>
      </c>
      <c r="U154" s="28">
        <f>ROUND(MAX(0,(U153)+R154-T154),2)</f>
        <v/>
      </c>
      <c r="V154" s="28">
        <f>ROUND((Y153)*(IF('Your Debts'!$G$9=0,0,INDEX('Your Debts'!$C$5:$C$12,'Your Debts'!$G$9)/12)),2)</f>
        <v/>
      </c>
      <c r="W154" s="28">
        <f>MIN((Y153)+V154,IF('Your Debts'!$G$9=0,0,INDEX('Your Debts'!$D$5:$D$12,'Your Debts'!$G$9)))</f>
        <v/>
      </c>
      <c r="X154" s="28">
        <f>W154+MIN((Y153)+V154-W154,MAX(0,$E154-((H154-G154)+(L154-K154)+(P154-O154)+(T154-S154))))</f>
        <v/>
      </c>
      <c r="Y154" s="28">
        <f>ROUND(MAX(0,(Y153)+V154-X154),2)</f>
        <v/>
      </c>
      <c r="Z154" s="28">
        <f>ROUND((AC153)*(IF('Your Debts'!$G$10=0,0,INDEX('Your Debts'!$C$5:$C$12,'Your Debts'!$G$10)/12)),2)</f>
        <v/>
      </c>
      <c r="AA154" s="28">
        <f>MIN((AC153)+Z154,IF('Your Debts'!$G$10=0,0,INDEX('Your Debts'!$D$5:$D$12,'Your Debts'!$G$10)))</f>
        <v/>
      </c>
      <c r="AB154" s="28">
        <f>AA154+MIN((AC153)+Z154-AA154,MAX(0,$E154-((H154-G154)+(L154-K154)+(P154-O154)+(T154-S154)+(X154-W154))))</f>
        <v/>
      </c>
      <c r="AC154" s="28">
        <f>ROUND(MAX(0,(AC153)+Z154-AB154),2)</f>
        <v/>
      </c>
      <c r="AD154" s="28">
        <f>ROUND((AG153)*(IF('Your Debts'!$G$11=0,0,INDEX('Your Debts'!$C$5:$C$12,'Your Debts'!$G$11)/12)),2)</f>
        <v/>
      </c>
      <c r="AE154" s="28">
        <f>MIN((AG153)+AD154,IF('Your Debts'!$G$11=0,0,INDEX('Your Debts'!$D$5:$D$12,'Your Debts'!$G$11)))</f>
        <v/>
      </c>
      <c r="AF154" s="28">
        <f>AE154+MIN((AG153)+AD154-AE154,MAX(0,$E154-((H154-G154)+(L154-K154)+(P154-O154)+(T154-S154)+(X154-W154)+(AB154-AA154))))</f>
        <v/>
      </c>
      <c r="AG154" s="28">
        <f>ROUND(MAX(0,(AG153)+AD154-AF154),2)</f>
        <v/>
      </c>
      <c r="AH154" s="28">
        <f>ROUND((AK153)*(IF('Your Debts'!$G$12=0,0,INDEX('Your Debts'!$C$5:$C$12,'Your Debts'!$G$12)/12)),2)</f>
        <v/>
      </c>
      <c r="AI154" s="28">
        <f>MIN((AK153)+AH154,IF('Your Debts'!$G$12=0,0,INDEX('Your Debts'!$D$5:$D$12,'Your Debts'!$G$12)))</f>
        <v/>
      </c>
      <c r="AJ154" s="28">
        <f>AI154+MIN((AK153)+AH154-AI154,MAX(0,$E154-((H154-G154)+(L154-K154)+(P154-O154)+(T154-S154)+(X154-W154)+(AB154-AA154)+(AF154-AE154))))</f>
        <v/>
      </c>
      <c r="AK154" s="28">
        <f>ROUND(MAX(0,(AK153)+AH154-AJ154),2)</f>
        <v/>
      </c>
      <c r="AL154" s="18">
        <f>I154+M154+Q154+U154+Y154+AC154+AG154+AK154</f>
        <v/>
      </c>
      <c r="AM154" s="27">
        <f>AM153+F154+J154+N154+R154+V154+Z154+AD154+AH154</f>
        <v/>
      </c>
    </row>
    <row r="155">
      <c r="A155" s="25" t="n">
        <v>150</v>
      </c>
      <c r="B155" s="26">
        <f>EDATE('Your Debts'!$B$19,149)</f>
        <v/>
      </c>
      <c r="C155" s="27">
        <f>'Your Debts'!$B$18</f>
        <v/>
      </c>
      <c r="D155" s="27">
        <f>G155+K155+O155+S155+W155+AA155+AE155+AI155</f>
        <v/>
      </c>
      <c r="E155" s="27">
        <f>MAX(0,C155-D155)</f>
        <v/>
      </c>
      <c r="F155" s="28">
        <f>ROUND((I154)*(IF('Your Debts'!$G$5=0,0,INDEX('Your Debts'!$C$5:$C$12,'Your Debts'!$G$5)/12)),2)</f>
        <v/>
      </c>
      <c r="G155" s="28">
        <f>MIN((I154)+F155,IF('Your Debts'!$G$5=0,0,INDEX('Your Debts'!$D$5:$D$12,'Your Debts'!$G$5)))</f>
        <v/>
      </c>
      <c r="H155" s="28">
        <f>G155+MIN((I154)+F155-G155,MAX(0,$E155-(0)))</f>
        <v/>
      </c>
      <c r="I155" s="28">
        <f>ROUND(MAX(0,(I154)+F155-H155),2)</f>
        <v/>
      </c>
      <c r="J155" s="28">
        <f>ROUND((M154)*(IF('Your Debts'!$G$6=0,0,INDEX('Your Debts'!$C$5:$C$12,'Your Debts'!$G$6)/12)),2)</f>
        <v/>
      </c>
      <c r="K155" s="28">
        <f>MIN((M154)+J155,IF('Your Debts'!$G$6=0,0,INDEX('Your Debts'!$D$5:$D$12,'Your Debts'!$G$6)))</f>
        <v/>
      </c>
      <c r="L155" s="28">
        <f>K155+MIN((M154)+J155-K155,MAX(0,$E155-((H155-G155))))</f>
        <v/>
      </c>
      <c r="M155" s="28">
        <f>ROUND(MAX(0,(M154)+J155-L155),2)</f>
        <v/>
      </c>
      <c r="N155" s="28">
        <f>ROUND((Q154)*(IF('Your Debts'!$G$7=0,0,INDEX('Your Debts'!$C$5:$C$12,'Your Debts'!$G$7)/12)),2)</f>
        <v/>
      </c>
      <c r="O155" s="28">
        <f>MIN((Q154)+N155,IF('Your Debts'!$G$7=0,0,INDEX('Your Debts'!$D$5:$D$12,'Your Debts'!$G$7)))</f>
        <v/>
      </c>
      <c r="P155" s="28">
        <f>O155+MIN((Q154)+N155-O155,MAX(0,$E155-((H155-G155)+(L155-K155))))</f>
        <v/>
      </c>
      <c r="Q155" s="28">
        <f>ROUND(MAX(0,(Q154)+N155-P155),2)</f>
        <v/>
      </c>
      <c r="R155" s="28">
        <f>ROUND((U154)*(IF('Your Debts'!$G$8=0,0,INDEX('Your Debts'!$C$5:$C$12,'Your Debts'!$G$8)/12)),2)</f>
        <v/>
      </c>
      <c r="S155" s="28">
        <f>MIN((U154)+R155,IF('Your Debts'!$G$8=0,0,INDEX('Your Debts'!$D$5:$D$12,'Your Debts'!$G$8)))</f>
        <v/>
      </c>
      <c r="T155" s="28">
        <f>S155+MIN((U154)+R155-S155,MAX(0,$E155-((H155-G155)+(L155-K155)+(P155-O155))))</f>
        <v/>
      </c>
      <c r="U155" s="28">
        <f>ROUND(MAX(0,(U154)+R155-T155),2)</f>
        <v/>
      </c>
      <c r="V155" s="28">
        <f>ROUND((Y154)*(IF('Your Debts'!$G$9=0,0,INDEX('Your Debts'!$C$5:$C$12,'Your Debts'!$G$9)/12)),2)</f>
        <v/>
      </c>
      <c r="W155" s="28">
        <f>MIN((Y154)+V155,IF('Your Debts'!$G$9=0,0,INDEX('Your Debts'!$D$5:$D$12,'Your Debts'!$G$9)))</f>
        <v/>
      </c>
      <c r="X155" s="28">
        <f>W155+MIN((Y154)+V155-W155,MAX(0,$E155-((H155-G155)+(L155-K155)+(P155-O155)+(T155-S155))))</f>
        <v/>
      </c>
      <c r="Y155" s="28">
        <f>ROUND(MAX(0,(Y154)+V155-X155),2)</f>
        <v/>
      </c>
      <c r="Z155" s="28">
        <f>ROUND((AC154)*(IF('Your Debts'!$G$10=0,0,INDEX('Your Debts'!$C$5:$C$12,'Your Debts'!$G$10)/12)),2)</f>
        <v/>
      </c>
      <c r="AA155" s="28">
        <f>MIN((AC154)+Z155,IF('Your Debts'!$G$10=0,0,INDEX('Your Debts'!$D$5:$D$12,'Your Debts'!$G$10)))</f>
        <v/>
      </c>
      <c r="AB155" s="28">
        <f>AA155+MIN((AC154)+Z155-AA155,MAX(0,$E155-((H155-G155)+(L155-K155)+(P155-O155)+(T155-S155)+(X155-W155))))</f>
        <v/>
      </c>
      <c r="AC155" s="28">
        <f>ROUND(MAX(0,(AC154)+Z155-AB155),2)</f>
        <v/>
      </c>
      <c r="AD155" s="28">
        <f>ROUND((AG154)*(IF('Your Debts'!$G$11=0,0,INDEX('Your Debts'!$C$5:$C$12,'Your Debts'!$G$11)/12)),2)</f>
        <v/>
      </c>
      <c r="AE155" s="28">
        <f>MIN((AG154)+AD155,IF('Your Debts'!$G$11=0,0,INDEX('Your Debts'!$D$5:$D$12,'Your Debts'!$G$11)))</f>
        <v/>
      </c>
      <c r="AF155" s="28">
        <f>AE155+MIN((AG154)+AD155-AE155,MAX(0,$E155-((H155-G155)+(L155-K155)+(P155-O155)+(T155-S155)+(X155-W155)+(AB155-AA155))))</f>
        <v/>
      </c>
      <c r="AG155" s="28">
        <f>ROUND(MAX(0,(AG154)+AD155-AF155),2)</f>
        <v/>
      </c>
      <c r="AH155" s="28">
        <f>ROUND((AK154)*(IF('Your Debts'!$G$12=0,0,INDEX('Your Debts'!$C$5:$C$12,'Your Debts'!$G$12)/12)),2)</f>
        <v/>
      </c>
      <c r="AI155" s="28">
        <f>MIN((AK154)+AH155,IF('Your Debts'!$G$12=0,0,INDEX('Your Debts'!$D$5:$D$12,'Your Debts'!$G$12)))</f>
        <v/>
      </c>
      <c r="AJ155" s="28">
        <f>AI155+MIN((AK154)+AH155-AI155,MAX(0,$E155-((H155-G155)+(L155-K155)+(P155-O155)+(T155-S155)+(X155-W155)+(AB155-AA155)+(AF155-AE155))))</f>
        <v/>
      </c>
      <c r="AK155" s="28">
        <f>ROUND(MAX(0,(AK154)+AH155-AJ155),2)</f>
        <v/>
      </c>
      <c r="AL155" s="18">
        <f>I155+M155+Q155+U155+Y155+AC155+AG155+AK155</f>
        <v/>
      </c>
      <c r="AM155" s="27">
        <f>AM154+F155+J155+N155+R155+V155+Z155+AD155+AH155</f>
        <v/>
      </c>
    </row>
    <row r="156">
      <c r="A156" s="25" t="n">
        <v>151</v>
      </c>
      <c r="B156" s="26">
        <f>EDATE('Your Debts'!$B$19,150)</f>
        <v/>
      </c>
      <c r="C156" s="27">
        <f>'Your Debts'!$B$18</f>
        <v/>
      </c>
      <c r="D156" s="27">
        <f>G156+K156+O156+S156+W156+AA156+AE156+AI156</f>
        <v/>
      </c>
      <c r="E156" s="27">
        <f>MAX(0,C156-D156)</f>
        <v/>
      </c>
      <c r="F156" s="28">
        <f>ROUND((I155)*(IF('Your Debts'!$G$5=0,0,INDEX('Your Debts'!$C$5:$C$12,'Your Debts'!$G$5)/12)),2)</f>
        <v/>
      </c>
      <c r="G156" s="28">
        <f>MIN((I155)+F156,IF('Your Debts'!$G$5=0,0,INDEX('Your Debts'!$D$5:$D$12,'Your Debts'!$G$5)))</f>
        <v/>
      </c>
      <c r="H156" s="28">
        <f>G156+MIN((I155)+F156-G156,MAX(0,$E156-(0)))</f>
        <v/>
      </c>
      <c r="I156" s="28">
        <f>ROUND(MAX(0,(I155)+F156-H156),2)</f>
        <v/>
      </c>
      <c r="J156" s="28">
        <f>ROUND((M155)*(IF('Your Debts'!$G$6=0,0,INDEX('Your Debts'!$C$5:$C$12,'Your Debts'!$G$6)/12)),2)</f>
        <v/>
      </c>
      <c r="K156" s="28">
        <f>MIN((M155)+J156,IF('Your Debts'!$G$6=0,0,INDEX('Your Debts'!$D$5:$D$12,'Your Debts'!$G$6)))</f>
        <v/>
      </c>
      <c r="L156" s="28">
        <f>K156+MIN((M155)+J156-K156,MAX(0,$E156-((H156-G156))))</f>
        <v/>
      </c>
      <c r="M156" s="28">
        <f>ROUND(MAX(0,(M155)+J156-L156),2)</f>
        <v/>
      </c>
      <c r="N156" s="28">
        <f>ROUND((Q155)*(IF('Your Debts'!$G$7=0,0,INDEX('Your Debts'!$C$5:$C$12,'Your Debts'!$G$7)/12)),2)</f>
        <v/>
      </c>
      <c r="O156" s="28">
        <f>MIN((Q155)+N156,IF('Your Debts'!$G$7=0,0,INDEX('Your Debts'!$D$5:$D$12,'Your Debts'!$G$7)))</f>
        <v/>
      </c>
      <c r="P156" s="28">
        <f>O156+MIN((Q155)+N156-O156,MAX(0,$E156-((H156-G156)+(L156-K156))))</f>
        <v/>
      </c>
      <c r="Q156" s="28">
        <f>ROUND(MAX(0,(Q155)+N156-P156),2)</f>
        <v/>
      </c>
      <c r="R156" s="28">
        <f>ROUND((U155)*(IF('Your Debts'!$G$8=0,0,INDEX('Your Debts'!$C$5:$C$12,'Your Debts'!$G$8)/12)),2)</f>
        <v/>
      </c>
      <c r="S156" s="28">
        <f>MIN((U155)+R156,IF('Your Debts'!$G$8=0,0,INDEX('Your Debts'!$D$5:$D$12,'Your Debts'!$G$8)))</f>
        <v/>
      </c>
      <c r="T156" s="28">
        <f>S156+MIN((U155)+R156-S156,MAX(0,$E156-((H156-G156)+(L156-K156)+(P156-O156))))</f>
        <v/>
      </c>
      <c r="U156" s="28">
        <f>ROUND(MAX(0,(U155)+R156-T156),2)</f>
        <v/>
      </c>
      <c r="V156" s="28">
        <f>ROUND((Y155)*(IF('Your Debts'!$G$9=0,0,INDEX('Your Debts'!$C$5:$C$12,'Your Debts'!$G$9)/12)),2)</f>
        <v/>
      </c>
      <c r="W156" s="28">
        <f>MIN((Y155)+V156,IF('Your Debts'!$G$9=0,0,INDEX('Your Debts'!$D$5:$D$12,'Your Debts'!$G$9)))</f>
        <v/>
      </c>
      <c r="X156" s="28">
        <f>W156+MIN((Y155)+V156-W156,MAX(0,$E156-((H156-G156)+(L156-K156)+(P156-O156)+(T156-S156))))</f>
        <v/>
      </c>
      <c r="Y156" s="28">
        <f>ROUND(MAX(0,(Y155)+V156-X156),2)</f>
        <v/>
      </c>
      <c r="Z156" s="28">
        <f>ROUND((AC155)*(IF('Your Debts'!$G$10=0,0,INDEX('Your Debts'!$C$5:$C$12,'Your Debts'!$G$10)/12)),2)</f>
        <v/>
      </c>
      <c r="AA156" s="28">
        <f>MIN((AC155)+Z156,IF('Your Debts'!$G$10=0,0,INDEX('Your Debts'!$D$5:$D$12,'Your Debts'!$G$10)))</f>
        <v/>
      </c>
      <c r="AB156" s="28">
        <f>AA156+MIN((AC155)+Z156-AA156,MAX(0,$E156-((H156-G156)+(L156-K156)+(P156-O156)+(T156-S156)+(X156-W156))))</f>
        <v/>
      </c>
      <c r="AC156" s="28">
        <f>ROUND(MAX(0,(AC155)+Z156-AB156),2)</f>
        <v/>
      </c>
      <c r="AD156" s="28">
        <f>ROUND((AG155)*(IF('Your Debts'!$G$11=0,0,INDEX('Your Debts'!$C$5:$C$12,'Your Debts'!$G$11)/12)),2)</f>
        <v/>
      </c>
      <c r="AE156" s="28">
        <f>MIN((AG155)+AD156,IF('Your Debts'!$G$11=0,0,INDEX('Your Debts'!$D$5:$D$12,'Your Debts'!$G$11)))</f>
        <v/>
      </c>
      <c r="AF156" s="28">
        <f>AE156+MIN((AG155)+AD156-AE156,MAX(0,$E156-((H156-G156)+(L156-K156)+(P156-O156)+(T156-S156)+(X156-W156)+(AB156-AA156))))</f>
        <v/>
      </c>
      <c r="AG156" s="28">
        <f>ROUND(MAX(0,(AG155)+AD156-AF156),2)</f>
        <v/>
      </c>
      <c r="AH156" s="28">
        <f>ROUND((AK155)*(IF('Your Debts'!$G$12=0,0,INDEX('Your Debts'!$C$5:$C$12,'Your Debts'!$G$12)/12)),2)</f>
        <v/>
      </c>
      <c r="AI156" s="28">
        <f>MIN((AK155)+AH156,IF('Your Debts'!$G$12=0,0,INDEX('Your Debts'!$D$5:$D$12,'Your Debts'!$G$12)))</f>
        <v/>
      </c>
      <c r="AJ156" s="28">
        <f>AI156+MIN((AK155)+AH156-AI156,MAX(0,$E156-((H156-G156)+(L156-K156)+(P156-O156)+(T156-S156)+(X156-W156)+(AB156-AA156)+(AF156-AE156))))</f>
        <v/>
      </c>
      <c r="AK156" s="28">
        <f>ROUND(MAX(0,(AK155)+AH156-AJ156),2)</f>
        <v/>
      </c>
      <c r="AL156" s="18">
        <f>I156+M156+Q156+U156+Y156+AC156+AG156+AK156</f>
        <v/>
      </c>
      <c r="AM156" s="27">
        <f>AM155+F156+J156+N156+R156+V156+Z156+AD156+AH156</f>
        <v/>
      </c>
    </row>
    <row r="157">
      <c r="A157" s="25" t="n">
        <v>152</v>
      </c>
      <c r="B157" s="26">
        <f>EDATE('Your Debts'!$B$19,151)</f>
        <v/>
      </c>
      <c r="C157" s="27">
        <f>'Your Debts'!$B$18</f>
        <v/>
      </c>
      <c r="D157" s="27">
        <f>G157+K157+O157+S157+W157+AA157+AE157+AI157</f>
        <v/>
      </c>
      <c r="E157" s="27">
        <f>MAX(0,C157-D157)</f>
        <v/>
      </c>
      <c r="F157" s="28">
        <f>ROUND((I156)*(IF('Your Debts'!$G$5=0,0,INDEX('Your Debts'!$C$5:$C$12,'Your Debts'!$G$5)/12)),2)</f>
        <v/>
      </c>
      <c r="G157" s="28">
        <f>MIN((I156)+F157,IF('Your Debts'!$G$5=0,0,INDEX('Your Debts'!$D$5:$D$12,'Your Debts'!$G$5)))</f>
        <v/>
      </c>
      <c r="H157" s="28">
        <f>G157+MIN((I156)+F157-G157,MAX(0,$E157-(0)))</f>
        <v/>
      </c>
      <c r="I157" s="28">
        <f>ROUND(MAX(0,(I156)+F157-H157),2)</f>
        <v/>
      </c>
      <c r="J157" s="28">
        <f>ROUND((M156)*(IF('Your Debts'!$G$6=0,0,INDEX('Your Debts'!$C$5:$C$12,'Your Debts'!$G$6)/12)),2)</f>
        <v/>
      </c>
      <c r="K157" s="28">
        <f>MIN((M156)+J157,IF('Your Debts'!$G$6=0,0,INDEX('Your Debts'!$D$5:$D$12,'Your Debts'!$G$6)))</f>
        <v/>
      </c>
      <c r="L157" s="28">
        <f>K157+MIN((M156)+J157-K157,MAX(0,$E157-((H157-G157))))</f>
        <v/>
      </c>
      <c r="M157" s="28">
        <f>ROUND(MAX(0,(M156)+J157-L157),2)</f>
        <v/>
      </c>
      <c r="N157" s="28">
        <f>ROUND((Q156)*(IF('Your Debts'!$G$7=0,0,INDEX('Your Debts'!$C$5:$C$12,'Your Debts'!$G$7)/12)),2)</f>
        <v/>
      </c>
      <c r="O157" s="28">
        <f>MIN((Q156)+N157,IF('Your Debts'!$G$7=0,0,INDEX('Your Debts'!$D$5:$D$12,'Your Debts'!$G$7)))</f>
        <v/>
      </c>
      <c r="P157" s="28">
        <f>O157+MIN((Q156)+N157-O157,MAX(0,$E157-((H157-G157)+(L157-K157))))</f>
        <v/>
      </c>
      <c r="Q157" s="28">
        <f>ROUND(MAX(0,(Q156)+N157-P157),2)</f>
        <v/>
      </c>
      <c r="R157" s="28">
        <f>ROUND((U156)*(IF('Your Debts'!$G$8=0,0,INDEX('Your Debts'!$C$5:$C$12,'Your Debts'!$G$8)/12)),2)</f>
        <v/>
      </c>
      <c r="S157" s="28">
        <f>MIN((U156)+R157,IF('Your Debts'!$G$8=0,0,INDEX('Your Debts'!$D$5:$D$12,'Your Debts'!$G$8)))</f>
        <v/>
      </c>
      <c r="T157" s="28">
        <f>S157+MIN((U156)+R157-S157,MAX(0,$E157-((H157-G157)+(L157-K157)+(P157-O157))))</f>
        <v/>
      </c>
      <c r="U157" s="28">
        <f>ROUND(MAX(0,(U156)+R157-T157),2)</f>
        <v/>
      </c>
      <c r="V157" s="28">
        <f>ROUND((Y156)*(IF('Your Debts'!$G$9=0,0,INDEX('Your Debts'!$C$5:$C$12,'Your Debts'!$G$9)/12)),2)</f>
        <v/>
      </c>
      <c r="W157" s="28">
        <f>MIN((Y156)+V157,IF('Your Debts'!$G$9=0,0,INDEX('Your Debts'!$D$5:$D$12,'Your Debts'!$G$9)))</f>
        <v/>
      </c>
      <c r="X157" s="28">
        <f>W157+MIN((Y156)+V157-W157,MAX(0,$E157-((H157-G157)+(L157-K157)+(P157-O157)+(T157-S157))))</f>
        <v/>
      </c>
      <c r="Y157" s="28">
        <f>ROUND(MAX(0,(Y156)+V157-X157),2)</f>
        <v/>
      </c>
      <c r="Z157" s="28">
        <f>ROUND((AC156)*(IF('Your Debts'!$G$10=0,0,INDEX('Your Debts'!$C$5:$C$12,'Your Debts'!$G$10)/12)),2)</f>
        <v/>
      </c>
      <c r="AA157" s="28">
        <f>MIN((AC156)+Z157,IF('Your Debts'!$G$10=0,0,INDEX('Your Debts'!$D$5:$D$12,'Your Debts'!$G$10)))</f>
        <v/>
      </c>
      <c r="AB157" s="28">
        <f>AA157+MIN((AC156)+Z157-AA157,MAX(0,$E157-((H157-G157)+(L157-K157)+(P157-O157)+(T157-S157)+(X157-W157))))</f>
        <v/>
      </c>
      <c r="AC157" s="28">
        <f>ROUND(MAX(0,(AC156)+Z157-AB157),2)</f>
        <v/>
      </c>
      <c r="AD157" s="28">
        <f>ROUND((AG156)*(IF('Your Debts'!$G$11=0,0,INDEX('Your Debts'!$C$5:$C$12,'Your Debts'!$G$11)/12)),2)</f>
        <v/>
      </c>
      <c r="AE157" s="28">
        <f>MIN((AG156)+AD157,IF('Your Debts'!$G$11=0,0,INDEX('Your Debts'!$D$5:$D$12,'Your Debts'!$G$11)))</f>
        <v/>
      </c>
      <c r="AF157" s="28">
        <f>AE157+MIN((AG156)+AD157-AE157,MAX(0,$E157-((H157-G157)+(L157-K157)+(P157-O157)+(T157-S157)+(X157-W157)+(AB157-AA157))))</f>
        <v/>
      </c>
      <c r="AG157" s="28">
        <f>ROUND(MAX(0,(AG156)+AD157-AF157),2)</f>
        <v/>
      </c>
      <c r="AH157" s="28">
        <f>ROUND((AK156)*(IF('Your Debts'!$G$12=0,0,INDEX('Your Debts'!$C$5:$C$12,'Your Debts'!$G$12)/12)),2)</f>
        <v/>
      </c>
      <c r="AI157" s="28">
        <f>MIN((AK156)+AH157,IF('Your Debts'!$G$12=0,0,INDEX('Your Debts'!$D$5:$D$12,'Your Debts'!$G$12)))</f>
        <v/>
      </c>
      <c r="AJ157" s="28">
        <f>AI157+MIN((AK156)+AH157-AI157,MAX(0,$E157-((H157-G157)+(L157-K157)+(P157-O157)+(T157-S157)+(X157-W157)+(AB157-AA157)+(AF157-AE157))))</f>
        <v/>
      </c>
      <c r="AK157" s="28">
        <f>ROUND(MAX(0,(AK156)+AH157-AJ157),2)</f>
        <v/>
      </c>
      <c r="AL157" s="18">
        <f>I157+M157+Q157+U157+Y157+AC157+AG157+AK157</f>
        <v/>
      </c>
      <c r="AM157" s="27">
        <f>AM156+F157+J157+N157+R157+V157+Z157+AD157+AH157</f>
        <v/>
      </c>
    </row>
    <row r="158">
      <c r="A158" s="25" t="n">
        <v>153</v>
      </c>
      <c r="B158" s="26">
        <f>EDATE('Your Debts'!$B$19,152)</f>
        <v/>
      </c>
      <c r="C158" s="27">
        <f>'Your Debts'!$B$18</f>
        <v/>
      </c>
      <c r="D158" s="27">
        <f>G158+K158+O158+S158+W158+AA158+AE158+AI158</f>
        <v/>
      </c>
      <c r="E158" s="27">
        <f>MAX(0,C158-D158)</f>
        <v/>
      </c>
      <c r="F158" s="28">
        <f>ROUND((I157)*(IF('Your Debts'!$G$5=0,0,INDEX('Your Debts'!$C$5:$C$12,'Your Debts'!$G$5)/12)),2)</f>
        <v/>
      </c>
      <c r="G158" s="28">
        <f>MIN((I157)+F158,IF('Your Debts'!$G$5=0,0,INDEX('Your Debts'!$D$5:$D$12,'Your Debts'!$G$5)))</f>
        <v/>
      </c>
      <c r="H158" s="28">
        <f>G158+MIN((I157)+F158-G158,MAX(0,$E158-(0)))</f>
        <v/>
      </c>
      <c r="I158" s="28">
        <f>ROUND(MAX(0,(I157)+F158-H158),2)</f>
        <v/>
      </c>
      <c r="J158" s="28">
        <f>ROUND((M157)*(IF('Your Debts'!$G$6=0,0,INDEX('Your Debts'!$C$5:$C$12,'Your Debts'!$G$6)/12)),2)</f>
        <v/>
      </c>
      <c r="K158" s="28">
        <f>MIN((M157)+J158,IF('Your Debts'!$G$6=0,0,INDEX('Your Debts'!$D$5:$D$12,'Your Debts'!$G$6)))</f>
        <v/>
      </c>
      <c r="L158" s="28">
        <f>K158+MIN((M157)+J158-K158,MAX(0,$E158-((H158-G158))))</f>
        <v/>
      </c>
      <c r="M158" s="28">
        <f>ROUND(MAX(0,(M157)+J158-L158),2)</f>
        <v/>
      </c>
      <c r="N158" s="28">
        <f>ROUND((Q157)*(IF('Your Debts'!$G$7=0,0,INDEX('Your Debts'!$C$5:$C$12,'Your Debts'!$G$7)/12)),2)</f>
        <v/>
      </c>
      <c r="O158" s="28">
        <f>MIN((Q157)+N158,IF('Your Debts'!$G$7=0,0,INDEX('Your Debts'!$D$5:$D$12,'Your Debts'!$G$7)))</f>
        <v/>
      </c>
      <c r="P158" s="28">
        <f>O158+MIN((Q157)+N158-O158,MAX(0,$E158-((H158-G158)+(L158-K158))))</f>
        <v/>
      </c>
      <c r="Q158" s="28">
        <f>ROUND(MAX(0,(Q157)+N158-P158),2)</f>
        <v/>
      </c>
      <c r="R158" s="28">
        <f>ROUND((U157)*(IF('Your Debts'!$G$8=0,0,INDEX('Your Debts'!$C$5:$C$12,'Your Debts'!$G$8)/12)),2)</f>
        <v/>
      </c>
      <c r="S158" s="28">
        <f>MIN((U157)+R158,IF('Your Debts'!$G$8=0,0,INDEX('Your Debts'!$D$5:$D$12,'Your Debts'!$G$8)))</f>
        <v/>
      </c>
      <c r="T158" s="28">
        <f>S158+MIN((U157)+R158-S158,MAX(0,$E158-((H158-G158)+(L158-K158)+(P158-O158))))</f>
        <v/>
      </c>
      <c r="U158" s="28">
        <f>ROUND(MAX(0,(U157)+R158-T158),2)</f>
        <v/>
      </c>
      <c r="V158" s="28">
        <f>ROUND((Y157)*(IF('Your Debts'!$G$9=0,0,INDEX('Your Debts'!$C$5:$C$12,'Your Debts'!$G$9)/12)),2)</f>
        <v/>
      </c>
      <c r="W158" s="28">
        <f>MIN((Y157)+V158,IF('Your Debts'!$G$9=0,0,INDEX('Your Debts'!$D$5:$D$12,'Your Debts'!$G$9)))</f>
        <v/>
      </c>
      <c r="X158" s="28">
        <f>W158+MIN((Y157)+V158-W158,MAX(0,$E158-((H158-G158)+(L158-K158)+(P158-O158)+(T158-S158))))</f>
        <v/>
      </c>
      <c r="Y158" s="28">
        <f>ROUND(MAX(0,(Y157)+V158-X158),2)</f>
        <v/>
      </c>
      <c r="Z158" s="28">
        <f>ROUND((AC157)*(IF('Your Debts'!$G$10=0,0,INDEX('Your Debts'!$C$5:$C$12,'Your Debts'!$G$10)/12)),2)</f>
        <v/>
      </c>
      <c r="AA158" s="28">
        <f>MIN((AC157)+Z158,IF('Your Debts'!$G$10=0,0,INDEX('Your Debts'!$D$5:$D$12,'Your Debts'!$G$10)))</f>
        <v/>
      </c>
      <c r="AB158" s="28">
        <f>AA158+MIN((AC157)+Z158-AA158,MAX(0,$E158-((H158-G158)+(L158-K158)+(P158-O158)+(T158-S158)+(X158-W158))))</f>
        <v/>
      </c>
      <c r="AC158" s="28">
        <f>ROUND(MAX(0,(AC157)+Z158-AB158),2)</f>
        <v/>
      </c>
      <c r="AD158" s="28">
        <f>ROUND((AG157)*(IF('Your Debts'!$G$11=0,0,INDEX('Your Debts'!$C$5:$C$12,'Your Debts'!$G$11)/12)),2)</f>
        <v/>
      </c>
      <c r="AE158" s="28">
        <f>MIN((AG157)+AD158,IF('Your Debts'!$G$11=0,0,INDEX('Your Debts'!$D$5:$D$12,'Your Debts'!$G$11)))</f>
        <v/>
      </c>
      <c r="AF158" s="28">
        <f>AE158+MIN((AG157)+AD158-AE158,MAX(0,$E158-((H158-G158)+(L158-K158)+(P158-O158)+(T158-S158)+(X158-W158)+(AB158-AA158))))</f>
        <v/>
      </c>
      <c r="AG158" s="28">
        <f>ROUND(MAX(0,(AG157)+AD158-AF158),2)</f>
        <v/>
      </c>
      <c r="AH158" s="28">
        <f>ROUND((AK157)*(IF('Your Debts'!$G$12=0,0,INDEX('Your Debts'!$C$5:$C$12,'Your Debts'!$G$12)/12)),2)</f>
        <v/>
      </c>
      <c r="AI158" s="28">
        <f>MIN((AK157)+AH158,IF('Your Debts'!$G$12=0,0,INDEX('Your Debts'!$D$5:$D$12,'Your Debts'!$G$12)))</f>
        <v/>
      </c>
      <c r="AJ158" s="28">
        <f>AI158+MIN((AK157)+AH158-AI158,MAX(0,$E158-((H158-G158)+(L158-K158)+(P158-O158)+(T158-S158)+(X158-W158)+(AB158-AA158)+(AF158-AE158))))</f>
        <v/>
      </c>
      <c r="AK158" s="28">
        <f>ROUND(MAX(0,(AK157)+AH158-AJ158),2)</f>
        <v/>
      </c>
      <c r="AL158" s="18">
        <f>I158+M158+Q158+U158+Y158+AC158+AG158+AK158</f>
        <v/>
      </c>
      <c r="AM158" s="27">
        <f>AM157+F158+J158+N158+R158+V158+Z158+AD158+AH158</f>
        <v/>
      </c>
    </row>
    <row r="159">
      <c r="A159" s="25" t="n">
        <v>154</v>
      </c>
      <c r="B159" s="26">
        <f>EDATE('Your Debts'!$B$19,153)</f>
        <v/>
      </c>
      <c r="C159" s="27">
        <f>'Your Debts'!$B$18</f>
        <v/>
      </c>
      <c r="D159" s="27">
        <f>G159+K159+O159+S159+W159+AA159+AE159+AI159</f>
        <v/>
      </c>
      <c r="E159" s="27">
        <f>MAX(0,C159-D159)</f>
        <v/>
      </c>
      <c r="F159" s="28">
        <f>ROUND((I158)*(IF('Your Debts'!$G$5=0,0,INDEX('Your Debts'!$C$5:$C$12,'Your Debts'!$G$5)/12)),2)</f>
        <v/>
      </c>
      <c r="G159" s="28">
        <f>MIN((I158)+F159,IF('Your Debts'!$G$5=0,0,INDEX('Your Debts'!$D$5:$D$12,'Your Debts'!$G$5)))</f>
        <v/>
      </c>
      <c r="H159" s="28">
        <f>G159+MIN((I158)+F159-G159,MAX(0,$E159-(0)))</f>
        <v/>
      </c>
      <c r="I159" s="28">
        <f>ROUND(MAX(0,(I158)+F159-H159),2)</f>
        <v/>
      </c>
      <c r="J159" s="28">
        <f>ROUND((M158)*(IF('Your Debts'!$G$6=0,0,INDEX('Your Debts'!$C$5:$C$12,'Your Debts'!$G$6)/12)),2)</f>
        <v/>
      </c>
      <c r="K159" s="28">
        <f>MIN((M158)+J159,IF('Your Debts'!$G$6=0,0,INDEX('Your Debts'!$D$5:$D$12,'Your Debts'!$G$6)))</f>
        <v/>
      </c>
      <c r="L159" s="28">
        <f>K159+MIN((M158)+J159-K159,MAX(0,$E159-((H159-G159))))</f>
        <v/>
      </c>
      <c r="M159" s="28">
        <f>ROUND(MAX(0,(M158)+J159-L159),2)</f>
        <v/>
      </c>
      <c r="N159" s="28">
        <f>ROUND((Q158)*(IF('Your Debts'!$G$7=0,0,INDEX('Your Debts'!$C$5:$C$12,'Your Debts'!$G$7)/12)),2)</f>
        <v/>
      </c>
      <c r="O159" s="28">
        <f>MIN((Q158)+N159,IF('Your Debts'!$G$7=0,0,INDEX('Your Debts'!$D$5:$D$12,'Your Debts'!$G$7)))</f>
        <v/>
      </c>
      <c r="P159" s="28">
        <f>O159+MIN((Q158)+N159-O159,MAX(0,$E159-((H159-G159)+(L159-K159))))</f>
        <v/>
      </c>
      <c r="Q159" s="28">
        <f>ROUND(MAX(0,(Q158)+N159-P159),2)</f>
        <v/>
      </c>
      <c r="R159" s="28">
        <f>ROUND((U158)*(IF('Your Debts'!$G$8=0,0,INDEX('Your Debts'!$C$5:$C$12,'Your Debts'!$G$8)/12)),2)</f>
        <v/>
      </c>
      <c r="S159" s="28">
        <f>MIN((U158)+R159,IF('Your Debts'!$G$8=0,0,INDEX('Your Debts'!$D$5:$D$12,'Your Debts'!$G$8)))</f>
        <v/>
      </c>
      <c r="T159" s="28">
        <f>S159+MIN((U158)+R159-S159,MAX(0,$E159-((H159-G159)+(L159-K159)+(P159-O159))))</f>
        <v/>
      </c>
      <c r="U159" s="28">
        <f>ROUND(MAX(0,(U158)+R159-T159),2)</f>
        <v/>
      </c>
      <c r="V159" s="28">
        <f>ROUND((Y158)*(IF('Your Debts'!$G$9=0,0,INDEX('Your Debts'!$C$5:$C$12,'Your Debts'!$G$9)/12)),2)</f>
        <v/>
      </c>
      <c r="W159" s="28">
        <f>MIN((Y158)+V159,IF('Your Debts'!$G$9=0,0,INDEX('Your Debts'!$D$5:$D$12,'Your Debts'!$G$9)))</f>
        <v/>
      </c>
      <c r="X159" s="28">
        <f>W159+MIN((Y158)+V159-W159,MAX(0,$E159-((H159-G159)+(L159-K159)+(P159-O159)+(T159-S159))))</f>
        <v/>
      </c>
      <c r="Y159" s="28">
        <f>ROUND(MAX(0,(Y158)+V159-X159),2)</f>
        <v/>
      </c>
      <c r="Z159" s="28">
        <f>ROUND((AC158)*(IF('Your Debts'!$G$10=0,0,INDEX('Your Debts'!$C$5:$C$12,'Your Debts'!$G$10)/12)),2)</f>
        <v/>
      </c>
      <c r="AA159" s="28">
        <f>MIN((AC158)+Z159,IF('Your Debts'!$G$10=0,0,INDEX('Your Debts'!$D$5:$D$12,'Your Debts'!$G$10)))</f>
        <v/>
      </c>
      <c r="AB159" s="28">
        <f>AA159+MIN((AC158)+Z159-AA159,MAX(0,$E159-((H159-G159)+(L159-K159)+(P159-O159)+(T159-S159)+(X159-W159))))</f>
        <v/>
      </c>
      <c r="AC159" s="28">
        <f>ROUND(MAX(0,(AC158)+Z159-AB159),2)</f>
        <v/>
      </c>
      <c r="AD159" s="28">
        <f>ROUND((AG158)*(IF('Your Debts'!$G$11=0,0,INDEX('Your Debts'!$C$5:$C$12,'Your Debts'!$G$11)/12)),2)</f>
        <v/>
      </c>
      <c r="AE159" s="28">
        <f>MIN((AG158)+AD159,IF('Your Debts'!$G$11=0,0,INDEX('Your Debts'!$D$5:$D$12,'Your Debts'!$G$11)))</f>
        <v/>
      </c>
      <c r="AF159" s="28">
        <f>AE159+MIN((AG158)+AD159-AE159,MAX(0,$E159-((H159-G159)+(L159-K159)+(P159-O159)+(T159-S159)+(X159-W159)+(AB159-AA159))))</f>
        <v/>
      </c>
      <c r="AG159" s="28">
        <f>ROUND(MAX(0,(AG158)+AD159-AF159),2)</f>
        <v/>
      </c>
      <c r="AH159" s="28">
        <f>ROUND((AK158)*(IF('Your Debts'!$G$12=0,0,INDEX('Your Debts'!$C$5:$C$12,'Your Debts'!$G$12)/12)),2)</f>
        <v/>
      </c>
      <c r="AI159" s="28">
        <f>MIN((AK158)+AH159,IF('Your Debts'!$G$12=0,0,INDEX('Your Debts'!$D$5:$D$12,'Your Debts'!$G$12)))</f>
        <v/>
      </c>
      <c r="AJ159" s="28">
        <f>AI159+MIN((AK158)+AH159-AI159,MAX(0,$E159-((H159-G159)+(L159-K159)+(P159-O159)+(T159-S159)+(X159-W159)+(AB159-AA159)+(AF159-AE159))))</f>
        <v/>
      </c>
      <c r="AK159" s="28">
        <f>ROUND(MAX(0,(AK158)+AH159-AJ159),2)</f>
        <v/>
      </c>
      <c r="AL159" s="18">
        <f>I159+M159+Q159+U159+Y159+AC159+AG159+AK159</f>
        <v/>
      </c>
      <c r="AM159" s="27">
        <f>AM158+F159+J159+N159+R159+V159+Z159+AD159+AH159</f>
        <v/>
      </c>
    </row>
    <row r="160">
      <c r="A160" s="25" t="n">
        <v>155</v>
      </c>
      <c r="B160" s="26">
        <f>EDATE('Your Debts'!$B$19,154)</f>
        <v/>
      </c>
      <c r="C160" s="27">
        <f>'Your Debts'!$B$18</f>
        <v/>
      </c>
      <c r="D160" s="27">
        <f>G160+K160+O160+S160+W160+AA160+AE160+AI160</f>
        <v/>
      </c>
      <c r="E160" s="27">
        <f>MAX(0,C160-D160)</f>
        <v/>
      </c>
      <c r="F160" s="28">
        <f>ROUND((I159)*(IF('Your Debts'!$G$5=0,0,INDEX('Your Debts'!$C$5:$C$12,'Your Debts'!$G$5)/12)),2)</f>
        <v/>
      </c>
      <c r="G160" s="28">
        <f>MIN((I159)+F160,IF('Your Debts'!$G$5=0,0,INDEX('Your Debts'!$D$5:$D$12,'Your Debts'!$G$5)))</f>
        <v/>
      </c>
      <c r="H160" s="28">
        <f>G160+MIN((I159)+F160-G160,MAX(0,$E160-(0)))</f>
        <v/>
      </c>
      <c r="I160" s="28">
        <f>ROUND(MAX(0,(I159)+F160-H160),2)</f>
        <v/>
      </c>
      <c r="J160" s="28">
        <f>ROUND((M159)*(IF('Your Debts'!$G$6=0,0,INDEX('Your Debts'!$C$5:$C$12,'Your Debts'!$G$6)/12)),2)</f>
        <v/>
      </c>
      <c r="K160" s="28">
        <f>MIN((M159)+J160,IF('Your Debts'!$G$6=0,0,INDEX('Your Debts'!$D$5:$D$12,'Your Debts'!$G$6)))</f>
        <v/>
      </c>
      <c r="L160" s="28">
        <f>K160+MIN((M159)+J160-K160,MAX(0,$E160-((H160-G160))))</f>
        <v/>
      </c>
      <c r="M160" s="28">
        <f>ROUND(MAX(0,(M159)+J160-L160),2)</f>
        <v/>
      </c>
      <c r="N160" s="28">
        <f>ROUND((Q159)*(IF('Your Debts'!$G$7=0,0,INDEX('Your Debts'!$C$5:$C$12,'Your Debts'!$G$7)/12)),2)</f>
        <v/>
      </c>
      <c r="O160" s="28">
        <f>MIN((Q159)+N160,IF('Your Debts'!$G$7=0,0,INDEX('Your Debts'!$D$5:$D$12,'Your Debts'!$G$7)))</f>
        <v/>
      </c>
      <c r="P160" s="28">
        <f>O160+MIN((Q159)+N160-O160,MAX(0,$E160-((H160-G160)+(L160-K160))))</f>
        <v/>
      </c>
      <c r="Q160" s="28">
        <f>ROUND(MAX(0,(Q159)+N160-P160),2)</f>
        <v/>
      </c>
      <c r="R160" s="28">
        <f>ROUND((U159)*(IF('Your Debts'!$G$8=0,0,INDEX('Your Debts'!$C$5:$C$12,'Your Debts'!$G$8)/12)),2)</f>
        <v/>
      </c>
      <c r="S160" s="28">
        <f>MIN((U159)+R160,IF('Your Debts'!$G$8=0,0,INDEX('Your Debts'!$D$5:$D$12,'Your Debts'!$G$8)))</f>
        <v/>
      </c>
      <c r="T160" s="28">
        <f>S160+MIN((U159)+R160-S160,MAX(0,$E160-((H160-G160)+(L160-K160)+(P160-O160))))</f>
        <v/>
      </c>
      <c r="U160" s="28">
        <f>ROUND(MAX(0,(U159)+R160-T160),2)</f>
        <v/>
      </c>
      <c r="V160" s="28">
        <f>ROUND((Y159)*(IF('Your Debts'!$G$9=0,0,INDEX('Your Debts'!$C$5:$C$12,'Your Debts'!$G$9)/12)),2)</f>
        <v/>
      </c>
      <c r="W160" s="28">
        <f>MIN((Y159)+V160,IF('Your Debts'!$G$9=0,0,INDEX('Your Debts'!$D$5:$D$12,'Your Debts'!$G$9)))</f>
        <v/>
      </c>
      <c r="X160" s="28">
        <f>W160+MIN((Y159)+V160-W160,MAX(0,$E160-((H160-G160)+(L160-K160)+(P160-O160)+(T160-S160))))</f>
        <v/>
      </c>
      <c r="Y160" s="28">
        <f>ROUND(MAX(0,(Y159)+V160-X160),2)</f>
        <v/>
      </c>
      <c r="Z160" s="28">
        <f>ROUND((AC159)*(IF('Your Debts'!$G$10=0,0,INDEX('Your Debts'!$C$5:$C$12,'Your Debts'!$G$10)/12)),2)</f>
        <v/>
      </c>
      <c r="AA160" s="28">
        <f>MIN((AC159)+Z160,IF('Your Debts'!$G$10=0,0,INDEX('Your Debts'!$D$5:$D$12,'Your Debts'!$G$10)))</f>
        <v/>
      </c>
      <c r="AB160" s="28">
        <f>AA160+MIN((AC159)+Z160-AA160,MAX(0,$E160-((H160-G160)+(L160-K160)+(P160-O160)+(T160-S160)+(X160-W160))))</f>
        <v/>
      </c>
      <c r="AC160" s="28">
        <f>ROUND(MAX(0,(AC159)+Z160-AB160),2)</f>
        <v/>
      </c>
      <c r="AD160" s="28">
        <f>ROUND((AG159)*(IF('Your Debts'!$G$11=0,0,INDEX('Your Debts'!$C$5:$C$12,'Your Debts'!$G$11)/12)),2)</f>
        <v/>
      </c>
      <c r="AE160" s="28">
        <f>MIN((AG159)+AD160,IF('Your Debts'!$G$11=0,0,INDEX('Your Debts'!$D$5:$D$12,'Your Debts'!$G$11)))</f>
        <v/>
      </c>
      <c r="AF160" s="28">
        <f>AE160+MIN((AG159)+AD160-AE160,MAX(0,$E160-((H160-G160)+(L160-K160)+(P160-O160)+(T160-S160)+(X160-W160)+(AB160-AA160))))</f>
        <v/>
      </c>
      <c r="AG160" s="28">
        <f>ROUND(MAX(0,(AG159)+AD160-AF160),2)</f>
        <v/>
      </c>
      <c r="AH160" s="28">
        <f>ROUND((AK159)*(IF('Your Debts'!$G$12=0,0,INDEX('Your Debts'!$C$5:$C$12,'Your Debts'!$G$12)/12)),2)</f>
        <v/>
      </c>
      <c r="AI160" s="28">
        <f>MIN((AK159)+AH160,IF('Your Debts'!$G$12=0,0,INDEX('Your Debts'!$D$5:$D$12,'Your Debts'!$G$12)))</f>
        <v/>
      </c>
      <c r="AJ160" s="28">
        <f>AI160+MIN((AK159)+AH160-AI160,MAX(0,$E160-((H160-G160)+(L160-K160)+(P160-O160)+(T160-S160)+(X160-W160)+(AB160-AA160)+(AF160-AE160))))</f>
        <v/>
      </c>
      <c r="AK160" s="28">
        <f>ROUND(MAX(0,(AK159)+AH160-AJ160),2)</f>
        <v/>
      </c>
      <c r="AL160" s="18">
        <f>I160+M160+Q160+U160+Y160+AC160+AG160+AK160</f>
        <v/>
      </c>
      <c r="AM160" s="27">
        <f>AM159+F160+J160+N160+R160+V160+Z160+AD160+AH160</f>
        <v/>
      </c>
    </row>
    <row r="161">
      <c r="A161" s="25" t="n">
        <v>156</v>
      </c>
      <c r="B161" s="26">
        <f>EDATE('Your Debts'!$B$19,155)</f>
        <v/>
      </c>
      <c r="C161" s="27">
        <f>'Your Debts'!$B$18</f>
        <v/>
      </c>
      <c r="D161" s="27">
        <f>G161+K161+O161+S161+W161+AA161+AE161+AI161</f>
        <v/>
      </c>
      <c r="E161" s="27">
        <f>MAX(0,C161-D161)</f>
        <v/>
      </c>
      <c r="F161" s="28">
        <f>ROUND((I160)*(IF('Your Debts'!$G$5=0,0,INDEX('Your Debts'!$C$5:$C$12,'Your Debts'!$G$5)/12)),2)</f>
        <v/>
      </c>
      <c r="G161" s="28">
        <f>MIN((I160)+F161,IF('Your Debts'!$G$5=0,0,INDEX('Your Debts'!$D$5:$D$12,'Your Debts'!$G$5)))</f>
        <v/>
      </c>
      <c r="H161" s="28">
        <f>G161+MIN((I160)+F161-G161,MAX(0,$E161-(0)))</f>
        <v/>
      </c>
      <c r="I161" s="28">
        <f>ROUND(MAX(0,(I160)+F161-H161),2)</f>
        <v/>
      </c>
      <c r="J161" s="28">
        <f>ROUND((M160)*(IF('Your Debts'!$G$6=0,0,INDEX('Your Debts'!$C$5:$C$12,'Your Debts'!$G$6)/12)),2)</f>
        <v/>
      </c>
      <c r="K161" s="28">
        <f>MIN((M160)+J161,IF('Your Debts'!$G$6=0,0,INDEX('Your Debts'!$D$5:$D$12,'Your Debts'!$G$6)))</f>
        <v/>
      </c>
      <c r="L161" s="28">
        <f>K161+MIN((M160)+J161-K161,MAX(0,$E161-((H161-G161))))</f>
        <v/>
      </c>
      <c r="M161" s="28">
        <f>ROUND(MAX(0,(M160)+J161-L161),2)</f>
        <v/>
      </c>
      <c r="N161" s="28">
        <f>ROUND((Q160)*(IF('Your Debts'!$G$7=0,0,INDEX('Your Debts'!$C$5:$C$12,'Your Debts'!$G$7)/12)),2)</f>
        <v/>
      </c>
      <c r="O161" s="28">
        <f>MIN((Q160)+N161,IF('Your Debts'!$G$7=0,0,INDEX('Your Debts'!$D$5:$D$12,'Your Debts'!$G$7)))</f>
        <v/>
      </c>
      <c r="P161" s="28">
        <f>O161+MIN((Q160)+N161-O161,MAX(0,$E161-((H161-G161)+(L161-K161))))</f>
        <v/>
      </c>
      <c r="Q161" s="28">
        <f>ROUND(MAX(0,(Q160)+N161-P161),2)</f>
        <v/>
      </c>
      <c r="R161" s="28">
        <f>ROUND((U160)*(IF('Your Debts'!$G$8=0,0,INDEX('Your Debts'!$C$5:$C$12,'Your Debts'!$G$8)/12)),2)</f>
        <v/>
      </c>
      <c r="S161" s="28">
        <f>MIN((U160)+R161,IF('Your Debts'!$G$8=0,0,INDEX('Your Debts'!$D$5:$D$12,'Your Debts'!$G$8)))</f>
        <v/>
      </c>
      <c r="T161" s="28">
        <f>S161+MIN((U160)+R161-S161,MAX(0,$E161-((H161-G161)+(L161-K161)+(P161-O161))))</f>
        <v/>
      </c>
      <c r="U161" s="28">
        <f>ROUND(MAX(0,(U160)+R161-T161),2)</f>
        <v/>
      </c>
      <c r="V161" s="28">
        <f>ROUND((Y160)*(IF('Your Debts'!$G$9=0,0,INDEX('Your Debts'!$C$5:$C$12,'Your Debts'!$G$9)/12)),2)</f>
        <v/>
      </c>
      <c r="W161" s="28">
        <f>MIN((Y160)+V161,IF('Your Debts'!$G$9=0,0,INDEX('Your Debts'!$D$5:$D$12,'Your Debts'!$G$9)))</f>
        <v/>
      </c>
      <c r="X161" s="28">
        <f>W161+MIN((Y160)+V161-W161,MAX(0,$E161-((H161-G161)+(L161-K161)+(P161-O161)+(T161-S161))))</f>
        <v/>
      </c>
      <c r="Y161" s="28">
        <f>ROUND(MAX(0,(Y160)+V161-X161),2)</f>
        <v/>
      </c>
      <c r="Z161" s="28">
        <f>ROUND((AC160)*(IF('Your Debts'!$G$10=0,0,INDEX('Your Debts'!$C$5:$C$12,'Your Debts'!$G$10)/12)),2)</f>
        <v/>
      </c>
      <c r="AA161" s="28">
        <f>MIN((AC160)+Z161,IF('Your Debts'!$G$10=0,0,INDEX('Your Debts'!$D$5:$D$12,'Your Debts'!$G$10)))</f>
        <v/>
      </c>
      <c r="AB161" s="28">
        <f>AA161+MIN((AC160)+Z161-AA161,MAX(0,$E161-((H161-G161)+(L161-K161)+(P161-O161)+(T161-S161)+(X161-W161))))</f>
        <v/>
      </c>
      <c r="AC161" s="28">
        <f>ROUND(MAX(0,(AC160)+Z161-AB161),2)</f>
        <v/>
      </c>
      <c r="AD161" s="28">
        <f>ROUND((AG160)*(IF('Your Debts'!$G$11=0,0,INDEX('Your Debts'!$C$5:$C$12,'Your Debts'!$G$11)/12)),2)</f>
        <v/>
      </c>
      <c r="AE161" s="28">
        <f>MIN((AG160)+AD161,IF('Your Debts'!$G$11=0,0,INDEX('Your Debts'!$D$5:$D$12,'Your Debts'!$G$11)))</f>
        <v/>
      </c>
      <c r="AF161" s="28">
        <f>AE161+MIN((AG160)+AD161-AE161,MAX(0,$E161-((H161-G161)+(L161-K161)+(P161-O161)+(T161-S161)+(X161-W161)+(AB161-AA161))))</f>
        <v/>
      </c>
      <c r="AG161" s="28">
        <f>ROUND(MAX(0,(AG160)+AD161-AF161),2)</f>
        <v/>
      </c>
      <c r="AH161" s="28">
        <f>ROUND((AK160)*(IF('Your Debts'!$G$12=0,0,INDEX('Your Debts'!$C$5:$C$12,'Your Debts'!$G$12)/12)),2)</f>
        <v/>
      </c>
      <c r="AI161" s="28">
        <f>MIN((AK160)+AH161,IF('Your Debts'!$G$12=0,0,INDEX('Your Debts'!$D$5:$D$12,'Your Debts'!$G$12)))</f>
        <v/>
      </c>
      <c r="AJ161" s="28">
        <f>AI161+MIN((AK160)+AH161-AI161,MAX(0,$E161-((H161-G161)+(L161-K161)+(P161-O161)+(T161-S161)+(X161-W161)+(AB161-AA161)+(AF161-AE161))))</f>
        <v/>
      </c>
      <c r="AK161" s="28">
        <f>ROUND(MAX(0,(AK160)+AH161-AJ161),2)</f>
        <v/>
      </c>
      <c r="AL161" s="18">
        <f>I161+M161+Q161+U161+Y161+AC161+AG161+AK161</f>
        <v/>
      </c>
      <c r="AM161" s="27">
        <f>AM160+F161+J161+N161+R161+V161+Z161+AD161+AH161</f>
        <v/>
      </c>
    </row>
    <row r="162">
      <c r="A162" s="25" t="n">
        <v>157</v>
      </c>
      <c r="B162" s="26">
        <f>EDATE('Your Debts'!$B$19,156)</f>
        <v/>
      </c>
      <c r="C162" s="27">
        <f>'Your Debts'!$B$18</f>
        <v/>
      </c>
      <c r="D162" s="27">
        <f>G162+K162+O162+S162+W162+AA162+AE162+AI162</f>
        <v/>
      </c>
      <c r="E162" s="27">
        <f>MAX(0,C162-D162)</f>
        <v/>
      </c>
      <c r="F162" s="28">
        <f>ROUND((I161)*(IF('Your Debts'!$G$5=0,0,INDEX('Your Debts'!$C$5:$C$12,'Your Debts'!$G$5)/12)),2)</f>
        <v/>
      </c>
      <c r="G162" s="28">
        <f>MIN((I161)+F162,IF('Your Debts'!$G$5=0,0,INDEX('Your Debts'!$D$5:$D$12,'Your Debts'!$G$5)))</f>
        <v/>
      </c>
      <c r="H162" s="28">
        <f>G162+MIN((I161)+F162-G162,MAX(0,$E162-(0)))</f>
        <v/>
      </c>
      <c r="I162" s="28">
        <f>ROUND(MAX(0,(I161)+F162-H162),2)</f>
        <v/>
      </c>
      <c r="J162" s="28">
        <f>ROUND((M161)*(IF('Your Debts'!$G$6=0,0,INDEX('Your Debts'!$C$5:$C$12,'Your Debts'!$G$6)/12)),2)</f>
        <v/>
      </c>
      <c r="K162" s="28">
        <f>MIN((M161)+J162,IF('Your Debts'!$G$6=0,0,INDEX('Your Debts'!$D$5:$D$12,'Your Debts'!$G$6)))</f>
        <v/>
      </c>
      <c r="L162" s="28">
        <f>K162+MIN((M161)+J162-K162,MAX(0,$E162-((H162-G162))))</f>
        <v/>
      </c>
      <c r="M162" s="28">
        <f>ROUND(MAX(0,(M161)+J162-L162),2)</f>
        <v/>
      </c>
      <c r="N162" s="28">
        <f>ROUND((Q161)*(IF('Your Debts'!$G$7=0,0,INDEX('Your Debts'!$C$5:$C$12,'Your Debts'!$G$7)/12)),2)</f>
        <v/>
      </c>
      <c r="O162" s="28">
        <f>MIN((Q161)+N162,IF('Your Debts'!$G$7=0,0,INDEX('Your Debts'!$D$5:$D$12,'Your Debts'!$G$7)))</f>
        <v/>
      </c>
      <c r="P162" s="28">
        <f>O162+MIN((Q161)+N162-O162,MAX(0,$E162-((H162-G162)+(L162-K162))))</f>
        <v/>
      </c>
      <c r="Q162" s="28">
        <f>ROUND(MAX(0,(Q161)+N162-P162),2)</f>
        <v/>
      </c>
      <c r="R162" s="28">
        <f>ROUND((U161)*(IF('Your Debts'!$G$8=0,0,INDEX('Your Debts'!$C$5:$C$12,'Your Debts'!$G$8)/12)),2)</f>
        <v/>
      </c>
      <c r="S162" s="28">
        <f>MIN((U161)+R162,IF('Your Debts'!$G$8=0,0,INDEX('Your Debts'!$D$5:$D$12,'Your Debts'!$G$8)))</f>
        <v/>
      </c>
      <c r="T162" s="28">
        <f>S162+MIN((U161)+R162-S162,MAX(0,$E162-((H162-G162)+(L162-K162)+(P162-O162))))</f>
        <v/>
      </c>
      <c r="U162" s="28">
        <f>ROUND(MAX(0,(U161)+R162-T162),2)</f>
        <v/>
      </c>
      <c r="V162" s="28">
        <f>ROUND((Y161)*(IF('Your Debts'!$G$9=0,0,INDEX('Your Debts'!$C$5:$C$12,'Your Debts'!$G$9)/12)),2)</f>
        <v/>
      </c>
      <c r="W162" s="28">
        <f>MIN((Y161)+V162,IF('Your Debts'!$G$9=0,0,INDEX('Your Debts'!$D$5:$D$12,'Your Debts'!$G$9)))</f>
        <v/>
      </c>
      <c r="X162" s="28">
        <f>W162+MIN((Y161)+V162-W162,MAX(0,$E162-((H162-G162)+(L162-K162)+(P162-O162)+(T162-S162))))</f>
        <v/>
      </c>
      <c r="Y162" s="28">
        <f>ROUND(MAX(0,(Y161)+V162-X162),2)</f>
        <v/>
      </c>
      <c r="Z162" s="28">
        <f>ROUND((AC161)*(IF('Your Debts'!$G$10=0,0,INDEX('Your Debts'!$C$5:$C$12,'Your Debts'!$G$10)/12)),2)</f>
        <v/>
      </c>
      <c r="AA162" s="28">
        <f>MIN((AC161)+Z162,IF('Your Debts'!$G$10=0,0,INDEX('Your Debts'!$D$5:$D$12,'Your Debts'!$G$10)))</f>
        <v/>
      </c>
      <c r="AB162" s="28">
        <f>AA162+MIN((AC161)+Z162-AA162,MAX(0,$E162-((H162-G162)+(L162-K162)+(P162-O162)+(T162-S162)+(X162-W162))))</f>
        <v/>
      </c>
      <c r="AC162" s="28">
        <f>ROUND(MAX(0,(AC161)+Z162-AB162),2)</f>
        <v/>
      </c>
      <c r="AD162" s="28">
        <f>ROUND((AG161)*(IF('Your Debts'!$G$11=0,0,INDEX('Your Debts'!$C$5:$C$12,'Your Debts'!$G$11)/12)),2)</f>
        <v/>
      </c>
      <c r="AE162" s="28">
        <f>MIN((AG161)+AD162,IF('Your Debts'!$G$11=0,0,INDEX('Your Debts'!$D$5:$D$12,'Your Debts'!$G$11)))</f>
        <v/>
      </c>
      <c r="AF162" s="28">
        <f>AE162+MIN((AG161)+AD162-AE162,MAX(0,$E162-((H162-G162)+(L162-K162)+(P162-O162)+(T162-S162)+(X162-W162)+(AB162-AA162))))</f>
        <v/>
      </c>
      <c r="AG162" s="28">
        <f>ROUND(MAX(0,(AG161)+AD162-AF162),2)</f>
        <v/>
      </c>
      <c r="AH162" s="28">
        <f>ROUND((AK161)*(IF('Your Debts'!$G$12=0,0,INDEX('Your Debts'!$C$5:$C$12,'Your Debts'!$G$12)/12)),2)</f>
        <v/>
      </c>
      <c r="AI162" s="28">
        <f>MIN((AK161)+AH162,IF('Your Debts'!$G$12=0,0,INDEX('Your Debts'!$D$5:$D$12,'Your Debts'!$G$12)))</f>
        <v/>
      </c>
      <c r="AJ162" s="28">
        <f>AI162+MIN((AK161)+AH162-AI162,MAX(0,$E162-((H162-G162)+(L162-K162)+(P162-O162)+(T162-S162)+(X162-W162)+(AB162-AA162)+(AF162-AE162))))</f>
        <v/>
      </c>
      <c r="AK162" s="28">
        <f>ROUND(MAX(0,(AK161)+AH162-AJ162),2)</f>
        <v/>
      </c>
      <c r="AL162" s="18">
        <f>I162+M162+Q162+U162+Y162+AC162+AG162+AK162</f>
        <v/>
      </c>
      <c r="AM162" s="27">
        <f>AM161+F162+J162+N162+R162+V162+Z162+AD162+AH162</f>
        <v/>
      </c>
    </row>
    <row r="163">
      <c r="A163" s="25" t="n">
        <v>158</v>
      </c>
      <c r="B163" s="26">
        <f>EDATE('Your Debts'!$B$19,157)</f>
        <v/>
      </c>
      <c r="C163" s="27">
        <f>'Your Debts'!$B$18</f>
        <v/>
      </c>
      <c r="D163" s="27">
        <f>G163+K163+O163+S163+W163+AA163+AE163+AI163</f>
        <v/>
      </c>
      <c r="E163" s="27">
        <f>MAX(0,C163-D163)</f>
        <v/>
      </c>
      <c r="F163" s="28">
        <f>ROUND((I162)*(IF('Your Debts'!$G$5=0,0,INDEX('Your Debts'!$C$5:$C$12,'Your Debts'!$G$5)/12)),2)</f>
        <v/>
      </c>
      <c r="G163" s="28">
        <f>MIN((I162)+F163,IF('Your Debts'!$G$5=0,0,INDEX('Your Debts'!$D$5:$D$12,'Your Debts'!$G$5)))</f>
        <v/>
      </c>
      <c r="H163" s="28">
        <f>G163+MIN((I162)+F163-G163,MAX(0,$E163-(0)))</f>
        <v/>
      </c>
      <c r="I163" s="28">
        <f>ROUND(MAX(0,(I162)+F163-H163),2)</f>
        <v/>
      </c>
      <c r="J163" s="28">
        <f>ROUND((M162)*(IF('Your Debts'!$G$6=0,0,INDEX('Your Debts'!$C$5:$C$12,'Your Debts'!$G$6)/12)),2)</f>
        <v/>
      </c>
      <c r="K163" s="28">
        <f>MIN((M162)+J163,IF('Your Debts'!$G$6=0,0,INDEX('Your Debts'!$D$5:$D$12,'Your Debts'!$G$6)))</f>
        <v/>
      </c>
      <c r="L163" s="28">
        <f>K163+MIN((M162)+J163-K163,MAX(0,$E163-((H163-G163))))</f>
        <v/>
      </c>
      <c r="M163" s="28">
        <f>ROUND(MAX(0,(M162)+J163-L163),2)</f>
        <v/>
      </c>
      <c r="N163" s="28">
        <f>ROUND((Q162)*(IF('Your Debts'!$G$7=0,0,INDEX('Your Debts'!$C$5:$C$12,'Your Debts'!$G$7)/12)),2)</f>
        <v/>
      </c>
      <c r="O163" s="28">
        <f>MIN((Q162)+N163,IF('Your Debts'!$G$7=0,0,INDEX('Your Debts'!$D$5:$D$12,'Your Debts'!$G$7)))</f>
        <v/>
      </c>
      <c r="P163" s="28">
        <f>O163+MIN((Q162)+N163-O163,MAX(0,$E163-((H163-G163)+(L163-K163))))</f>
        <v/>
      </c>
      <c r="Q163" s="28">
        <f>ROUND(MAX(0,(Q162)+N163-P163),2)</f>
        <v/>
      </c>
      <c r="R163" s="28">
        <f>ROUND((U162)*(IF('Your Debts'!$G$8=0,0,INDEX('Your Debts'!$C$5:$C$12,'Your Debts'!$G$8)/12)),2)</f>
        <v/>
      </c>
      <c r="S163" s="28">
        <f>MIN((U162)+R163,IF('Your Debts'!$G$8=0,0,INDEX('Your Debts'!$D$5:$D$12,'Your Debts'!$G$8)))</f>
        <v/>
      </c>
      <c r="T163" s="28">
        <f>S163+MIN((U162)+R163-S163,MAX(0,$E163-((H163-G163)+(L163-K163)+(P163-O163))))</f>
        <v/>
      </c>
      <c r="U163" s="28">
        <f>ROUND(MAX(0,(U162)+R163-T163),2)</f>
        <v/>
      </c>
      <c r="V163" s="28">
        <f>ROUND((Y162)*(IF('Your Debts'!$G$9=0,0,INDEX('Your Debts'!$C$5:$C$12,'Your Debts'!$G$9)/12)),2)</f>
        <v/>
      </c>
      <c r="W163" s="28">
        <f>MIN((Y162)+V163,IF('Your Debts'!$G$9=0,0,INDEX('Your Debts'!$D$5:$D$12,'Your Debts'!$G$9)))</f>
        <v/>
      </c>
      <c r="X163" s="28">
        <f>W163+MIN((Y162)+V163-W163,MAX(0,$E163-((H163-G163)+(L163-K163)+(P163-O163)+(T163-S163))))</f>
        <v/>
      </c>
      <c r="Y163" s="28">
        <f>ROUND(MAX(0,(Y162)+V163-X163),2)</f>
        <v/>
      </c>
      <c r="Z163" s="28">
        <f>ROUND((AC162)*(IF('Your Debts'!$G$10=0,0,INDEX('Your Debts'!$C$5:$C$12,'Your Debts'!$G$10)/12)),2)</f>
        <v/>
      </c>
      <c r="AA163" s="28">
        <f>MIN((AC162)+Z163,IF('Your Debts'!$G$10=0,0,INDEX('Your Debts'!$D$5:$D$12,'Your Debts'!$G$10)))</f>
        <v/>
      </c>
      <c r="AB163" s="28">
        <f>AA163+MIN((AC162)+Z163-AA163,MAX(0,$E163-((H163-G163)+(L163-K163)+(P163-O163)+(T163-S163)+(X163-W163))))</f>
        <v/>
      </c>
      <c r="AC163" s="28">
        <f>ROUND(MAX(0,(AC162)+Z163-AB163),2)</f>
        <v/>
      </c>
      <c r="AD163" s="28">
        <f>ROUND((AG162)*(IF('Your Debts'!$G$11=0,0,INDEX('Your Debts'!$C$5:$C$12,'Your Debts'!$G$11)/12)),2)</f>
        <v/>
      </c>
      <c r="AE163" s="28">
        <f>MIN((AG162)+AD163,IF('Your Debts'!$G$11=0,0,INDEX('Your Debts'!$D$5:$D$12,'Your Debts'!$G$11)))</f>
        <v/>
      </c>
      <c r="AF163" s="28">
        <f>AE163+MIN((AG162)+AD163-AE163,MAX(0,$E163-((H163-G163)+(L163-K163)+(P163-O163)+(T163-S163)+(X163-W163)+(AB163-AA163))))</f>
        <v/>
      </c>
      <c r="AG163" s="28">
        <f>ROUND(MAX(0,(AG162)+AD163-AF163),2)</f>
        <v/>
      </c>
      <c r="AH163" s="28">
        <f>ROUND((AK162)*(IF('Your Debts'!$G$12=0,0,INDEX('Your Debts'!$C$5:$C$12,'Your Debts'!$G$12)/12)),2)</f>
        <v/>
      </c>
      <c r="AI163" s="28">
        <f>MIN((AK162)+AH163,IF('Your Debts'!$G$12=0,0,INDEX('Your Debts'!$D$5:$D$12,'Your Debts'!$G$12)))</f>
        <v/>
      </c>
      <c r="AJ163" s="28">
        <f>AI163+MIN((AK162)+AH163-AI163,MAX(0,$E163-((H163-G163)+(L163-K163)+(P163-O163)+(T163-S163)+(X163-W163)+(AB163-AA163)+(AF163-AE163))))</f>
        <v/>
      </c>
      <c r="AK163" s="28">
        <f>ROUND(MAX(0,(AK162)+AH163-AJ163),2)</f>
        <v/>
      </c>
      <c r="AL163" s="18">
        <f>I163+M163+Q163+U163+Y163+AC163+AG163+AK163</f>
        <v/>
      </c>
      <c r="AM163" s="27">
        <f>AM162+F163+J163+N163+R163+V163+Z163+AD163+AH163</f>
        <v/>
      </c>
    </row>
    <row r="164">
      <c r="A164" s="25" t="n">
        <v>159</v>
      </c>
      <c r="B164" s="26">
        <f>EDATE('Your Debts'!$B$19,158)</f>
        <v/>
      </c>
      <c r="C164" s="27">
        <f>'Your Debts'!$B$18</f>
        <v/>
      </c>
      <c r="D164" s="27">
        <f>G164+K164+O164+S164+W164+AA164+AE164+AI164</f>
        <v/>
      </c>
      <c r="E164" s="27">
        <f>MAX(0,C164-D164)</f>
        <v/>
      </c>
      <c r="F164" s="28">
        <f>ROUND((I163)*(IF('Your Debts'!$G$5=0,0,INDEX('Your Debts'!$C$5:$C$12,'Your Debts'!$G$5)/12)),2)</f>
        <v/>
      </c>
      <c r="G164" s="28">
        <f>MIN((I163)+F164,IF('Your Debts'!$G$5=0,0,INDEX('Your Debts'!$D$5:$D$12,'Your Debts'!$G$5)))</f>
        <v/>
      </c>
      <c r="H164" s="28">
        <f>G164+MIN((I163)+F164-G164,MAX(0,$E164-(0)))</f>
        <v/>
      </c>
      <c r="I164" s="28">
        <f>ROUND(MAX(0,(I163)+F164-H164),2)</f>
        <v/>
      </c>
      <c r="J164" s="28">
        <f>ROUND((M163)*(IF('Your Debts'!$G$6=0,0,INDEX('Your Debts'!$C$5:$C$12,'Your Debts'!$G$6)/12)),2)</f>
        <v/>
      </c>
      <c r="K164" s="28">
        <f>MIN((M163)+J164,IF('Your Debts'!$G$6=0,0,INDEX('Your Debts'!$D$5:$D$12,'Your Debts'!$G$6)))</f>
        <v/>
      </c>
      <c r="L164" s="28">
        <f>K164+MIN((M163)+J164-K164,MAX(0,$E164-((H164-G164))))</f>
        <v/>
      </c>
      <c r="M164" s="28">
        <f>ROUND(MAX(0,(M163)+J164-L164),2)</f>
        <v/>
      </c>
      <c r="N164" s="28">
        <f>ROUND((Q163)*(IF('Your Debts'!$G$7=0,0,INDEX('Your Debts'!$C$5:$C$12,'Your Debts'!$G$7)/12)),2)</f>
        <v/>
      </c>
      <c r="O164" s="28">
        <f>MIN((Q163)+N164,IF('Your Debts'!$G$7=0,0,INDEX('Your Debts'!$D$5:$D$12,'Your Debts'!$G$7)))</f>
        <v/>
      </c>
      <c r="P164" s="28">
        <f>O164+MIN((Q163)+N164-O164,MAX(0,$E164-((H164-G164)+(L164-K164))))</f>
        <v/>
      </c>
      <c r="Q164" s="28">
        <f>ROUND(MAX(0,(Q163)+N164-P164),2)</f>
        <v/>
      </c>
      <c r="R164" s="28">
        <f>ROUND((U163)*(IF('Your Debts'!$G$8=0,0,INDEX('Your Debts'!$C$5:$C$12,'Your Debts'!$G$8)/12)),2)</f>
        <v/>
      </c>
      <c r="S164" s="28">
        <f>MIN((U163)+R164,IF('Your Debts'!$G$8=0,0,INDEX('Your Debts'!$D$5:$D$12,'Your Debts'!$G$8)))</f>
        <v/>
      </c>
      <c r="T164" s="28">
        <f>S164+MIN((U163)+R164-S164,MAX(0,$E164-((H164-G164)+(L164-K164)+(P164-O164))))</f>
        <v/>
      </c>
      <c r="U164" s="28">
        <f>ROUND(MAX(0,(U163)+R164-T164),2)</f>
        <v/>
      </c>
      <c r="V164" s="28">
        <f>ROUND((Y163)*(IF('Your Debts'!$G$9=0,0,INDEX('Your Debts'!$C$5:$C$12,'Your Debts'!$G$9)/12)),2)</f>
        <v/>
      </c>
      <c r="W164" s="28">
        <f>MIN((Y163)+V164,IF('Your Debts'!$G$9=0,0,INDEX('Your Debts'!$D$5:$D$12,'Your Debts'!$G$9)))</f>
        <v/>
      </c>
      <c r="X164" s="28">
        <f>W164+MIN((Y163)+V164-W164,MAX(0,$E164-((H164-G164)+(L164-K164)+(P164-O164)+(T164-S164))))</f>
        <v/>
      </c>
      <c r="Y164" s="28">
        <f>ROUND(MAX(0,(Y163)+V164-X164),2)</f>
        <v/>
      </c>
      <c r="Z164" s="28">
        <f>ROUND((AC163)*(IF('Your Debts'!$G$10=0,0,INDEX('Your Debts'!$C$5:$C$12,'Your Debts'!$G$10)/12)),2)</f>
        <v/>
      </c>
      <c r="AA164" s="28">
        <f>MIN((AC163)+Z164,IF('Your Debts'!$G$10=0,0,INDEX('Your Debts'!$D$5:$D$12,'Your Debts'!$G$10)))</f>
        <v/>
      </c>
      <c r="AB164" s="28">
        <f>AA164+MIN((AC163)+Z164-AA164,MAX(0,$E164-((H164-G164)+(L164-K164)+(P164-O164)+(T164-S164)+(X164-W164))))</f>
        <v/>
      </c>
      <c r="AC164" s="28">
        <f>ROUND(MAX(0,(AC163)+Z164-AB164),2)</f>
        <v/>
      </c>
      <c r="AD164" s="28">
        <f>ROUND((AG163)*(IF('Your Debts'!$G$11=0,0,INDEX('Your Debts'!$C$5:$C$12,'Your Debts'!$G$11)/12)),2)</f>
        <v/>
      </c>
      <c r="AE164" s="28">
        <f>MIN((AG163)+AD164,IF('Your Debts'!$G$11=0,0,INDEX('Your Debts'!$D$5:$D$12,'Your Debts'!$G$11)))</f>
        <v/>
      </c>
      <c r="AF164" s="28">
        <f>AE164+MIN((AG163)+AD164-AE164,MAX(0,$E164-((H164-G164)+(L164-K164)+(P164-O164)+(T164-S164)+(X164-W164)+(AB164-AA164))))</f>
        <v/>
      </c>
      <c r="AG164" s="28">
        <f>ROUND(MAX(0,(AG163)+AD164-AF164),2)</f>
        <v/>
      </c>
      <c r="AH164" s="28">
        <f>ROUND((AK163)*(IF('Your Debts'!$G$12=0,0,INDEX('Your Debts'!$C$5:$C$12,'Your Debts'!$G$12)/12)),2)</f>
        <v/>
      </c>
      <c r="AI164" s="28">
        <f>MIN((AK163)+AH164,IF('Your Debts'!$G$12=0,0,INDEX('Your Debts'!$D$5:$D$12,'Your Debts'!$G$12)))</f>
        <v/>
      </c>
      <c r="AJ164" s="28">
        <f>AI164+MIN((AK163)+AH164-AI164,MAX(0,$E164-((H164-G164)+(L164-K164)+(P164-O164)+(T164-S164)+(X164-W164)+(AB164-AA164)+(AF164-AE164))))</f>
        <v/>
      </c>
      <c r="AK164" s="28">
        <f>ROUND(MAX(0,(AK163)+AH164-AJ164),2)</f>
        <v/>
      </c>
      <c r="AL164" s="18">
        <f>I164+M164+Q164+U164+Y164+AC164+AG164+AK164</f>
        <v/>
      </c>
      <c r="AM164" s="27">
        <f>AM163+F164+J164+N164+R164+V164+Z164+AD164+AH164</f>
        <v/>
      </c>
    </row>
    <row r="165">
      <c r="A165" s="25" t="n">
        <v>160</v>
      </c>
      <c r="B165" s="26">
        <f>EDATE('Your Debts'!$B$19,159)</f>
        <v/>
      </c>
      <c r="C165" s="27">
        <f>'Your Debts'!$B$18</f>
        <v/>
      </c>
      <c r="D165" s="27">
        <f>G165+K165+O165+S165+W165+AA165+AE165+AI165</f>
        <v/>
      </c>
      <c r="E165" s="27">
        <f>MAX(0,C165-D165)</f>
        <v/>
      </c>
      <c r="F165" s="28">
        <f>ROUND((I164)*(IF('Your Debts'!$G$5=0,0,INDEX('Your Debts'!$C$5:$C$12,'Your Debts'!$G$5)/12)),2)</f>
        <v/>
      </c>
      <c r="G165" s="28">
        <f>MIN((I164)+F165,IF('Your Debts'!$G$5=0,0,INDEX('Your Debts'!$D$5:$D$12,'Your Debts'!$G$5)))</f>
        <v/>
      </c>
      <c r="H165" s="28">
        <f>G165+MIN((I164)+F165-G165,MAX(0,$E165-(0)))</f>
        <v/>
      </c>
      <c r="I165" s="28">
        <f>ROUND(MAX(0,(I164)+F165-H165),2)</f>
        <v/>
      </c>
      <c r="J165" s="28">
        <f>ROUND((M164)*(IF('Your Debts'!$G$6=0,0,INDEX('Your Debts'!$C$5:$C$12,'Your Debts'!$G$6)/12)),2)</f>
        <v/>
      </c>
      <c r="K165" s="28">
        <f>MIN((M164)+J165,IF('Your Debts'!$G$6=0,0,INDEX('Your Debts'!$D$5:$D$12,'Your Debts'!$G$6)))</f>
        <v/>
      </c>
      <c r="L165" s="28">
        <f>K165+MIN((M164)+J165-K165,MAX(0,$E165-((H165-G165))))</f>
        <v/>
      </c>
      <c r="M165" s="28">
        <f>ROUND(MAX(0,(M164)+J165-L165),2)</f>
        <v/>
      </c>
      <c r="N165" s="28">
        <f>ROUND((Q164)*(IF('Your Debts'!$G$7=0,0,INDEX('Your Debts'!$C$5:$C$12,'Your Debts'!$G$7)/12)),2)</f>
        <v/>
      </c>
      <c r="O165" s="28">
        <f>MIN((Q164)+N165,IF('Your Debts'!$G$7=0,0,INDEX('Your Debts'!$D$5:$D$12,'Your Debts'!$G$7)))</f>
        <v/>
      </c>
      <c r="P165" s="28">
        <f>O165+MIN((Q164)+N165-O165,MAX(0,$E165-((H165-G165)+(L165-K165))))</f>
        <v/>
      </c>
      <c r="Q165" s="28">
        <f>ROUND(MAX(0,(Q164)+N165-P165),2)</f>
        <v/>
      </c>
      <c r="R165" s="28">
        <f>ROUND((U164)*(IF('Your Debts'!$G$8=0,0,INDEX('Your Debts'!$C$5:$C$12,'Your Debts'!$G$8)/12)),2)</f>
        <v/>
      </c>
      <c r="S165" s="28">
        <f>MIN((U164)+R165,IF('Your Debts'!$G$8=0,0,INDEX('Your Debts'!$D$5:$D$12,'Your Debts'!$G$8)))</f>
        <v/>
      </c>
      <c r="T165" s="28">
        <f>S165+MIN((U164)+R165-S165,MAX(0,$E165-((H165-G165)+(L165-K165)+(P165-O165))))</f>
        <v/>
      </c>
      <c r="U165" s="28">
        <f>ROUND(MAX(0,(U164)+R165-T165),2)</f>
        <v/>
      </c>
      <c r="V165" s="28">
        <f>ROUND((Y164)*(IF('Your Debts'!$G$9=0,0,INDEX('Your Debts'!$C$5:$C$12,'Your Debts'!$G$9)/12)),2)</f>
        <v/>
      </c>
      <c r="W165" s="28">
        <f>MIN((Y164)+V165,IF('Your Debts'!$G$9=0,0,INDEX('Your Debts'!$D$5:$D$12,'Your Debts'!$G$9)))</f>
        <v/>
      </c>
      <c r="X165" s="28">
        <f>W165+MIN((Y164)+V165-W165,MAX(0,$E165-((H165-G165)+(L165-K165)+(P165-O165)+(T165-S165))))</f>
        <v/>
      </c>
      <c r="Y165" s="28">
        <f>ROUND(MAX(0,(Y164)+V165-X165),2)</f>
        <v/>
      </c>
      <c r="Z165" s="28">
        <f>ROUND((AC164)*(IF('Your Debts'!$G$10=0,0,INDEX('Your Debts'!$C$5:$C$12,'Your Debts'!$G$10)/12)),2)</f>
        <v/>
      </c>
      <c r="AA165" s="28">
        <f>MIN((AC164)+Z165,IF('Your Debts'!$G$10=0,0,INDEX('Your Debts'!$D$5:$D$12,'Your Debts'!$G$10)))</f>
        <v/>
      </c>
      <c r="AB165" s="28">
        <f>AA165+MIN((AC164)+Z165-AA165,MAX(0,$E165-((H165-G165)+(L165-K165)+(P165-O165)+(T165-S165)+(X165-W165))))</f>
        <v/>
      </c>
      <c r="AC165" s="28">
        <f>ROUND(MAX(0,(AC164)+Z165-AB165),2)</f>
        <v/>
      </c>
      <c r="AD165" s="28">
        <f>ROUND((AG164)*(IF('Your Debts'!$G$11=0,0,INDEX('Your Debts'!$C$5:$C$12,'Your Debts'!$G$11)/12)),2)</f>
        <v/>
      </c>
      <c r="AE165" s="28">
        <f>MIN((AG164)+AD165,IF('Your Debts'!$G$11=0,0,INDEX('Your Debts'!$D$5:$D$12,'Your Debts'!$G$11)))</f>
        <v/>
      </c>
      <c r="AF165" s="28">
        <f>AE165+MIN((AG164)+AD165-AE165,MAX(0,$E165-((H165-G165)+(L165-K165)+(P165-O165)+(T165-S165)+(X165-W165)+(AB165-AA165))))</f>
        <v/>
      </c>
      <c r="AG165" s="28">
        <f>ROUND(MAX(0,(AG164)+AD165-AF165),2)</f>
        <v/>
      </c>
      <c r="AH165" s="28">
        <f>ROUND((AK164)*(IF('Your Debts'!$G$12=0,0,INDEX('Your Debts'!$C$5:$C$12,'Your Debts'!$G$12)/12)),2)</f>
        <v/>
      </c>
      <c r="AI165" s="28">
        <f>MIN((AK164)+AH165,IF('Your Debts'!$G$12=0,0,INDEX('Your Debts'!$D$5:$D$12,'Your Debts'!$G$12)))</f>
        <v/>
      </c>
      <c r="AJ165" s="28">
        <f>AI165+MIN((AK164)+AH165-AI165,MAX(0,$E165-((H165-G165)+(L165-K165)+(P165-O165)+(T165-S165)+(X165-W165)+(AB165-AA165)+(AF165-AE165))))</f>
        <v/>
      </c>
      <c r="AK165" s="28">
        <f>ROUND(MAX(0,(AK164)+AH165-AJ165),2)</f>
        <v/>
      </c>
      <c r="AL165" s="18">
        <f>I165+M165+Q165+U165+Y165+AC165+AG165+AK165</f>
        <v/>
      </c>
      <c r="AM165" s="27">
        <f>AM164+F165+J165+N165+R165+V165+Z165+AD165+AH165</f>
        <v/>
      </c>
    </row>
    <row r="166">
      <c r="A166" s="25" t="n">
        <v>161</v>
      </c>
      <c r="B166" s="26">
        <f>EDATE('Your Debts'!$B$19,160)</f>
        <v/>
      </c>
      <c r="C166" s="27">
        <f>'Your Debts'!$B$18</f>
        <v/>
      </c>
      <c r="D166" s="27">
        <f>G166+K166+O166+S166+W166+AA166+AE166+AI166</f>
        <v/>
      </c>
      <c r="E166" s="27">
        <f>MAX(0,C166-D166)</f>
        <v/>
      </c>
      <c r="F166" s="28">
        <f>ROUND((I165)*(IF('Your Debts'!$G$5=0,0,INDEX('Your Debts'!$C$5:$C$12,'Your Debts'!$G$5)/12)),2)</f>
        <v/>
      </c>
      <c r="G166" s="28">
        <f>MIN((I165)+F166,IF('Your Debts'!$G$5=0,0,INDEX('Your Debts'!$D$5:$D$12,'Your Debts'!$G$5)))</f>
        <v/>
      </c>
      <c r="H166" s="28">
        <f>G166+MIN((I165)+F166-G166,MAX(0,$E166-(0)))</f>
        <v/>
      </c>
      <c r="I166" s="28">
        <f>ROUND(MAX(0,(I165)+F166-H166),2)</f>
        <v/>
      </c>
      <c r="J166" s="28">
        <f>ROUND((M165)*(IF('Your Debts'!$G$6=0,0,INDEX('Your Debts'!$C$5:$C$12,'Your Debts'!$G$6)/12)),2)</f>
        <v/>
      </c>
      <c r="K166" s="28">
        <f>MIN((M165)+J166,IF('Your Debts'!$G$6=0,0,INDEX('Your Debts'!$D$5:$D$12,'Your Debts'!$G$6)))</f>
        <v/>
      </c>
      <c r="L166" s="28">
        <f>K166+MIN((M165)+J166-K166,MAX(0,$E166-((H166-G166))))</f>
        <v/>
      </c>
      <c r="M166" s="28">
        <f>ROUND(MAX(0,(M165)+J166-L166),2)</f>
        <v/>
      </c>
      <c r="N166" s="28">
        <f>ROUND((Q165)*(IF('Your Debts'!$G$7=0,0,INDEX('Your Debts'!$C$5:$C$12,'Your Debts'!$G$7)/12)),2)</f>
        <v/>
      </c>
      <c r="O166" s="28">
        <f>MIN((Q165)+N166,IF('Your Debts'!$G$7=0,0,INDEX('Your Debts'!$D$5:$D$12,'Your Debts'!$G$7)))</f>
        <v/>
      </c>
      <c r="P166" s="28">
        <f>O166+MIN((Q165)+N166-O166,MAX(0,$E166-((H166-G166)+(L166-K166))))</f>
        <v/>
      </c>
      <c r="Q166" s="28">
        <f>ROUND(MAX(0,(Q165)+N166-P166),2)</f>
        <v/>
      </c>
      <c r="R166" s="28">
        <f>ROUND((U165)*(IF('Your Debts'!$G$8=0,0,INDEX('Your Debts'!$C$5:$C$12,'Your Debts'!$G$8)/12)),2)</f>
        <v/>
      </c>
      <c r="S166" s="28">
        <f>MIN((U165)+R166,IF('Your Debts'!$G$8=0,0,INDEX('Your Debts'!$D$5:$D$12,'Your Debts'!$G$8)))</f>
        <v/>
      </c>
      <c r="T166" s="28">
        <f>S166+MIN((U165)+R166-S166,MAX(0,$E166-((H166-G166)+(L166-K166)+(P166-O166))))</f>
        <v/>
      </c>
      <c r="U166" s="28">
        <f>ROUND(MAX(0,(U165)+R166-T166),2)</f>
        <v/>
      </c>
      <c r="V166" s="28">
        <f>ROUND((Y165)*(IF('Your Debts'!$G$9=0,0,INDEX('Your Debts'!$C$5:$C$12,'Your Debts'!$G$9)/12)),2)</f>
        <v/>
      </c>
      <c r="W166" s="28">
        <f>MIN((Y165)+V166,IF('Your Debts'!$G$9=0,0,INDEX('Your Debts'!$D$5:$D$12,'Your Debts'!$G$9)))</f>
        <v/>
      </c>
      <c r="X166" s="28">
        <f>W166+MIN((Y165)+V166-W166,MAX(0,$E166-((H166-G166)+(L166-K166)+(P166-O166)+(T166-S166))))</f>
        <v/>
      </c>
      <c r="Y166" s="28">
        <f>ROUND(MAX(0,(Y165)+V166-X166),2)</f>
        <v/>
      </c>
      <c r="Z166" s="28">
        <f>ROUND((AC165)*(IF('Your Debts'!$G$10=0,0,INDEX('Your Debts'!$C$5:$C$12,'Your Debts'!$G$10)/12)),2)</f>
        <v/>
      </c>
      <c r="AA166" s="28">
        <f>MIN((AC165)+Z166,IF('Your Debts'!$G$10=0,0,INDEX('Your Debts'!$D$5:$D$12,'Your Debts'!$G$10)))</f>
        <v/>
      </c>
      <c r="AB166" s="28">
        <f>AA166+MIN((AC165)+Z166-AA166,MAX(0,$E166-((H166-G166)+(L166-K166)+(P166-O166)+(T166-S166)+(X166-W166))))</f>
        <v/>
      </c>
      <c r="AC166" s="28">
        <f>ROUND(MAX(0,(AC165)+Z166-AB166),2)</f>
        <v/>
      </c>
      <c r="AD166" s="28">
        <f>ROUND((AG165)*(IF('Your Debts'!$G$11=0,0,INDEX('Your Debts'!$C$5:$C$12,'Your Debts'!$G$11)/12)),2)</f>
        <v/>
      </c>
      <c r="AE166" s="28">
        <f>MIN((AG165)+AD166,IF('Your Debts'!$G$11=0,0,INDEX('Your Debts'!$D$5:$D$12,'Your Debts'!$G$11)))</f>
        <v/>
      </c>
      <c r="AF166" s="28">
        <f>AE166+MIN((AG165)+AD166-AE166,MAX(0,$E166-((H166-G166)+(L166-K166)+(P166-O166)+(T166-S166)+(X166-W166)+(AB166-AA166))))</f>
        <v/>
      </c>
      <c r="AG166" s="28">
        <f>ROUND(MAX(0,(AG165)+AD166-AF166),2)</f>
        <v/>
      </c>
      <c r="AH166" s="28">
        <f>ROUND((AK165)*(IF('Your Debts'!$G$12=0,0,INDEX('Your Debts'!$C$5:$C$12,'Your Debts'!$G$12)/12)),2)</f>
        <v/>
      </c>
      <c r="AI166" s="28">
        <f>MIN((AK165)+AH166,IF('Your Debts'!$G$12=0,0,INDEX('Your Debts'!$D$5:$D$12,'Your Debts'!$G$12)))</f>
        <v/>
      </c>
      <c r="AJ166" s="28">
        <f>AI166+MIN((AK165)+AH166-AI166,MAX(0,$E166-((H166-G166)+(L166-K166)+(P166-O166)+(T166-S166)+(X166-W166)+(AB166-AA166)+(AF166-AE166))))</f>
        <v/>
      </c>
      <c r="AK166" s="28">
        <f>ROUND(MAX(0,(AK165)+AH166-AJ166),2)</f>
        <v/>
      </c>
      <c r="AL166" s="18">
        <f>I166+M166+Q166+U166+Y166+AC166+AG166+AK166</f>
        <v/>
      </c>
      <c r="AM166" s="27">
        <f>AM165+F166+J166+N166+R166+V166+Z166+AD166+AH166</f>
        <v/>
      </c>
    </row>
    <row r="167">
      <c r="A167" s="25" t="n">
        <v>162</v>
      </c>
      <c r="B167" s="26">
        <f>EDATE('Your Debts'!$B$19,161)</f>
        <v/>
      </c>
      <c r="C167" s="27">
        <f>'Your Debts'!$B$18</f>
        <v/>
      </c>
      <c r="D167" s="27">
        <f>G167+K167+O167+S167+W167+AA167+AE167+AI167</f>
        <v/>
      </c>
      <c r="E167" s="27">
        <f>MAX(0,C167-D167)</f>
        <v/>
      </c>
      <c r="F167" s="28">
        <f>ROUND((I166)*(IF('Your Debts'!$G$5=0,0,INDEX('Your Debts'!$C$5:$C$12,'Your Debts'!$G$5)/12)),2)</f>
        <v/>
      </c>
      <c r="G167" s="28">
        <f>MIN((I166)+F167,IF('Your Debts'!$G$5=0,0,INDEX('Your Debts'!$D$5:$D$12,'Your Debts'!$G$5)))</f>
        <v/>
      </c>
      <c r="H167" s="28">
        <f>G167+MIN((I166)+F167-G167,MAX(0,$E167-(0)))</f>
        <v/>
      </c>
      <c r="I167" s="28">
        <f>ROUND(MAX(0,(I166)+F167-H167),2)</f>
        <v/>
      </c>
      <c r="J167" s="28">
        <f>ROUND((M166)*(IF('Your Debts'!$G$6=0,0,INDEX('Your Debts'!$C$5:$C$12,'Your Debts'!$G$6)/12)),2)</f>
        <v/>
      </c>
      <c r="K167" s="28">
        <f>MIN((M166)+J167,IF('Your Debts'!$G$6=0,0,INDEX('Your Debts'!$D$5:$D$12,'Your Debts'!$G$6)))</f>
        <v/>
      </c>
      <c r="L167" s="28">
        <f>K167+MIN((M166)+J167-K167,MAX(0,$E167-((H167-G167))))</f>
        <v/>
      </c>
      <c r="M167" s="28">
        <f>ROUND(MAX(0,(M166)+J167-L167),2)</f>
        <v/>
      </c>
      <c r="N167" s="28">
        <f>ROUND((Q166)*(IF('Your Debts'!$G$7=0,0,INDEX('Your Debts'!$C$5:$C$12,'Your Debts'!$G$7)/12)),2)</f>
        <v/>
      </c>
      <c r="O167" s="28">
        <f>MIN((Q166)+N167,IF('Your Debts'!$G$7=0,0,INDEX('Your Debts'!$D$5:$D$12,'Your Debts'!$G$7)))</f>
        <v/>
      </c>
      <c r="P167" s="28">
        <f>O167+MIN((Q166)+N167-O167,MAX(0,$E167-((H167-G167)+(L167-K167))))</f>
        <v/>
      </c>
      <c r="Q167" s="28">
        <f>ROUND(MAX(0,(Q166)+N167-P167),2)</f>
        <v/>
      </c>
      <c r="R167" s="28">
        <f>ROUND((U166)*(IF('Your Debts'!$G$8=0,0,INDEX('Your Debts'!$C$5:$C$12,'Your Debts'!$G$8)/12)),2)</f>
        <v/>
      </c>
      <c r="S167" s="28">
        <f>MIN((U166)+R167,IF('Your Debts'!$G$8=0,0,INDEX('Your Debts'!$D$5:$D$12,'Your Debts'!$G$8)))</f>
        <v/>
      </c>
      <c r="T167" s="28">
        <f>S167+MIN((U166)+R167-S167,MAX(0,$E167-((H167-G167)+(L167-K167)+(P167-O167))))</f>
        <v/>
      </c>
      <c r="U167" s="28">
        <f>ROUND(MAX(0,(U166)+R167-T167),2)</f>
        <v/>
      </c>
      <c r="V167" s="28">
        <f>ROUND((Y166)*(IF('Your Debts'!$G$9=0,0,INDEX('Your Debts'!$C$5:$C$12,'Your Debts'!$G$9)/12)),2)</f>
        <v/>
      </c>
      <c r="W167" s="28">
        <f>MIN((Y166)+V167,IF('Your Debts'!$G$9=0,0,INDEX('Your Debts'!$D$5:$D$12,'Your Debts'!$G$9)))</f>
        <v/>
      </c>
      <c r="X167" s="28">
        <f>W167+MIN((Y166)+V167-W167,MAX(0,$E167-((H167-G167)+(L167-K167)+(P167-O167)+(T167-S167))))</f>
        <v/>
      </c>
      <c r="Y167" s="28">
        <f>ROUND(MAX(0,(Y166)+V167-X167),2)</f>
        <v/>
      </c>
      <c r="Z167" s="28">
        <f>ROUND((AC166)*(IF('Your Debts'!$G$10=0,0,INDEX('Your Debts'!$C$5:$C$12,'Your Debts'!$G$10)/12)),2)</f>
        <v/>
      </c>
      <c r="AA167" s="28">
        <f>MIN((AC166)+Z167,IF('Your Debts'!$G$10=0,0,INDEX('Your Debts'!$D$5:$D$12,'Your Debts'!$G$10)))</f>
        <v/>
      </c>
      <c r="AB167" s="28">
        <f>AA167+MIN((AC166)+Z167-AA167,MAX(0,$E167-((H167-G167)+(L167-K167)+(P167-O167)+(T167-S167)+(X167-W167))))</f>
        <v/>
      </c>
      <c r="AC167" s="28">
        <f>ROUND(MAX(0,(AC166)+Z167-AB167),2)</f>
        <v/>
      </c>
      <c r="AD167" s="28">
        <f>ROUND((AG166)*(IF('Your Debts'!$G$11=0,0,INDEX('Your Debts'!$C$5:$C$12,'Your Debts'!$G$11)/12)),2)</f>
        <v/>
      </c>
      <c r="AE167" s="28">
        <f>MIN((AG166)+AD167,IF('Your Debts'!$G$11=0,0,INDEX('Your Debts'!$D$5:$D$12,'Your Debts'!$G$11)))</f>
        <v/>
      </c>
      <c r="AF167" s="28">
        <f>AE167+MIN((AG166)+AD167-AE167,MAX(0,$E167-((H167-G167)+(L167-K167)+(P167-O167)+(T167-S167)+(X167-W167)+(AB167-AA167))))</f>
        <v/>
      </c>
      <c r="AG167" s="28">
        <f>ROUND(MAX(0,(AG166)+AD167-AF167),2)</f>
        <v/>
      </c>
      <c r="AH167" s="28">
        <f>ROUND((AK166)*(IF('Your Debts'!$G$12=0,0,INDEX('Your Debts'!$C$5:$C$12,'Your Debts'!$G$12)/12)),2)</f>
        <v/>
      </c>
      <c r="AI167" s="28">
        <f>MIN((AK166)+AH167,IF('Your Debts'!$G$12=0,0,INDEX('Your Debts'!$D$5:$D$12,'Your Debts'!$G$12)))</f>
        <v/>
      </c>
      <c r="AJ167" s="28">
        <f>AI167+MIN((AK166)+AH167-AI167,MAX(0,$E167-((H167-G167)+(L167-K167)+(P167-O167)+(T167-S167)+(X167-W167)+(AB167-AA167)+(AF167-AE167))))</f>
        <v/>
      </c>
      <c r="AK167" s="28">
        <f>ROUND(MAX(0,(AK166)+AH167-AJ167),2)</f>
        <v/>
      </c>
      <c r="AL167" s="18">
        <f>I167+M167+Q167+U167+Y167+AC167+AG167+AK167</f>
        <v/>
      </c>
      <c r="AM167" s="27">
        <f>AM166+F167+J167+N167+R167+V167+Z167+AD167+AH167</f>
        <v/>
      </c>
    </row>
    <row r="168">
      <c r="A168" s="25" t="n">
        <v>163</v>
      </c>
      <c r="B168" s="26">
        <f>EDATE('Your Debts'!$B$19,162)</f>
        <v/>
      </c>
      <c r="C168" s="27">
        <f>'Your Debts'!$B$18</f>
        <v/>
      </c>
      <c r="D168" s="27">
        <f>G168+K168+O168+S168+W168+AA168+AE168+AI168</f>
        <v/>
      </c>
      <c r="E168" s="27">
        <f>MAX(0,C168-D168)</f>
        <v/>
      </c>
      <c r="F168" s="28">
        <f>ROUND((I167)*(IF('Your Debts'!$G$5=0,0,INDEX('Your Debts'!$C$5:$C$12,'Your Debts'!$G$5)/12)),2)</f>
        <v/>
      </c>
      <c r="G168" s="28">
        <f>MIN((I167)+F168,IF('Your Debts'!$G$5=0,0,INDEX('Your Debts'!$D$5:$D$12,'Your Debts'!$G$5)))</f>
        <v/>
      </c>
      <c r="H168" s="28">
        <f>G168+MIN((I167)+F168-G168,MAX(0,$E168-(0)))</f>
        <v/>
      </c>
      <c r="I168" s="28">
        <f>ROUND(MAX(0,(I167)+F168-H168),2)</f>
        <v/>
      </c>
      <c r="J168" s="28">
        <f>ROUND((M167)*(IF('Your Debts'!$G$6=0,0,INDEX('Your Debts'!$C$5:$C$12,'Your Debts'!$G$6)/12)),2)</f>
        <v/>
      </c>
      <c r="K168" s="28">
        <f>MIN((M167)+J168,IF('Your Debts'!$G$6=0,0,INDEX('Your Debts'!$D$5:$D$12,'Your Debts'!$G$6)))</f>
        <v/>
      </c>
      <c r="L168" s="28">
        <f>K168+MIN((M167)+J168-K168,MAX(0,$E168-((H168-G168))))</f>
        <v/>
      </c>
      <c r="M168" s="28">
        <f>ROUND(MAX(0,(M167)+J168-L168),2)</f>
        <v/>
      </c>
      <c r="N168" s="28">
        <f>ROUND((Q167)*(IF('Your Debts'!$G$7=0,0,INDEX('Your Debts'!$C$5:$C$12,'Your Debts'!$G$7)/12)),2)</f>
        <v/>
      </c>
      <c r="O168" s="28">
        <f>MIN((Q167)+N168,IF('Your Debts'!$G$7=0,0,INDEX('Your Debts'!$D$5:$D$12,'Your Debts'!$G$7)))</f>
        <v/>
      </c>
      <c r="P168" s="28">
        <f>O168+MIN((Q167)+N168-O168,MAX(0,$E168-((H168-G168)+(L168-K168))))</f>
        <v/>
      </c>
      <c r="Q168" s="28">
        <f>ROUND(MAX(0,(Q167)+N168-P168),2)</f>
        <v/>
      </c>
      <c r="R168" s="28">
        <f>ROUND((U167)*(IF('Your Debts'!$G$8=0,0,INDEX('Your Debts'!$C$5:$C$12,'Your Debts'!$G$8)/12)),2)</f>
        <v/>
      </c>
      <c r="S168" s="28">
        <f>MIN((U167)+R168,IF('Your Debts'!$G$8=0,0,INDEX('Your Debts'!$D$5:$D$12,'Your Debts'!$G$8)))</f>
        <v/>
      </c>
      <c r="T168" s="28">
        <f>S168+MIN((U167)+R168-S168,MAX(0,$E168-((H168-G168)+(L168-K168)+(P168-O168))))</f>
        <v/>
      </c>
      <c r="U168" s="28">
        <f>ROUND(MAX(0,(U167)+R168-T168),2)</f>
        <v/>
      </c>
      <c r="V168" s="28">
        <f>ROUND((Y167)*(IF('Your Debts'!$G$9=0,0,INDEX('Your Debts'!$C$5:$C$12,'Your Debts'!$G$9)/12)),2)</f>
        <v/>
      </c>
      <c r="W168" s="28">
        <f>MIN((Y167)+V168,IF('Your Debts'!$G$9=0,0,INDEX('Your Debts'!$D$5:$D$12,'Your Debts'!$G$9)))</f>
        <v/>
      </c>
      <c r="X168" s="28">
        <f>W168+MIN((Y167)+V168-W168,MAX(0,$E168-((H168-G168)+(L168-K168)+(P168-O168)+(T168-S168))))</f>
        <v/>
      </c>
      <c r="Y168" s="28">
        <f>ROUND(MAX(0,(Y167)+V168-X168),2)</f>
        <v/>
      </c>
      <c r="Z168" s="28">
        <f>ROUND((AC167)*(IF('Your Debts'!$G$10=0,0,INDEX('Your Debts'!$C$5:$C$12,'Your Debts'!$G$10)/12)),2)</f>
        <v/>
      </c>
      <c r="AA168" s="28">
        <f>MIN((AC167)+Z168,IF('Your Debts'!$G$10=0,0,INDEX('Your Debts'!$D$5:$D$12,'Your Debts'!$G$10)))</f>
        <v/>
      </c>
      <c r="AB168" s="28">
        <f>AA168+MIN((AC167)+Z168-AA168,MAX(0,$E168-((H168-G168)+(L168-K168)+(P168-O168)+(T168-S168)+(X168-W168))))</f>
        <v/>
      </c>
      <c r="AC168" s="28">
        <f>ROUND(MAX(0,(AC167)+Z168-AB168),2)</f>
        <v/>
      </c>
      <c r="AD168" s="28">
        <f>ROUND((AG167)*(IF('Your Debts'!$G$11=0,0,INDEX('Your Debts'!$C$5:$C$12,'Your Debts'!$G$11)/12)),2)</f>
        <v/>
      </c>
      <c r="AE168" s="28">
        <f>MIN((AG167)+AD168,IF('Your Debts'!$G$11=0,0,INDEX('Your Debts'!$D$5:$D$12,'Your Debts'!$G$11)))</f>
        <v/>
      </c>
      <c r="AF168" s="28">
        <f>AE168+MIN((AG167)+AD168-AE168,MAX(0,$E168-((H168-G168)+(L168-K168)+(P168-O168)+(T168-S168)+(X168-W168)+(AB168-AA168))))</f>
        <v/>
      </c>
      <c r="AG168" s="28">
        <f>ROUND(MAX(0,(AG167)+AD168-AF168),2)</f>
        <v/>
      </c>
      <c r="AH168" s="28">
        <f>ROUND((AK167)*(IF('Your Debts'!$G$12=0,0,INDEX('Your Debts'!$C$5:$C$12,'Your Debts'!$G$12)/12)),2)</f>
        <v/>
      </c>
      <c r="AI168" s="28">
        <f>MIN((AK167)+AH168,IF('Your Debts'!$G$12=0,0,INDEX('Your Debts'!$D$5:$D$12,'Your Debts'!$G$12)))</f>
        <v/>
      </c>
      <c r="AJ168" s="28">
        <f>AI168+MIN((AK167)+AH168-AI168,MAX(0,$E168-((H168-G168)+(L168-K168)+(P168-O168)+(T168-S168)+(X168-W168)+(AB168-AA168)+(AF168-AE168))))</f>
        <v/>
      </c>
      <c r="AK168" s="28">
        <f>ROUND(MAX(0,(AK167)+AH168-AJ168),2)</f>
        <v/>
      </c>
      <c r="AL168" s="18">
        <f>I168+M168+Q168+U168+Y168+AC168+AG168+AK168</f>
        <v/>
      </c>
      <c r="AM168" s="27">
        <f>AM167+F168+J168+N168+R168+V168+Z168+AD168+AH168</f>
        <v/>
      </c>
    </row>
    <row r="169">
      <c r="A169" s="25" t="n">
        <v>164</v>
      </c>
      <c r="B169" s="26">
        <f>EDATE('Your Debts'!$B$19,163)</f>
        <v/>
      </c>
      <c r="C169" s="27">
        <f>'Your Debts'!$B$18</f>
        <v/>
      </c>
      <c r="D169" s="27">
        <f>G169+K169+O169+S169+W169+AA169+AE169+AI169</f>
        <v/>
      </c>
      <c r="E169" s="27">
        <f>MAX(0,C169-D169)</f>
        <v/>
      </c>
      <c r="F169" s="28">
        <f>ROUND((I168)*(IF('Your Debts'!$G$5=0,0,INDEX('Your Debts'!$C$5:$C$12,'Your Debts'!$G$5)/12)),2)</f>
        <v/>
      </c>
      <c r="G169" s="28">
        <f>MIN((I168)+F169,IF('Your Debts'!$G$5=0,0,INDEX('Your Debts'!$D$5:$D$12,'Your Debts'!$G$5)))</f>
        <v/>
      </c>
      <c r="H169" s="28">
        <f>G169+MIN((I168)+F169-G169,MAX(0,$E169-(0)))</f>
        <v/>
      </c>
      <c r="I169" s="28">
        <f>ROUND(MAX(0,(I168)+F169-H169),2)</f>
        <v/>
      </c>
      <c r="J169" s="28">
        <f>ROUND((M168)*(IF('Your Debts'!$G$6=0,0,INDEX('Your Debts'!$C$5:$C$12,'Your Debts'!$G$6)/12)),2)</f>
        <v/>
      </c>
      <c r="K169" s="28">
        <f>MIN((M168)+J169,IF('Your Debts'!$G$6=0,0,INDEX('Your Debts'!$D$5:$D$12,'Your Debts'!$G$6)))</f>
        <v/>
      </c>
      <c r="L169" s="28">
        <f>K169+MIN((M168)+J169-K169,MAX(0,$E169-((H169-G169))))</f>
        <v/>
      </c>
      <c r="M169" s="28">
        <f>ROUND(MAX(0,(M168)+J169-L169),2)</f>
        <v/>
      </c>
      <c r="N169" s="28">
        <f>ROUND((Q168)*(IF('Your Debts'!$G$7=0,0,INDEX('Your Debts'!$C$5:$C$12,'Your Debts'!$G$7)/12)),2)</f>
        <v/>
      </c>
      <c r="O169" s="28">
        <f>MIN((Q168)+N169,IF('Your Debts'!$G$7=0,0,INDEX('Your Debts'!$D$5:$D$12,'Your Debts'!$G$7)))</f>
        <v/>
      </c>
      <c r="P169" s="28">
        <f>O169+MIN((Q168)+N169-O169,MAX(0,$E169-((H169-G169)+(L169-K169))))</f>
        <v/>
      </c>
      <c r="Q169" s="28">
        <f>ROUND(MAX(0,(Q168)+N169-P169),2)</f>
        <v/>
      </c>
      <c r="R169" s="28">
        <f>ROUND((U168)*(IF('Your Debts'!$G$8=0,0,INDEX('Your Debts'!$C$5:$C$12,'Your Debts'!$G$8)/12)),2)</f>
        <v/>
      </c>
      <c r="S169" s="28">
        <f>MIN((U168)+R169,IF('Your Debts'!$G$8=0,0,INDEX('Your Debts'!$D$5:$D$12,'Your Debts'!$G$8)))</f>
        <v/>
      </c>
      <c r="T169" s="28">
        <f>S169+MIN((U168)+R169-S169,MAX(0,$E169-((H169-G169)+(L169-K169)+(P169-O169))))</f>
        <v/>
      </c>
      <c r="U169" s="28">
        <f>ROUND(MAX(0,(U168)+R169-T169),2)</f>
        <v/>
      </c>
      <c r="V169" s="28">
        <f>ROUND((Y168)*(IF('Your Debts'!$G$9=0,0,INDEX('Your Debts'!$C$5:$C$12,'Your Debts'!$G$9)/12)),2)</f>
        <v/>
      </c>
      <c r="W169" s="28">
        <f>MIN((Y168)+V169,IF('Your Debts'!$G$9=0,0,INDEX('Your Debts'!$D$5:$D$12,'Your Debts'!$G$9)))</f>
        <v/>
      </c>
      <c r="X169" s="28">
        <f>W169+MIN((Y168)+V169-W169,MAX(0,$E169-((H169-G169)+(L169-K169)+(P169-O169)+(T169-S169))))</f>
        <v/>
      </c>
      <c r="Y169" s="28">
        <f>ROUND(MAX(0,(Y168)+V169-X169),2)</f>
        <v/>
      </c>
      <c r="Z169" s="28">
        <f>ROUND((AC168)*(IF('Your Debts'!$G$10=0,0,INDEX('Your Debts'!$C$5:$C$12,'Your Debts'!$G$10)/12)),2)</f>
        <v/>
      </c>
      <c r="AA169" s="28">
        <f>MIN((AC168)+Z169,IF('Your Debts'!$G$10=0,0,INDEX('Your Debts'!$D$5:$D$12,'Your Debts'!$G$10)))</f>
        <v/>
      </c>
      <c r="AB169" s="28">
        <f>AA169+MIN((AC168)+Z169-AA169,MAX(0,$E169-((H169-G169)+(L169-K169)+(P169-O169)+(T169-S169)+(X169-W169))))</f>
        <v/>
      </c>
      <c r="AC169" s="28">
        <f>ROUND(MAX(0,(AC168)+Z169-AB169),2)</f>
        <v/>
      </c>
      <c r="AD169" s="28">
        <f>ROUND((AG168)*(IF('Your Debts'!$G$11=0,0,INDEX('Your Debts'!$C$5:$C$12,'Your Debts'!$G$11)/12)),2)</f>
        <v/>
      </c>
      <c r="AE169" s="28">
        <f>MIN((AG168)+AD169,IF('Your Debts'!$G$11=0,0,INDEX('Your Debts'!$D$5:$D$12,'Your Debts'!$G$11)))</f>
        <v/>
      </c>
      <c r="AF169" s="28">
        <f>AE169+MIN((AG168)+AD169-AE169,MAX(0,$E169-((H169-G169)+(L169-K169)+(P169-O169)+(T169-S169)+(X169-W169)+(AB169-AA169))))</f>
        <v/>
      </c>
      <c r="AG169" s="28">
        <f>ROUND(MAX(0,(AG168)+AD169-AF169),2)</f>
        <v/>
      </c>
      <c r="AH169" s="28">
        <f>ROUND((AK168)*(IF('Your Debts'!$G$12=0,0,INDEX('Your Debts'!$C$5:$C$12,'Your Debts'!$G$12)/12)),2)</f>
        <v/>
      </c>
      <c r="AI169" s="28">
        <f>MIN((AK168)+AH169,IF('Your Debts'!$G$12=0,0,INDEX('Your Debts'!$D$5:$D$12,'Your Debts'!$G$12)))</f>
        <v/>
      </c>
      <c r="AJ169" s="28">
        <f>AI169+MIN((AK168)+AH169-AI169,MAX(0,$E169-((H169-G169)+(L169-K169)+(P169-O169)+(T169-S169)+(X169-W169)+(AB169-AA169)+(AF169-AE169))))</f>
        <v/>
      </c>
      <c r="AK169" s="28">
        <f>ROUND(MAX(0,(AK168)+AH169-AJ169),2)</f>
        <v/>
      </c>
      <c r="AL169" s="18">
        <f>I169+M169+Q169+U169+Y169+AC169+AG169+AK169</f>
        <v/>
      </c>
      <c r="AM169" s="27">
        <f>AM168+F169+J169+N169+R169+V169+Z169+AD169+AH169</f>
        <v/>
      </c>
    </row>
    <row r="170">
      <c r="A170" s="25" t="n">
        <v>165</v>
      </c>
      <c r="B170" s="26">
        <f>EDATE('Your Debts'!$B$19,164)</f>
        <v/>
      </c>
      <c r="C170" s="27">
        <f>'Your Debts'!$B$18</f>
        <v/>
      </c>
      <c r="D170" s="27">
        <f>G170+K170+O170+S170+W170+AA170+AE170+AI170</f>
        <v/>
      </c>
      <c r="E170" s="27">
        <f>MAX(0,C170-D170)</f>
        <v/>
      </c>
      <c r="F170" s="28">
        <f>ROUND((I169)*(IF('Your Debts'!$G$5=0,0,INDEX('Your Debts'!$C$5:$C$12,'Your Debts'!$G$5)/12)),2)</f>
        <v/>
      </c>
      <c r="G170" s="28">
        <f>MIN((I169)+F170,IF('Your Debts'!$G$5=0,0,INDEX('Your Debts'!$D$5:$D$12,'Your Debts'!$G$5)))</f>
        <v/>
      </c>
      <c r="H170" s="28">
        <f>G170+MIN((I169)+F170-G170,MAX(0,$E170-(0)))</f>
        <v/>
      </c>
      <c r="I170" s="28">
        <f>ROUND(MAX(0,(I169)+F170-H170),2)</f>
        <v/>
      </c>
      <c r="J170" s="28">
        <f>ROUND((M169)*(IF('Your Debts'!$G$6=0,0,INDEX('Your Debts'!$C$5:$C$12,'Your Debts'!$G$6)/12)),2)</f>
        <v/>
      </c>
      <c r="K170" s="28">
        <f>MIN((M169)+J170,IF('Your Debts'!$G$6=0,0,INDEX('Your Debts'!$D$5:$D$12,'Your Debts'!$G$6)))</f>
        <v/>
      </c>
      <c r="L170" s="28">
        <f>K170+MIN((M169)+J170-K170,MAX(0,$E170-((H170-G170))))</f>
        <v/>
      </c>
      <c r="M170" s="28">
        <f>ROUND(MAX(0,(M169)+J170-L170),2)</f>
        <v/>
      </c>
      <c r="N170" s="28">
        <f>ROUND((Q169)*(IF('Your Debts'!$G$7=0,0,INDEX('Your Debts'!$C$5:$C$12,'Your Debts'!$G$7)/12)),2)</f>
        <v/>
      </c>
      <c r="O170" s="28">
        <f>MIN((Q169)+N170,IF('Your Debts'!$G$7=0,0,INDEX('Your Debts'!$D$5:$D$12,'Your Debts'!$G$7)))</f>
        <v/>
      </c>
      <c r="P170" s="28">
        <f>O170+MIN((Q169)+N170-O170,MAX(0,$E170-((H170-G170)+(L170-K170))))</f>
        <v/>
      </c>
      <c r="Q170" s="28">
        <f>ROUND(MAX(0,(Q169)+N170-P170),2)</f>
        <v/>
      </c>
      <c r="R170" s="28">
        <f>ROUND((U169)*(IF('Your Debts'!$G$8=0,0,INDEX('Your Debts'!$C$5:$C$12,'Your Debts'!$G$8)/12)),2)</f>
        <v/>
      </c>
      <c r="S170" s="28">
        <f>MIN((U169)+R170,IF('Your Debts'!$G$8=0,0,INDEX('Your Debts'!$D$5:$D$12,'Your Debts'!$G$8)))</f>
        <v/>
      </c>
      <c r="T170" s="28">
        <f>S170+MIN((U169)+R170-S170,MAX(0,$E170-((H170-G170)+(L170-K170)+(P170-O170))))</f>
        <v/>
      </c>
      <c r="U170" s="28">
        <f>ROUND(MAX(0,(U169)+R170-T170),2)</f>
        <v/>
      </c>
      <c r="V170" s="28">
        <f>ROUND((Y169)*(IF('Your Debts'!$G$9=0,0,INDEX('Your Debts'!$C$5:$C$12,'Your Debts'!$G$9)/12)),2)</f>
        <v/>
      </c>
      <c r="W170" s="28">
        <f>MIN((Y169)+V170,IF('Your Debts'!$G$9=0,0,INDEX('Your Debts'!$D$5:$D$12,'Your Debts'!$G$9)))</f>
        <v/>
      </c>
      <c r="X170" s="28">
        <f>W170+MIN((Y169)+V170-W170,MAX(0,$E170-((H170-G170)+(L170-K170)+(P170-O170)+(T170-S170))))</f>
        <v/>
      </c>
      <c r="Y170" s="28">
        <f>ROUND(MAX(0,(Y169)+V170-X170),2)</f>
        <v/>
      </c>
      <c r="Z170" s="28">
        <f>ROUND((AC169)*(IF('Your Debts'!$G$10=0,0,INDEX('Your Debts'!$C$5:$C$12,'Your Debts'!$G$10)/12)),2)</f>
        <v/>
      </c>
      <c r="AA170" s="28">
        <f>MIN((AC169)+Z170,IF('Your Debts'!$G$10=0,0,INDEX('Your Debts'!$D$5:$D$12,'Your Debts'!$G$10)))</f>
        <v/>
      </c>
      <c r="AB170" s="28">
        <f>AA170+MIN((AC169)+Z170-AA170,MAX(0,$E170-((H170-G170)+(L170-K170)+(P170-O170)+(T170-S170)+(X170-W170))))</f>
        <v/>
      </c>
      <c r="AC170" s="28">
        <f>ROUND(MAX(0,(AC169)+Z170-AB170),2)</f>
        <v/>
      </c>
      <c r="AD170" s="28">
        <f>ROUND((AG169)*(IF('Your Debts'!$G$11=0,0,INDEX('Your Debts'!$C$5:$C$12,'Your Debts'!$G$11)/12)),2)</f>
        <v/>
      </c>
      <c r="AE170" s="28">
        <f>MIN((AG169)+AD170,IF('Your Debts'!$G$11=0,0,INDEX('Your Debts'!$D$5:$D$12,'Your Debts'!$G$11)))</f>
        <v/>
      </c>
      <c r="AF170" s="28">
        <f>AE170+MIN((AG169)+AD170-AE170,MAX(0,$E170-((H170-G170)+(L170-K170)+(P170-O170)+(T170-S170)+(X170-W170)+(AB170-AA170))))</f>
        <v/>
      </c>
      <c r="AG170" s="28">
        <f>ROUND(MAX(0,(AG169)+AD170-AF170),2)</f>
        <v/>
      </c>
      <c r="AH170" s="28">
        <f>ROUND((AK169)*(IF('Your Debts'!$G$12=0,0,INDEX('Your Debts'!$C$5:$C$12,'Your Debts'!$G$12)/12)),2)</f>
        <v/>
      </c>
      <c r="AI170" s="28">
        <f>MIN((AK169)+AH170,IF('Your Debts'!$G$12=0,0,INDEX('Your Debts'!$D$5:$D$12,'Your Debts'!$G$12)))</f>
        <v/>
      </c>
      <c r="AJ170" s="28">
        <f>AI170+MIN((AK169)+AH170-AI170,MAX(0,$E170-((H170-G170)+(L170-K170)+(P170-O170)+(T170-S170)+(X170-W170)+(AB170-AA170)+(AF170-AE170))))</f>
        <v/>
      </c>
      <c r="AK170" s="28">
        <f>ROUND(MAX(0,(AK169)+AH170-AJ170),2)</f>
        <v/>
      </c>
      <c r="AL170" s="18">
        <f>I170+M170+Q170+U170+Y170+AC170+AG170+AK170</f>
        <v/>
      </c>
      <c r="AM170" s="27">
        <f>AM169+F170+J170+N170+R170+V170+Z170+AD170+AH170</f>
        <v/>
      </c>
    </row>
    <row r="171">
      <c r="A171" s="25" t="n">
        <v>166</v>
      </c>
      <c r="B171" s="26">
        <f>EDATE('Your Debts'!$B$19,165)</f>
        <v/>
      </c>
      <c r="C171" s="27">
        <f>'Your Debts'!$B$18</f>
        <v/>
      </c>
      <c r="D171" s="27">
        <f>G171+K171+O171+S171+W171+AA171+AE171+AI171</f>
        <v/>
      </c>
      <c r="E171" s="27">
        <f>MAX(0,C171-D171)</f>
        <v/>
      </c>
      <c r="F171" s="28">
        <f>ROUND((I170)*(IF('Your Debts'!$G$5=0,0,INDEX('Your Debts'!$C$5:$C$12,'Your Debts'!$G$5)/12)),2)</f>
        <v/>
      </c>
      <c r="G171" s="28">
        <f>MIN((I170)+F171,IF('Your Debts'!$G$5=0,0,INDEX('Your Debts'!$D$5:$D$12,'Your Debts'!$G$5)))</f>
        <v/>
      </c>
      <c r="H171" s="28">
        <f>G171+MIN((I170)+F171-G171,MAX(0,$E171-(0)))</f>
        <v/>
      </c>
      <c r="I171" s="28">
        <f>ROUND(MAX(0,(I170)+F171-H171),2)</f>
        <v/>
      </c>
      <c r="J171" s="28">
        <f>ROUND((M170)*(IF('Your Debts'!$G$6=0,0,INDEX('Your Debts'!$C$5:$C$12,'Your Debts'!$G$6)/12)),2)</f>
        <v/>
      </c>
      <c r="K171" s="28">
        <f>MIN((M170)+J171,IF('Your Debts'!$G$6=0,0,INDEX('Your Debts'!$D$5:$D$12,'Your Debts'!$G$6)))</f>
        <v/>
      </c>
      <c r="L171" s="28">
        <f>K171+MIN((M170)+J171-K171,MAX(0,$E171-((H171-G171))))</f>
        <v/>
      </c>
      <c r="M171" s="28">
        <f>ROUND(MAX(0,(M170)+J171-L171),2)</f>
        <v/>
      </c>
      <c r="N171" s="28">
        <f>ROUND((Q170)*(IF('Your Debts'!$G$7=0,0,INDEX('Your Debts'!$C$5:$C$12,'Your Debts'!$G$7)/12)),2)</f>
        <v/>
      </c>
      <c r="O171" s="28">
        <f>MIN((Q170)+N171,IF('Your Debts'!$G$7=0,0,INDEX('Your Debts'!$D$5:$D$12,'Your Debts'!$G$7)))</f>
        <v/>
      </c>
      <c r="P171" s="28">
        <f>O171+MIN((Q170)+N171-O171,MAX(0,$E171-((H171-G171)+(L171-K171))))</f>
        <v/>
      </c>
      <c r="Q171" s="28">
        <f>ROUND(MAX(0,(Q170)+N171-P171),2)</f>
        <v/>
      </c>
      <c r="R171" s="28">
        <f>ROUND((U170)*(IF('Your Debts'!$G$8=0,0,INDEX('Your Debts'!$C$5:$C$12,'Your Debts'!$G$8)/12)),2)</f>
        <v/>
      </c>
      <c r="S171" s="28">
        <f>MIN((U170)+R171,IF('Your Debts'!$G$8=0,0,INDEX('Your Debts'!$D$5:$D$12,'Your Debts'!$G$8)))</f>
        <v/>
      </c>
      <c r="T171" s="28">
        <f>S171+MIN((U170)+R171-S171,MAX(0,$E171-((H171-G171)+(L171-K171)+(P171-O171))))</f>
        <v/>
      </c>
      <c r="U171" s="28">
        <f>ROUND(MAX(0,(U170)+R171-T171),2)</f>
        <v/>
      </c>
      <c r="V171" s="28">
        <f>ROUND((Y170)*(IF('Your Debts'!$G$9=0,0,INDEX('Your Debts'!$C$5:$C$12,'Your Debts'!$G$9)/12)),2)</f>
        <v/>
      </c>
      <c r="W171" s="28">
        <f>MIN((Y170)+V171,IF('Your Debts'!$G$9=0,0,INDEX('Your Debts'!$D$5:$D$12,'Your Debts'!$G$9)))</f>
        <v/>
      </c>
      <c r="X171" s="28">
        <f>W171+MIN((Y170)+V171-W171,MAX(0,$E171-((H171-G171)+(L171-K171)+(P171-O171)+(T171-S171))))</f>
        <v/>
      </c>
      <c r="Y171" s="28">
        <f>ROUND(MAX(0,(Y170)+V171-X171),2)</f>
        <v/>
      </c>
      <c r="Z171" s="28">
        <f>ROUND((AC170)*(IF('Your Debts'!$G$10=0,0,INDEX('Your Debts'!$C$5:$C$12,'Your Debts'!$G$10)/12)),2)</f>
        <v/>
      </c>
      <c r="AA171" s="28">
        <f>MIN((AC170)+Z171,IF('Your Debts'!$G$10=0,0,INDEX('Your Debts'!$D$5:$D$12,'Your Debts'!$G$10)))</f>
        <v/>
      </c>
      <c r="AB171" s="28">
        <f>AA171+MIN((AC170)+Z171-AA171,MAX(0,$E171-((H171-G171)+(L171-K171)+(P171-O171)+(T171-S171)+(X171-W171))))</f>
        <v/>
      </c>
      <c r="AC171" s="28">
        <f>ROUND(MAX(0,(AC170)+Z171-AB171),2)</f>
        <v/>
      </c>
      <c r="AD171" s="28">
        <f>ROUND((AG170)*(IF('Your Debts'!$G$11=0,0,INDEX('Your Debts'!$C$5:$C$12,'Your Debts'!$G$11)/12)),2)</f>
        <v/>
      </c>
      <c r="AE171" s="28">
        <f>MIN((AG170)+AD171,IF('Your Debts'!$G$11=0,0,INDEX('Your Debts'!$D$5:$D$12,'Your Debts'!$G$11)))</f>
        <v/>
      </c>
      <c r="AF171" s="28">
        <f>AE171+MIN((AG170)+AD171-AE171,MAX(0,$E171-((H171-G171)+(L171-K171)+(P171-O171)+(T171-S171)+(X171-W171)+(AB171-AA171))))</f>
        <v/>
      </c>
      <c r="AG171" s="28">
        <f>ROUND(MAX(0,(AG170)+AD171-AF171),2)</f>
        <v/>
      </c>
      <c r="AH171" s="28">
        <f>ROUND((AK170)*(IF('Your Debts'!$G$12=0,0,INDEX('Your Debts'!$C$5:$C$12,'Your Debts'!$G$12)/12)),2)</f>
        <v/>
      </c>
      <c r="AI171" s="28">
        <f>MIN((AK170)+AH171,IF('Your Debts'!$G$12=0,0,INDEX('Your Debts'!$D$5:$D$12,'Your Debts'!$G$12)))</f>
        <v/>
      </c>
      <c r="AJ171" s="28">
        <f>AI171+MIN((AK170)+AH171-AI171,MAX(0,$E171-((H171-G171)+(L171-K171)+(P171-O171)+(T171-S171)+(X171-W171)+(AB171-AA171)+(AF171-AE171))))</f>
        <v/>
      </c>
      <c r="AK171" s="28">
        <f>ROUND(MAX(0,(AK170)+AH171-AJ171),2)</f>
        <v/>
      </c>
      <c r="AL171" s="18">
        <f>I171+M171+Q171+U171+Y171+AC171+AG171+AK171</f>
        <v/>
      </c>
      <c r="AM171" s="27">
        <f>AM170+F171+J171+N171+R171+V171+Z171+AD171+AH171</f>
        <v/>
      </c>
    </row>
    <row r="172">
      <c r="A172" s="25" t="n">
        <v>167</v>
      </c>
      <c r="B172" s="26">
        <f>EDATE('Your Debts'!$B$19,166)</f>
        <v/>
      </c>
      <c r="C172" s="27">
        <f>'Your Debts'!$B$18</f>
        <v/>
      </c>
      <c r="D172" s="27">
        <f>G172+K172+O172+S172+W172+AA172+AE172+AI172</f>
        <v/>
      </c>
      <c r="E172" s="27">
        <f>MAX(0,C172-D172)</f>
        <v/>
      </c>
      <c r="F172" s="28">
        <f>ROUND((I171)*(IF('Your Debts'!$G$5=0,0,INDEX('Your Debts'!$C$5:$C$12,'Your Debts'!$G$5)/12)),2)</f>
        <v/>
      </c>
      <c r="G172" s="28">
        <f>MIN((I171)+F172,IF('Your Debts'!$G$5=0,0,INDEX('Your Debts'!$D$5:$D$12,'Your Debts'!$G$5)))</f>
        <v/>
      </c>
      <c r="H172" s="28">
        <f>G172+MIN((I171)+F172-G172,MAX(0,$E172-(0)))</f>
        <v/>
      </c>
      <c r="I172" s="28">
        <f>ROUND(MAX(0,(I171)+F172-H172),2)</f>
        <v/>
      </c>
      <c r="J172" s="28">
        <f>ROUND((M171)*(IF('Your Debts'!$G$6=0,0,INDEX('Your Debts'!$C$5:$C$12,'Your Debts'!$G$6)/12)),2)</f>
        <v/>
      </c>
      <c r="K172" s="28">
        <f>MIN((M171)+J172,IF('Your Debts'!$G$6=0,0,INDEX('Your Debts'!$D$5:$D$12,'Your Debts'!$G$6)))</f>
        <v/>
      </c>
      <c r="L172" s="28">
        <f>K172+MIN((M171)+J172-K172,MAX(0,$E172-((H172-G172))))</f>
        <v/>
      </c>
      <c r="M172" s="28">
        <f>ROUND(MAX(0,(M171)+J172-L172),2)</f>
        <v/>
      </c>
      <c r="N172" s="28">
        <f>ROUND((Q171)*(IF('Your Debts'!$G$7=0,0,INDEX('Your Debts'!$C$5:$C$12,'Your Debts'!$G$7)/12)),2)</f>
        <v/>
      </c>
      <c r="O172" s="28">
        <f>MIN((Q171)+N172,IF('Your Debts'!$G$7=0,0,INDEX('Your Debts'!$D$5:$D$12,'Your Debts'!$G$7)))</f>
        <v/>
      </c>
      <c r="P172" s="28">
        <f>O172+MIN((Q171)+N172-O172,MAX(0,$E172-((H172-G172)+(L172-K172))))</f>
        <v/>
      </c>
      <c r="Q172" s="28">
        <f>ROUND(MAX(0,(Q171)+N172-P172),2)</f>
        <v/>
      </c>
      <c r="R172" s="28">
        <f>ROUND((U171)*(IF('Your Debts'!$G$8=0,0,INDEX('Your Debts'!$C$5:$C$12,'Your Debts'!$G$8)/12)),2)</f>
        <v/>
      </c>
      <c r="S172" s="28">
        <f>MIN((U171)+R172,IF('Your Debts'!$G$8=0,0,INDEX('Your Debts'!$D$5:$D$12,'Your Debts'!$G$8)))</f>
        <v/>
      </c>
      <c r="T172" s="28">
        <f>S172+MIN((U171)+R172-S172,MAX(0,$E172-((H172-G172)+(L172-K172)+(P172-O172))))</f>
        <v/>
      </c>
      <c r="U172" s="28">
        <f>ROUND(MAX(0,(U171)+R172-T172),2)</f>
        <v/>
      </c>
      <c r="V172" s="28">
        <f>ROUND((Y171)*(IF('Your Debts'!$G$9=0,0,INDEX('Your Debts'!$C$5:$C$12,'Your Debts'!$G$9)/12)),2)</f>
        <v/>
      </c>
      <c r="W172" s="28">
        <f>MIN((Y171)+V172,IF('Your Debts'!$G$9=0,0,INDEX('Your Debts'!$D$5:$D$12,'Your Debts'!$G$9)))</f>
        <v/>
      </c>
      <c r="X172" s="28">
        <f>W172+MIN((Y171)+V172-W172,MAX(0,$E172-((H172-G172)+(L172-K172)+(P172-O172)+(T172-S172))))</f>
        <v/>
      </c>
      <c r="Y172" s="28">
        <f>ROUND(MAX(0,(Y171)+V172-X172),2)</f>
        <v/>
      </c>
      <c r="Z172" s="28">
        <f>ROUND((AC171)*(IF('Your Debts'!$G$10=0,0,INDEX('Your Debts'!$C$5:$C$12,'Your Debts'!$G$10)/12)),2)</f>
        <v/>
      </c>
      <c r="AA172" s="28">
        <f>MIN((AC171)+Z172,IF('Your Debts'!$G$10=0,0,INDEX('Your Debts'!$D$5:$D$12,'Your Debts'!$G$10)))</f>
        <v/>
      </c>
      <c r="AB172" s="28">
        <f>AA172+MIN((AC171)+Z172-AA172,MAX(0,$E172-((H172-G172)+(L172-K172)+(P172-O172)+(T172-S172)+(X172-W172))))</f>
        <v/>
      </c>
      <c r="AC172" s="28">
        <f>ROUND(MAX(0,(AC171)+Z172-AB172),2)</f>
        <v/>
      </c>
      <c r="AD172" s="28">
        <f>ROUND((AG171)*(IF('Your Debts'!$G$11=0,0,INDEX('Your Debts'!$C$5:$C$12,'Your Debts'!$G$11)/12)),2)</f>
        <v/>
      </c>
      <c r="AE172" s="28">
        <f>MIN((AG171)+AD172,IF('Your Debts'!$G$11=0,0,INDEX('Your Debts'!$D$5:$D$12,'Your Debts'!$G$11)))</f>
        <v/>
      </c>
      <c r="AF172" s="28">
        <f>AE172+MIN((AG171)+AD172-AE172,MAX(0,$E172-((H172-G172)+(L172-K172)+(P172-O172)+(T172-S172)+(X172-W172)+(AB172-AA172))))</f>
        <v/>
      </c>
      <c r="AG172" s="28">
        <f>ROUND(MAX(0,(AG171)+AD172-AF172),2)</f>
        <v/>
      </c>
      <c r="AH172" s="28">
        <f>ROUND((AK171)*(IF('Your Debts'!$G$12=0,0,INDEX('Your Debts'!$C$5:$C$12,'Your Debts'!$G$12)/12)),2)</f>
        <v/>
      </c>
      <c r="AI172" s="28">
        <f>MIN((AK171)+AH172,IF('Your Debts'!$G$12=0,0,INDEX('Your Debts'!$D$5:$D$12,'Your Debts'!$G$12)))</f>
        <v/>
      </c>
      <c r="AJ172" s="28">
        <f>AI172+MIN((AK171)+AH172-AI172,MAX(0,$E172-((H172-G172)+(L172-K172)+(P172-O172)+(T172-S172)+(X172-W172)+(AB172-AA172)+(AF172-AE172))))</f>
        <v/>
      </c>
      <c r="AK172" s="28">
        <f>ROUND(MAX(0,(AK171)+AH172-AJ172),2)</f>
        <v/>
      </c>
      <c r="AL172" s="18">
        <f>I172+M172+Q172+U172+Y172+AC172+AG172+AK172</f>
        <v/>
      </c>
      <c r="AM172" s="27">
        <f>AM171+F172+J172+N172+R172+V172+Z172+AD172+AH172</f>
        <v/>
      </c>
    </row>
    <row r="173">
      <c r="A173" s="25" t="n">
        <v>168</v>
      </c>
      <c r="B173" s="26">
        <f>EDATE('Your Debts'!$B$19,167)</f>
        <v/>
      </c>
      <c r="C173" s="27">
        <f>'Your Debts'!$B$18</f>
        <v/>
      </c>
      <c r="D173" s="27">
        <f>G173+K173+O173+S173+W173+AA173+AE173+AI173</f>
        <v/>
      </c>
      <c r="E173" s="27">
        <f>MAX(0,C173-D173)</f>
        <v/>
      </c>
      <c r="F173" s="28">
        <f>ROUND((I172)*(IF('Your Debts'!$G$5=0,0,INDEX('Your Debts'!$C$5:$C$12,'Your Debts'!$G$5)/12)),2)</f>
        <v/>
      </c>
      <c r="G173" s="28">
        <f>MIN((I172)+F173,IF('Your Debts'!$G$5=0,0,INDEX('Your Debts'!$D$5:$D$12,'Your Debts'!$G$5)))</f>
        <v/>
      </c>
      <c r="H173" s="28">
        <f>G173+MIN((I172)+F173-G173,MAX(0,$E173-(0)))</f>
        <v/>
      </c>
      <c r="I173" s="28">
        <f>ROUND(MAX(0,(I172)+F173-H173),2)</f>
        <v/>
      </c>
      <c r="J173" s="28">
        <f>ROUND((M172)*(IF('Your Debts'!$G$6=0,0,INDEX('Your Debts'!$C$5:$C$12,'Your Debts'!$G$6)/12)),2)</f>
        <v/>
      </c>
      <c r="K173" s="28">
        <f>MIN((M172)+J173,IF('Your Debts'!$G$6=0,0,INDEX('Your Debts'!$D$5:$D$12,'Your Debts'!$G$6)))</f>
        <v/>
      </c>
      <c r="L173" s="28">
        <f>K173+MIN((M172)+J173-K173,MAX(0,$E173-((H173-G173))))</f>
        <v/>
      </c>
      <c r="M173" s="28">
        <f>ROUND(MAX(0,(M172)+J173-L173),2)</f>
        <v/>
      </c>
      <c r="N173" s="28">
        <f>ROUND((Q172)*(IF('Your Debts'!$G$7=0,0,INDEX('Your Debts'!$C$5:$C$12,'Your Debts'!$G$7)/12)),2)</f>
        <v/>
      </c>
      <c r="O173" s="28">
        <f>MIN((Q172)+N173,IF('Your Debts'!$G$7=0,0,INDEX('Your Debts'!$D$5:$D$12,'Your Debts'!$G$7)))</f>
        <v/>
      </c>
      <c r="P173" s="28">
        <f>O173+MIN((Q172)+N173-O173,MAX(0,$E173-((H173-G173)+(L173-K173))))</f>
        <v/>
      </c>
      <c r="Q173" s="28">
        <f>ROUND(MAX(0,(Q172)+N173-P173),2)</f>
        <v/>
      </c>
      <c r="R173" s="28">
        <f>ROUND((U172)*(IF('Your Debts'!$G$8=0,0,INDEX('Your Debts'!$C$5:$C$12,'Your Debts'!$G$8)/12)),2)</f>
        <v/>
      </c>
      <c r="S173" s="28">
        <f>MIN((U172)+R173,IF('Your Debts'!$G$8=0,0,INDEX('Your Debts'!$D$5:$D$12,'Your Debts'!$G$8)))</f>
        <v/>
      </c>
      <c r="T173" s="28">
        <f>S173+MIN((U172)+R173-S173,MAX(0,$E173-((H173-G173)+(L173-K173)+(P173-O173))))</f>
        <v/>
      </c>
      <c r="U173" s="28">
        <f>ROUND(MAX(0,(U172)+R173-T173),2)</f>
        <v/>
      </c>
      <c r="V173" s="28">
        <f>ROUND((Y172)*(IF('Your Debts'!$G$9=0,0,INDEX('Your Debts'!$C$5:$C$12,'Your Debts'!$G$9)/12)),2)</f>
        <v/>
      </c>
      <c r="W173" s="28">
        <f>MIN((Y172)+V173,IF('Your Debts'!$G$9=0,0,INDEX('Your Debts'!$D$5:$D$12,'Your Debts'!$G$9)))</f>
        <v/>
      </c>
      <c r="X173" s="28">
        <f>W173+MIN((Y172)+V173-W173,MAX(0,$E173-((H173-G173)+(L173-K173)+(P173-O173)+(T173-S173))))</f>
        <v/>
      </c>
      <c r="Y173" s="28">
        <f>ROUND(MAX(0,(Y172)+V173-X173),2)</f>
        <v/>
      </c>
      <c r="Z173" s="28">
        <f>ROUND((AC172)*(IF('Your Debts'!$G$10=0,0,INDEX('Your Debts'!$C$5:$C$12,'Your Debts'!$G$10)/12)),2)</f>
        <v/>
      </c>
      <c r="AA173" s="28">
        <f>MIN((AC172)+Z173,IF('Your Debts'!$G$10=0,0,INDEX('Your Debts'!$D$5:$D$12,'Your Debts'!$G$10)))</f>
        <v/>
      </c>
      <c r="AB173" s="28">
        <f>AA173+MIN((AC172)+Z173-AA173,MAX(0,$E173-((H173-G173)+(L173-K173)+(P173-O173)+(T173-S173)+(X173-W173))))</f>
        <v/>
      </c>
      <c r="AC173" s="28">
        <f>ROUND(MAX(0,(AC172)+Z173-AB173),2)</f>
        <v/>
      </c>
      <c r="AD173" s="28">
        <f>ROUND((AG172)*(IF('Your Debts'!$G$11=0,0,INDEX('Your Debts'!$C$5:$C$12,'Your Debts'!$G$11)/12)),2)</f>
        <v/>
      </c>
      <c r="AE173" s="28">
        <f>MIN((AG172)+AD173,IF('Your Debts'!$G$11=0,0,INDEX('Your Debts'!$D$5:$D$12,'Your Debts'!$G$11)))</f>
        <v/>
      </c>
      <c r="AF173" s="28">
        <f>AE173+MIN((AG172)+AD173-AE173,MAX(0,$E173-((H173-G173)+(L173-K173)+(P173-O173)+(T173-S173)+(X173-W173)+(AB173-AA173))))</f>
        <v/>
      </c>
      <c r="AG173" s="28">
        <f>ROUND(MAX(0,(AG172)+AD173-AF173),2)</f>
        <v/>
      </c>
      <c r="AH173" s="28">
        <f>ROUND((AK172)*(IF('Your Debts'!$G$12=0,0,INDEX('Your Debts'!$C$5:$C$12,'Your Debts'!$G$12)/12)),2)</f>
        <v/>
      </c>
      <c r="AI173" s="28">
        <f>MIN((AK172)+AH173,IF('Your Debts'!$G$12=0,0,INDEX('Your Debts'!$D$5:$D$12,'Your Debts'!$G$12)))</f>
        <v/>
      </c>
      <c r="AJ173" s="28">
        <f>AI173+MIN((AK172)+AH173-AI173,MAX(0,$E173-((H173-G173)+(L173-K173)+(P173-O173)+(T173-S173)+(X173-W173)+(AB173-AA173)+(AF173-AE173))))</f>
        <v/>
      </c>
      <c r="AK173" s="28">
        <f>ROUND(MAX(0,(AK172)+AH173-AJ173),2)</f>
        <v/>
      </c>
      <c r="AL173" s="18">
        <f>I173+M173+Q173+U173+Y173+AC173+AG173+AK173</f>
        <v/>
      </c>
      <c r="AM173" s="27">
        <f>AM172+F173+J173+N173+R173+V173+Z173+AD173+AH173</f>
        <v/>
      </c>
    </row>
    <row r="174">
      <c r="A174" s="25" t="n">
        <v>169</v>
      </c>
      <c r="B174" s="26">
        <f>EDATE('Your Debts'!$B$19,168)</f>
        <v/>
      </c>
      <c r="C174" s="27">
        <f>'Your Debts'!$B$18</f>
        <v/>
      </c>
      <c r="D174" s="27">
        <f>G174+K174+O174+S174+W174+AA174+AE174+AI174</f>
        <v/>
      </c>
      <c r="E174" s="27">
        <f>MAX(0,C174-D174)</f>
        <v/>
      </c>
      <c r="F174" s="28">
        <f>ROUND((I173)*(IF('Your Debts'!$G$5=0,0,INDEX('Your Debts'!$C$5:$C$12,'Your Debts'!$G$5)/12)),2)</f>
        <v/>
      </c>
      <c r="G174" s="28">
        <f>MIN((I173)+F174,IF('Your Debts'!$G$5=0,0,INDEX('Your Debts'!$D$5:$D$12,'Your Debts'!$G$5)))</f>
        <v/>
      </c>
      <c r="H174" s="28">
        <f>G174+MIN((I173)+F174-G174,MAX(0,$E174-(0)))</f>
        <v/>
      </c>
      <c r="I174" s="28">
        <f>ROUND(MAX(0,(I173)+F174-H174),2)</f>
        <v/>
      </c>
      <c r="J174" s="28">
        <f>ROUND((M173)*(IF('Your Debts'!$G$6=0,0,INDEX('Your Debts'!$C$5:$C$12,'Your Debts'!$G$6)/12)),2)</f>
        <v/>
      </c>
      <c r="K174" s="28">
        <f>MIN((M173)+J174,IF('Your Debts'!$G$6=0,0,INDEX('Your Debts'!$D$5:$D$12,'Your Debts'!$G$6)))</f>
        <v/>
      </c>
      <c r="L174" s="28">
        <f>K174+MIN((M173)+J174-K174,MAX(0,$E174-((H174-G174))))</f>
        <v/>
      </c>
      <c r="M174" s="28">
        <f>ROUND(MAX(0,(M173)+J174-L174),2)</f>
        <v/>
      </c>
      <c r="N174" s="28">
        <f>ROUND((Q173)*(IF('Your Debts'!$G$7=0,0,INDEX('Your Debts'!$C$5:$C$12,'Your Debts'!$G$7)/12)),2)</f>
        <v/>
      </c>
      <c r="O174" s="28">
        <f>MIN((Q173)+N174,IF('Your Debts'!$G$7=0,0,INDEX('Your Debts'!$D$5:$D$12,'Your Debts'!$G$7)))</f>
        <v/>
      </c>
      <c r="P174" s="28">
        <f>O174+MIN((Q173)+N174-O174,MAX(0,$E174-((H174-G174)+(L174-K174))))</f>
        <v/>
      </c>
      <c r="Q174" s="28">
        <f>ROUND(MAX(0,(Q173)+N174-P174),2)</f>
        <v/>
      </c>
      <c r="R174" s="28">
        <f>ROUND((U173)*(IF('Your Debts'!$G$8=0,0,INDEX('Your Debts'!$C$5:$C$12,'Your Debts'!$G$8)/12)),2)</f>
        <v/>
      </c>
      <c r="S174" s="28">
        <f>MIN((U173)+R174,IF('Your Debts'!$G$8=0,0,INDEX('Your Debts'!$D$5:$D$12,'Your Debts'!$G$8)))</f>
        <v/>
      </c>
      <c r="T174" s="28">
        <f>S174+MIN((U173)+R174-S174,MAX(0,$E174-((H174-G174)+(L174-K174)+(P174-O174))))</f>
        <v/>
      </c>
      <c r="U174" s="28">
        <f>ROUND(MAX(0,(U173)+R174-T174),2)</f>
        <v/>
      </c>
      <c r="V174" s="28">
        <f>ROUND((Y173)*(IF('Your Debts'!$G$9=0,0,INDEX('Your Debts'!$C$5:$C$12,'Your Debts'!$G$9)/12)),2)</f>
        <v/>
      </c>
      <c r="W174" s="28">
        <f>MIN((Y173)+V174,IF('Your Debts'!$G$9=0,0,INDEX('Your Debts'!$D$5:$D$12,'Your Debts'!$G$9)))</f>
        <v/>
      </c>
      <c r="X174" s="28">
        <f>W174+MIN((Y173)+V174-W174,MAX(0,$E174-((H174-G174)+(L174-K174)+(P174-O174)+(T174-S174))))</f>
        <v/>
      </c>
      <c r="Y174" s="28">
        <f>ROUND(MAX(0,(Y173)+V174-X174),2)</f>
        <v/>
      </c>
      <c r="Z174" s="28">
        <f>ROUND((AC173)*(IF('Your Debts'!$G$10=0,0,INDEX('Your Debts'!$C$5:$C$12,'Your Debts'!$G$10)/12)),2)</f>
        <v/>
      </c>
      <c r="AA174" s="28">
        <f>MIN((AC173)+Z174,IF('Your Debts'!$G$10=0,0,INDEX('Your Debts'!$D$5:$D$12,'Your Debts'!$G$10)))</f>
        <v/>
      </c>
      <c r="AB174" s="28">
        <f>AA174+MIN((AC173)+Z174-AA174,MAX(0,$E174-((H174-G174)+(L174-K174)+(P174-O174)+(T174-S174)+(X174-W174))))</f>
        <v/>
      </c>
      <c r="AC174" s="28">
        <f>ROUND(MAX(0,(AC173)+Z174-AB174),2)</f>
        <v/>
      </c>
      <c r="AD174" s="28">
        <f>ROUND((AG173)*(IF('Your Debts'!$G$11=0,0,INDEX('Your Debts'!$C$5:$C$12,'Your Debts'!$G$11)/12)),2)</f>
        <v/>
      </c>
      <c r="AE174" s="28">
        <f>MIN((AG173)+AD174,IF('Your Debts'!$G$11=0,0,INDEX('Your Debts'!$D$5:$D$12,'Your Debts'!$G$11)))</f>
        <v/>
      </c>
      <c r="AF174" s="28">
        <f>AE174+MIN((AG173)+AD174-AE174,MAX(0,$E174-((H174-G174)+(L174-K174)+(P174-O174)+(T174-S174)+(X174-W174)+(AB174-AA174))))</f>
        <v/>
      </c>
      <c r="AG174" s="28">
        <f>ROUND(MAX(0,(AG173)+AD174-AF174),2)</f>
        <v/>
      </c>
      <c r="AH174" s="28">
        <f>ROUND((AK173)*(IF('Your Debts'!$G$12=0,0,INDEX('Your Debts'!$C$5:$C$12,'Your Debts'!$G$12)/12)),2)</f>
        <v/>
      </c>
      <c r="AI174" s="28">
        <f>MIN((AK173)+AH174,IF('Your Debts'!$G$12=0,0,INDEX('Your Debts'!$D$5:$D$12,'Your Debts'!$G$12)))</f>
        <v/>
      </c>
      <c r="AJ174" s="28">
        <f>AI174+MIN((AK173)+AH174-AI174,MAX(0,$E174-((H174-G174)+(L174-K174)+(P174-O174)+(T174-S174)+(X174-W174)+(AB174-AA174)+(AF174-AE174))))</f>
        <v/>
      </c>
      <c r="AK174" s="28">
        <f>ROUND(MAX(0,(AK173)+AH174-AJ174),2)</f>
        <v/>
      </c>
      <c r="AL174" s="18">
        <f>I174+M174+Q174+U174+Y174+AC174+AG174+AK174</f>
        <v/>
      </c>
      <c r="AM174" s="27">
        <f>AM173+F174+J174+N174+R174+V174+Z174+AD174+AH174</f>
        <v/>
      </c>
    </row>
    <row r="175">
      <c r="A175" s="25" t="n">
        <v>170</v>
      </c>
      <c r="B175" s="26">
        <f>EDATE('Your Debts'!$B$19,169)</f>
        <v/>
      </c>
      <c r="C175" s="27">
        <f>'Your Debts'!$B$18</f>
        <v/>
      </c>
      <c r="D175" s="27">
        <f>G175+K175+O175+S175+W175+AA175+AE175+AI175</f>
        <v/>
      </c>
      <c r="E175" s="27">
        <f>MAX(0,C175-D175)</f>
        <v/>
      </c>
      <c r="F175" s="28">
        <f>ROUND((I174)*(IF('Your Debts'!$G$5=0,0,INDEX('Your Debts'!$C$5:$C$12,'Your Debts'!$G$5)/12)),2)</f>
        <v/>
      </c>
      <c r="G175" s="28">
        <f>MIN((I174)+F175,IF('Your Debts'!$G$5=0,0,INDEX('Your Debts'!$D$5:$D$12,'Your Debts'!$G$5)))</f>
        <v/>
      </c>
      <c r="H175" s="28">
        <f>G175+MIN((I174)+F175-G175,MAX(0,$E175-(0)))</f>
        <v/>
      </c>
      <c r="I175" s="28">
        <f>ROUND(MAX(0,(I174)+F175-H175),2)</f>
        <v/>
      </c>
      <c r="J175" s="28">
        <f>ROUND((M174)*(IF('Your Debts'!$G$6=0,0,INDEX('Your Debts'!$C$5:$C$12,'Your Debts'!$G$6)/12)),2)</f>
        <v/>
      </c>
      <c r="K175" s="28">
        <f>MIN((M174)+J175,IF('Your Debts'!$G$6=0,0,INDEX('Your Debts'!$D$5:$D$12,'Your Debts'!$G$6)))</f>
        <v/>
      </c>
      <c r="L175" s="28">
        <f>K175+MIN((M174)+J175-K175,MAX(0,$E175-((H175-G175))))</f>
        <v/>
      </c>
      <c r="M175" s="28">
        <f>ROUND(MAX(0,(M174)+J175-L175),2)</f>
        <v/>
      </c>
      <c r="N175" s="28">
        <f>ROUND((Q174)*(IF('Your Debts'!$G$7=0,0,INDEX('Your Debts'!$C$5:$C$12,'Your Debts'!$G$7)/12)),2)</f>
        <v/>
      </c>
      <c r="O175" s="28">
        <f>MIN((Q174)+N175,IF('Your Debts'!$G$7=0,0,INDEX('Your Debts'!$D$5:$D$12,'Your Debts'!$G$7)))</f>
        <v/>
      </c>
      <c r="P175" s="28">
        <f>O175+MIN((Q174)+N175-O175,MAX(0,$E175-((H175-G175)+(L175-K175))))</f>
        <v/>
      </c>
      <c r="Q175" s="28">
        <f>ROUND(MAX(0,(Q174)+N175-P175),2)</f>
        <v/>
      </c>
      <c r="R175" s="28">
        <f>ROUND((U174)*(IF('Your Debts'!$G$8=0,0,INDEX('Your Debts'!$C$5:$C$12,'Your Debts'!$G$8)/12)),2)</f>
        <v/>
      </c>
      <c r="S175" s="28">
        <f>MIN((U174)+R175,IF('Your Debts'!$G$8=0,0,INDEX('Your Debts'!$D$5:$D$12,'Your Debts'!$G$8)))</f>
        <v/>
      </c>
      <c r="T175" s="28">
        <f>S175+MIN((U174)+R175-S175,MAX(0,$E175-((H175-G175)+(L175-K175)+(P175-O175))))</f>
        <v/>
      </c>
      <c r="U175" s="28">
        <f>ROUND(MAX(0,(U174)+R175-T175),2)</f>
        <v/>
      </c>
      <c r="V175" s="28">
        <f>ROUND((Y174)*(IF('Your Debts'!$G$9=0,0,INDEX('Your Debts'!$C$5:$C$12,'Your Debts'!$G$9)/12)),2)</f>
        <v/>
      </c>
      <c r="W175" s="28">
        <f>MIN((Y174)+V175,IF('Your Debts'!$G$9=0,0,INDEX('Your Debts'!$D$5:$D$12,'Your Debts'!$G$9)))</f>
        <v/>
      </c>
      <c r="X175" s="28">
        <f>W175+MIN((Y174)+V175-W175,MAX(0,$E175-((H175-G175)+(L175-K175)+(P175-O175)+(T175-S175))))</f>
        <v/>
      </c>
      <c r="Y175" s="28">
        <f>ROUND(MAX(0,(Y174)+V175-X175),2)</f>
        <v/>
      </c>
      <c r="Z175" s="28">
        <f>ROUND((AC174)*(IF('Your Debts'!$G$10=0,0,INDEX('Your Debts'!$C$5:$C$12,'Your Debts'!$G$10)/12)),2)</f>
        <v/>
      </c>
      <c r="AA175" s="28">
        <f>MIN((AC174)+Z175,IF('Your Debts'!$G$10=0,0,INDEX('Your Debts'!$D$5:$D$12,'Your Debts'!$G$10)))</f>
        <v/>
      </c>
      <c r="AB175" s="28">
        <f>AA175+MIN((AC174)+Z175-AA175,MAX(0,$E175-((H175-G175)+(L175-K175)+(P175-O175)+(T175-S175)+(X175-W175))))</f>
        <v/>
      </c>
      <c r="AC175" s="28">
        <f>ROUND(MAX(0,(AC174)+Z175-AB175),2)</f>
        <v/>
      </c>
      <c r="AD175" s="28">
        <f>ROUND((AG174)*(IF('Your Debts'!$G$11=0,0,INDEX('Your Debts'!$C$5:$C$12,'Your Debts'!$G$11)/12)),2)</f>
        <v/>
      </c>
      <c r="AE175" s="28">
        <f>MIN((AG174)+AD175,IF('Your Debts'!$G$11=0,0,INDEX('Your Debts'!$D$5:$D$12,'Your Debts'!$G$11)))</f>
        <v/>
      </c>
      <c r="AF175" s="28">
        <f>AE175+MIN((AG174)+AD175-AE175,MAX(0,$E175-((H175-G175)+(L175-K175)+(P175-O175)+(T175-S175)+(X175-W175)+(AB175-AA175))))</f>
        <v/>
      </c>
      <c r="AG175" s="28">
        <f>ROUND(MAX(0,(AG174)+AD175-AF175),2)</f>
        <v/>
      </c>
      <c r="AH175" s="28">
        <f>ROUND((AK174)*(IF('Your Debts'!$G$12=0,0,INDEX('Your Debts'!$C$5:$C$12,'Your Debts'!$G$12)/12)),2)</f>
        <v/>
      </c>
      <c r="AI175" s="28">
        <f>MIN((AK174)+AH175,IF('Your Debts'!$G$12=0,0,INDEX('Your Debts'!$D$5:$D$12,'Your Debts'!$G$12)))</f>
        <v/>
      </c>
      <c r="AJ175" s="28">
        <f>AI175+MIN((AK174)+AH175-AI175,MAX(0,$E175-((H175-G175)+(L175-K175)+(P175-O175)+(T175-S175)+(X175-W175)+(AB175-AA175)+(AF175-AE175))))</f>
        <v/>
      </c>
      <c r="AK175" s="28">
        <f>ROUND(MAX(0,(AK174)+AH175-AJ175),2)</f>
        <v/>
      </c>
      <c r="AL175" s="18">
        <f>I175+M175+Q175+U175+Y175+AC175+AG175+AK175</f>
        <v/>
      </c>
      <c r="AM175" s="27">
        <f>AM174+F175+J175+N175+R175+V175+Z175+AD175+AH175</f>
        <v/>
      </c>
    </row>
    <row r="176">
      <c r="A176" s="25" t="n">
        <v>171</v>
      </c>
      <c r="B176" s="26">
        <f>EDATE('Your Debts'!$B$19,170)</f>
        <v/>
      </c>
      <c r="C176" s="27">
        <f>'Your Debts'!$B$18</f>
        <v/>
      </c>
      <c r="D176" s="27">
        <f>G176+K176+O176+S176+W176+AA176+AE176+AI176</f>
        <v/>
      </c>
      <c r="E176" s="27">
        <f>MAX(0,C176-D176)</f>
        <v/>
      </c>
      <c r="F176" s="28">
        <f>ROUND((I175)*(IF('Your Debts'!$G$5=0,0,INDEX('Your Debts'!$C$5:$C$12,'Your Debts'!$G$5)/12)),2)</f>
        <v/>
      </c>
      <c r="G176" s="28">
        <f>MIN((I175)+F176,IF('Your Debts'!$G$5=0,0,INDEX('Your Debts'!$D$5:$D$12,'Your Debts'!$G$5)))</f>
        <v/>
      </c>
      <c r="H176" s="28">
        <f>G176+MIN((I175)+F176-G176,MAX(0,$E176-(0)))</f>
        <v/>
      </c>
      <c r="I176" s="28">
        <f>ROUND(MAX(0,(I175)+F176-H176),2)</f>
        <v/>
      </c>
      <c r="J176" s="28">
        <f>ROUND((M175)*(IF('Your Debts'!$G$6=0,0,INDEX('Your Debts'!$C$5:$C$12,'Your Debts'!$G$6)/12)),2)</f>
        <v/>
      </c>
      <c r="K176" s="28">
        <f>MIN((M175)+J176,IF('Your Debts'!$G$6=0,0,INDEX('Your Debts'!$D$5:$D$12,'Your Debts'!$G$6)))</f>
        <v/>
      </c>
      <c r="L176" s="28">
        <f>K176+MIN((M175)+J176-K176,MAX(0,$E176-((H176-G176))))</f>
        <v/>
      </c>
      <c r="M176" s="28">
        <f>ROUND(MAX(0,(M175)+J176-L176),2)</f>
        <v/>
      </c>
      <c r="N176" s="28">
        <f>ROUND((Q175)*(IF('Your Debts'!$G$7=0,0,INDEX('Your Debts'!$C$5:$C$12,'Your Debts'!$G$7)/12)),2)</f>
        <v/>
      </c>
      <c r="O176" s="28">
        <f>MIN((Q175)+N176,IF('Your Debts'!$G$7=0,0,INDEX('Your Debts'!$D$5:$D$12,'Your Debts'!$G$7)))</f>
        <v/>
      </c>
      <c r="P176" s="28">
        <f>O176+MIN((Q175)+N176-O176,MAX(0,$E176-((H176-G176)+(L176-K176))))</f>
        <v/>
      </c>
      <c r="Q176" s="28">
        <f>ROUND(MAX(0,(Q175)+N176-P176),2)</f>
        <v/>
      </c>
      <c r="R176" s="28">
        <f>ROUND((U175)*(IF('Your Debts'!$G$8=0,0,INDEX('Your Debts'!$C$5:$C$12,'Your Debts'!$G$8)/12)),2)</f>
        <v/>
      </c>
      <c r="S176" s="28">
        <f>MIN((U175)+R176,IF('Your Debts'!$G$8=0,0,INDEX('Your Debts'!$D$5:$D$12,'Your Debts'!$G$8)))</f>
        <v/>
      </c>
      <c r="T176" s="28">
        <f>S176+MIN((U175)+R176-S176,MAX(0,$E176-((H176-G176)+(L176-K176)+(P176-O176))))</f>
        <v/>
      </c>
      <c r="U176" s="28">
        <f>ROUND(MAX(0,(U175)+R176-T176),2)</f>
        <v/>
      </c>
      <c r="V176" s="28">
        <f>ROUND((Y175)*(IF('Your Debts'!$G$9=0,0,INDEX('Your Debts'!$C$5:$C$12,'Your Debts'!$G$9)/12)),2)</f>
        <v/>
      </c>
      <c r="W176" s="28">
        <f>MIN((Y175)+V176,IF('Your Debts'!$G$9=0,0,INDEX('Your Debts'!$D$5:$D$12,'Your Debts'!$G$9)))</f>
        <v/>
      </c>
      <c r="X176" s="28">
        <f>W176+MIN((Y175)+V176-W176,MAX(0,$E176-((H176-G176)+(L176-K176)+(P176-O176)+(T176-S176))))</f>
        <v/>
      </c>
      <c r="Y176" s="28">
        <f>ROUND(MAX(0,(Y175)+V176-X176),2)</f>
        <v/>
      </c>
      <c r="Z176" s="28">
        <f>ROUND((AC175)*(IF('Your Debts'!$G$10=0,0,INDEX('Your Debts'!$C$5:$C$12,'Your Debts'!$G$10)/12)),2)</f>
        <v/>
      </c>
      <c r="AA176" s="28">
        <f>MIN((AC175)+Z176,IF('Your Debts'!$G$10=0,0,INDEX('Your Debts'!$D$5:$D$12,'Your Debts'!$G$10)))</f>
        <v/>
      </c>
      <c r="AB176" s="28">
        <f>AA176+MIN((AC175)+Z176-AA176,MAX(0,$E176-((H176-G176)+(L176-K176)+(P176-O176)+(T176-S176)+(X176-W176))))</f>
        <v/>
      </c>
      <c r="AC176" s="28">
        <f>ROUND(MAX(0,(AC175)+Z176-AB176),2)</f>
        <v/>
      </c>
      <c r="AD176" s="28">
        <f>ROUND((AG175)*(IF('Your Debts'!$G$11=0,0,INDEX('Your Debts'!$C$5:$C$12,'Your Debts'!$G$11)/12)),2)</f>
        <v/>
      </c>
      <c r="AE176" s="28">
        <f>MIN((AG175)+AD176,IF('Your Debts'!$G$11=0,0,INDEX('Your Debts'!$D$5:$D$12,'Your Debts'!$G$11)))</f>
        <v/>
      </c>
      <c r="AF176" s="28">
        <f>AE176+MIN((AG175)+AD176-AE176,MAX(0,$E176-((H176-G176)+(L176-K176)+(P176-O176)+(T176-S176)+(X176-W176)+(AB176-AA176))))</f>
        <v/>
      </c>
      <c r="AG176" s="28">
        <f>ROUND(MAX(0,(AG175)+AD176-AF176),2)</f>
        <v/>
      </c>
      <c r="AH176" s="28">
        <f>ROUND((AK175)*(IF('Your Debts'!$G$12=0,0,INDEX('Your Debts'!$C$5:$C$12,'Your Debts'!$G$12)/12)),2)</f>
        <v/>
      </c>
      <c r="AI176" s="28">
        <f>MIN((AK175)+AH176,IF('Your Debts'!$G$12=0,0,INDEX('Your Debts'!$D$5:$D$12,'Your Debts'!$G$12)))</f>
        <v/>
      </c>
      <c r="AJ176" s="28">
        <f>AI176+MIN((AK175)+AH176-AI176,MAX(0,$E176-((H176-G176)+(L176-K176)+(P176-O176)+(T176-S176)+(X176-W176)+(AB176-AA176)+(AF176-AE176))))</f>
        <v/>
      </c>
      <c r="AK176" s="28">
        <f>ROUND(MAX(0,(AK175)+AH176-AJ176),2)</f>
        <v/>
      </c>
      <c r="AL176" s="18">
        <f>I176+M176+Q176+U176+Y176+AC176+AG176+AK176</f>
        <v/>
      </c>
      <c r="AM176" s="27">
        <f>AM175+F176+J176+N176+R176+V176+Z176+AD176+AH176</f>
        <v/>
      </c>
    </row>
    <row r="177">
      <c r="A177" s="25" t="n">
        <v>172</v>
      </c>
      <c r="B177" s="26">
        <f>EDATE('Your Debts'!$B$19,171)</f>
        <v/>
      </c>
      <c r="C177" s="27">
        <f>'Your Debts'!$B$18</f>
        <v/>
      </c>
      <c r="D177" s="27">
        <f>G177+K177+O177+S177+W177+AA177+AE177+AI177</f>
        <v/>
      </c>
      <c r="E177" s="27">
        <f>MAX(0,C177-D177)</f>
        <v/>
      </c>
      <c r="F177" s="28">
        <f>ROUND((I176)*(IF('Your Debts'!$G$5=0,0,INDEX('Your Debts'!$C$5:$C$12,'Your Debts'!$G$5)/12)),2)</f>
        <v/>
      </c>
      <c r="G177" s="28">
        <f>MIN((I176)+F177,IF('Your Debts'!$G$5=0,0,INDEX('Your Debts'!$D$5:$D$12,'Your Debts'!$G$5)))</f>
        <v/>
      </c>
      <c r="H177" s="28">
        <f>G177+MIN((I176)+F177-G177,MAX(0,$E177-(0)))</f>
        <v/>
      </c>
      <c r="I177" s="28">
        <f>ROUND(MAX(0,(I176)+F177-H177),2)</f>
        <v/>
      </c>
      <c r="J177" s="28">
        <f>ROUND((M176)*(IF('Your Debts'!$G$6=0,0,INDEX('Your Debts'!$C$5:$C$12,'Your Debts'!$G$6)/12)),2)</f>
        <v/>
      </c>
      <c r="K177" s="28">
        <f>MIN((M176)+J177,IF('Your Debts'!$G$6=0,0,INDEX('Your Debts'!$D$5:$D$12,'Your Debts'!$G$6)))</f>
        <v/>
      </c>
      <c r="L177" s="28">
        <f>K177+MIN((M176)+J177-K177,MAX(0,$E177-((H177-G177))))</f>
        <v/>
      </c>
      <c r="M177" s="28">
        <f>ROUND(MAX(0,(M176)+J177-L177),2)</f>
        <v/>
      </c>
      <c r="N177" s="28">
        <f>ROUND((Q176)*(IF('Your Debts'!$G$7=0,0,INDEX('Your Debts'!$C$5:$C$12,'Your Debts'!$G$7)/12)),2)</f>
        <v/>
      </c>
      <c r="O177" s="28">
        <f>MIN((Q176)+N177,IF('Your Debts'!$G$7=0,0,INDEX('Your Debts'!$D$5:$D$12,'Your Debts'!$G$7)))</f>
        <v/>
      </c>
      <c r="P177" s="28">
        <f>O177+MIN((Q176)+N177-O177,MAX(0,$E177-((H177-G177)+(L177-K177))))</f>
        <v/>
      </c>
      <c r="Q177" s="28">
        <f>ROUND(MAX(0,(Q176)+N177-P177),2)</f>
        <v/>
      </c>
      <c r="R177" s="28">
        <f>ROUND((U176)*(IF('Your Debts'!$G$8=0,0,INDEX('Your Debts'!$C$5:$C$12,'Your Debts'!$G$8)/12)),2)</f>
        <v/>
      </c>
      <c r="S177" s="28">
        <f>MIN((U176)+R177,IF('Your Debts'!$G$8=0,0,INDEX('Your Debts'!$D$5:$D$12,'Your Debts'!$G$8)))</f>
        <v/>
      </c>
      <c r="T177" s="28">
        <f>S177+MIN((U176)+R177-S177,MAX(0,$E177-((H177-G177)+(L177-K177)+(P177-O177))))</f>
        <v/>
      </c>
      <c r="U177" s="28">
        <f>ROUND(MAX(0,(U176)+R177-T177),2)</f>
        <v/>
      </c>
      <c r="V177" s="28">
        <f>ROUND((Y176)*(IF('Your Debts'!$G$9=0,0,INDEX('Your Debts'!$C$5:$C$12,'Your Debts'!$G$9)/12)),2)</f>
        <v/>
      </c>
      <c r="W177" s="28">
        <f>MIN((Y176)+V177,IF('Your Debts'!$G$9=0,0,INDEX('Your Debts'!$D$5:$D$12,'Your Debts'!$G$9)))</f>
        <v/>
      </c>
      <c r="X177" s="28">
        <f>W177+MIN((Y176)+V177-W177,MAX(0,$E177-((H177-G177)+(L177-K177)+(P177-O177)+(T177-S177))))</f>
        <v/>
      </c>
      <c r="Y177" s="28">
        <f>ROUND(MAX(0,(Y176)+V177-X177),2)</f>
        <v/>
      </c>
      <c r="Z177" s="28">
        <f>ROUND((AC176)*(IF('Your Debts'!$G$10=0,0,INDEX('Your Debts'!$C$5:$C$12,'Your Debts'!$G$10)/12)),2)</f>
        <v/>
      </c>
      <c r="AA177" s="28">
        <f>MIN((AC176)+Z177,IF('Your Debts'!$G$10=0,0,INDEX('Your Debts'!$D$5:$D$12,'Your Debts'!$G$10)))</f>
        <v/>
      </c>
      <c r="AB177" s="28">
        <f>AA177+MIN((AC176)+Z177-AA177,MAX(0,$E177-((H177-G177)+(L177-K177)+(P177-O177)+(T177-S177)+(X177-W177))))</f>
        <v/>
      </c>
      <c r="AC177" s="28">
        <f>ROUND(MAX(0,(AC176)+Z177-AB177),2)</f>
        <v/>
      </c>
      <c r="AD177" s="28">
        <f>ROUND((AG176)*(IF('Your Debts'!$G$11=0,0,INDEX('Your Debts'!$C$5:$C$12,'Your Debts'!$G$11)/12)),2)</f>
        <v/>
      </c>
      <c r="AE177" s="28">
        <f>MIN((AG176)+AD177,IF('Your Debts'!$G$11=0,0,INDEX('Your Debts'!$D$5:$D$12,'Your Debts'!$G$11)))</f>
        <v/>
      </c>
      <c r="AF177" s="28">
        <f>AE177+MIN((AG176)+AD177-AE177,MAX(0,$E177-((H177-G177)+(L177-K177)+(P177-O177)+(T177-S177)+(X177-W177)+(AB177-AA177))))</f>
        <v/>
      </c>
      <c r="AG177" s="28">
        <f>ROUND(MAX(0,(AG176)+AD177-AF177),2)</f>
        <v/>
      </c>
      <c r="AH177" s="28">
        <f>ROUND((AK176)*(IF('Your Debts'!$G$12=0,0,INDEX('Your Debts'!$C$5:$C$12,'Your Debts'!$G$12)/12)),2)</f>
        <v/>
      </c>
      <c r="AI177" s="28">
        <f>MIN((AK176)+AH177,IF('Your Debts'!$G$12=0,0,INDEX('Your Debts'!$D$5:$D$12,'Your Debts'!$G$12)))</f>
        <v/>
      </c>
      <c r="AJ177" s="28">
        <f>AI177+MIN((AK176)+AH177-AI177,MAX(0,$E177-((H177-G177)+(L177-K177)+(P177-O177)+(T177-S177)+(X177-W177)+(AB177-AA177)+(AF177-AE177))))</f>
        <v/>
      </c>
      <c r="AK177" s="28">
        <f>ROUND(MAX(0,(AK176)+AH177-AJ177),2)</f>
        <v/>
      </c>
      <c r="AL177" s="18">
        <f>I177+M177+Q177+U177+Y177+AC177+AG177+AK177</f>
        <v/>
      </c>
      <c r="AM177" s="27">
        <f>AM176+F177+J177+N177+R177+V177+Z177+AD177+AH177</f>
        <v/>
      </c>
    </row>
    <row r="178">
      <c r="A178" s="25" t="n">
        <v>173</v>
      </c>
      <c r="B178" s="26">
        <f>EDATE('Your Debts'!$B$19,172)</f>
        <v/>
      </c>
      <c r="C178" s="27">
        <f>'Your Debts'!$B$18</f>
        <v/>
      </c>
      <c r="D178" s="27">
        <f>G178+K178+O178+S178+W178+AA178+AE178+AI178</f>
        <v/>
      </c>
      <c r="E178" s="27">
        <f>MAX(0,C178-D178)</f>
        <v/>
      </c>
      <c r="F178" s="28">
        <f>ROUND((I177)*(IF('Your Debts'!$G$5=0,0,INDEX('Your Debts'!$C$5:$C$12,'Your Debts'!$G$5)/12)),2)</f>
        <v/>
      </c>
      <c r="G178" s="28">
        <f>MIN((I177)+F178,IF('Your Debts'!$G$5=0,0,INDEX('Your Debts'!$D$5:$D$12,'Your Debts'!$G$5)))</f>
        <v/>
      </c>
      <c r="H178" s="28">
        <f>G178+MIN((I177)+F178-G178,MAX(0,$E178-(0)))</f>
        <v/>
      </c>
      <c r="I178" s="28">
        <f>ROUND(MAX(0,(I177)+F178-H178),2)</f>
        <v/>
      </c>
      <c r="J178" s="28">
        <f>ROUND((M177)*(IF('Your Debts'!$G$6=0,0,INDEX('Your Debts'!$C$5:$C$12,'Your Debts'!$G$6)/12)),2)</f>
        <v/>
      </c>
      <c r="K178" s="28">
        <f>MIN((M177)+J178,IF('Your Debts'!$G$6=0,0,INDEX('Your Debts'!$D$5:$D$12,'Your Debts'!$G$6)))</f>
        <v/>
      </c>
      <c r="L178" s="28">
        <f>K178+MIN((M177)+J178-K178,MAX(0,$E178-((H178-G178))))</f>
        <v/>
      </c>
      <c r="M178" s="28">
        <f>ROUND(MAX(0,(M177)+J178-L178),2)</f>
        <v/>
      </c>
      <c r="N178" s="28">
        <f>ROUND((Q177)*(IF('Your Debts'!$G$7=0,0,INDEX('Your Debts'!$C$5:$C$12,'Your Debts'!$G$7)/12)),2)</f>
        <v/>
      </c>
      <c r="O178" s="28">
        <f>MIN((Q177)+N178,IF('Your Debts'!$G$7=0,0,INDEX('Your Debts'!$D$5:$D$12,'Your Debts'!$G$7)))</f>
        <v/>
      </c>
      <c r="P178" s="28">
        <f>O178+MIN((Q177)+N178-O178,MAX(0,$E178-((H178-G178)+(L178-K178))))</f>
        <v/>
      </c>
      <c r="Q178" s="28">
        <f>ROUND(MAX(0,(Q177)+N178-P178),2)</f>
        <v/>
      </c>
      <c r="R178" s="28">
        <f>ROUND((U177)*(IF('Your Debts'!$G$8=0,0,INDEX('Your Debts'!$C$5:$C$12,'Your Debts'!$G$8)/12)),2)</f>
        <v/>
      </c>
      <c r="S178" s="28">
        <f>MIN((U177)+R178,IF('Your Debts'!$G$8=0,0,INDEX('Your Debts'!$D$5:$D$12,'Your Debts'!$G$8)))</f>
        <v/>
      </c>
      <c r="T178" s="28">
        <f>S178+MIN((U177)+R178-S178,MAX(0,$E178-((H178-G178)+(L178-K178)+(P178-O178))))</f>
        <v/>
      </c>
      <c r="U178" s="28">
        <f>ROUND(MAX(0,(U177)+R178-T178),2)</f>
        <v/>
      </c>
      <c r="V178" s="28">
        <f>ROUND((Y177)*(IF('Your Debts'!$G$9=0,0,INDEX('Your Debts'!$C$5:$C$12,'Your Debts'!$G$9)/12)),2)</f>
        <v/>
      </c>
      <c r="W178" s="28">
        <f>MIN((Y177)+V178,IF('Your Debts'!$G$9=0,0,INDEX('Your Debts'!$D$5:$D$12,'Your Debts'!$G$9)))</f>
        <v/>
      </c>
      <c r="X178" s="28">
        <f>W178+MIN((Y177)+V178-W178,MAX(0,$E178-((H178-G178)+(L178-K178)+(P178-O178)+(T178-S178))))</f>
        <v/>
      </c>
      <c r="Y178" s="28">
        <f>ROUND(MAX(0,(Y177)+V178-X178),2)</f>
        <v/>
      </c>
      <c r="Z178" s="28">
        <f>ROUND((AC177)*(IF('Your Debts'!$G$10=0,0,INDEX('Your Debts'!$C$5:$C$12,'Your Debts'!$G$10)/12)),2)</f>
        <v/>
      </c>
      <c r="AA178" s="28">
        <f>MIN((AC177)+Z178,IF('Your Debts'!$G$10=0,0,INDEX('Your Debts'!$D$5:$D$12,'Your Debts'!$G$10)))</f>
        <v/>
      </c>
      <c r="AB178" s="28">
        <f>AA178+MIN((AC177)+Z178-AA178,MAX(0,$E178-((H178-G178)+(L178-K178)+(P178-O178)+(T178-S178)+(X178-W178))))</f>
        <v/>
      </c>
      <c r="AC178" s="28">
        <f>ROUND(MAX(0,(AC177)+Z178-AB178),2)</f>
        <v/>
      </c>
      <c r="AD178" s="28">
        <f>ROUND((AG177)*(IF('Your Debts'!$G$11=0,0,INDEX('Your Debts'!$C$5:$C$12,'Your Debts'!$G$11)/12)),2)</f>
        <v/>
      </c>
      <c r="AE178" s="28">
        <f>MIN((AG177)+AD178,IF('Your Debts'!$G$11=0,0,INDEX('Your Debts'!$D$5:$D$12,'Your Debts'!$G$11)))</f>
        <v/>
      </c>
      <c r="AF178" s="28">
        <f>AE178+MIN((AG177)+AD178-AE178,MAX(0,$E178-((H178-G178)+(L178-K178)+(P178-O178)+(T178-S178)+(X178-W178)+(AB178-AA178))))</f>
        <v/>
      </c>
      <c r="AG178" s="28">
        <f>ROUND(MAX(0,(AG177)+AD178-AF178),2)</f>
        <v/>
      </c>
      <c r="AH178" s="28">
        <f>ROUND((AK177)*(IF('Your Debts'!$G$12=0,0,INDEX('Your Debts'!$C$5:$C$12,'Your Debts'!$G$12)/12)),2)</f>
        <v/>
      </c>
      <c r="AI178" s="28">
        <f>MIN((AK177)+AH178,IF('Your Debts'!$G$12=0,0,INDEX('Your Debts'!$D$5:$D$12,'Your Debts'!$G$12)))</f>
        <v/>
      </c>
      <c r="AJ178" s="28">
        <f>AI178+MIN((AK177)+AH178-AI178,MAX(0,$E178-((H178-G178)+(L178-K178)+(P178-O178)+(T178-S178)+(X178-W178)+(AB178-AA178)+(AF178-AE178))))</f>
        <v/>
      </c>
      <c r="AK178" s="28">
        <f>ROUND(MAX(0,(AK177)+AH178-AJ178),2)</f>
        <v/>
      </c>
      <c r="AL178" s="18">
        <f>I178+M178+Q178+U178+Y178+AC178+AG178+AK178</f>
        <v/>
      </c>
      <c r="AM178" s="27">
        <f>AM177+F178+J178+N178+R178+V178+Z178+AD178+AH178</f>
        <v/>
      </c>
    </row>
    <row r="179">
      <c r="A179" s="25" t="n">
        <v>174</v>
      </c>
      <c r="B179" s="26">
        <f>EDATE('Your Debts'!$B$19,173)</f>
        <v/>
      </c>
      <c r="C179" s="27">
        <f>'Your Debts'!$B$18</f>
        <v/>
      </c>
      <c r="D179" s="27">
        <f>G179+K179+O179+S179+W179+AA179+AE179+AI179</f>
        <v/>
      </c>
      <c r="E179" s="27">
        <f>MAX(0,C179-D179)</f>
        <v/>
      </c>
      <c r="F179" s="28">
        <f>ROUND((I178)*(IF('Your Debts'!$G$5=0,0,INDEX('Your Debts'!$C$5:$C$12,'Your Debts'!$G$5)/12)),2)</f>
        <v/>
      </c>
      <c r="G179" s="28">
        <f>MIN((I178)+F179,IF('Your Debts'!$G$5=0,0,INDEX('Your Debts'!$D$5:$D$12,'Your Debts'!$G$5)))</f>
        <v/>
      </c>
      <c r="H179" s="28">
        <f>G179+MIN((I178)+F179-G179,MAX(0,$E179-(0)))</f>
        <v/>
      </c>
      <c r="I179" s="28">
        <f>ROUND(MAX(0,(I178)+F179-H179),2)</f>
        <v/>
      </c>
      <c r="J179" s="28">
        <f>ROUND((M178)*(IF('Your Debts'!$G$6=0,0,INDEX('Your Debts'!$C$5:$C$12,'Your Debts'!$G$6)/12)),2)</f>
        <v/>
      </c>
      <c r="K179" s="28">
        <f>MIN((M178)+J179,IF('Your Debts'!$G$6=0,0,INDEX('Your Debts'!$D$5:$D$12,'Your Debts'!$G$6)))</f>
        <v/>
      </c>
      <c r="L179" s="28">
        <f>K179+MIN((M178)+J179-K179,MAX(0,$E179-((H179-G179))))</f>
        <v/>
      </c>
      <c r="M179" s="28">
        <f>ROUND(MAX(0,(M178)+J179-L179),2)</f>
        <v/>
      </c>
      <c r="N179" s="28">
        <f>ROUND((Q178)*(IF('Your Debts'!$G$7=0,0,INDEX('Your Debts'!$C$5:$C$12,'Your Debts'!$G$7)/12)),2)</f>
        <v/>
      </c>
      <c r="O179" s="28">
        <f>MIN((Q178)+N179,IF('Your Debts'!$G$7=0,0,INDEX('Your Debts'!$D$5:$D$12,'Your Debts'!$G$7)))</f>
        <v/>
      </c>
      <c r="P179" s="28">
        <f>O179+MIN((Q178)+N179-O179,MAX(0,$E179-((H179-G179)+(L179-K179))))</f>
        <v/>
      </c>
      <c r="Q179" s="28">
        <f>ROUND(MAX(0,(Q178)+N179-P179),2)</f>
        <v/>
      </c>
      <c r="R179" s="28">
        <f>ROUND((U178)*(IF('Your Debts'!$G$8=0,0,INDEX('Your Debts'!$C$5:$C$12,'Your Debts'!$G$8)/12)),2)</f>
        <v/>
      </c>
      <c r="S179" s="28">
        <f>MIN((U178)+R179,IF('Your Debts'!$G$8=0,0,INDEX('Your Debts'!$D$5:$D$12,'Your Debts'!$G$8)))</f>
        <v/>
      </c>
      <c r="T179" s="28">
        <f>S179+MIN((U178)+R179-S179,MAX(0,$E179-((H179-G179)+(L179-K179)+(P179-O179))))</f>
        <v/>
      </c>
      <c r="U179" s="28">
        <f>ROUND(MAX(0,(U178)+R179-T179),2)</f>
        <v/>
      </c>
      <c r="V179" s="28">
        <f>ROUND((Y178)*(IF('Your Debts'!$G$9=0,0,INDEX('Your Debts'!$C$5:$C$12,'Your Debts'!$G$9)/12)),2)</f>
        <v/>
      </c>
      <c r="W179" s="28">
        <f>MIN((Y178)+V179,IF('Your Debts'!$G$9=0,0,INDEX('Your Debts'!$D$5:$D$12,'Your Debts'!$G$9)))</f>
        <v/>
      </c>
      <c r="X179" s="28">
        <f>W179+MIN((Y178)+V179-W179,MAX(0,$E179-((H179-G179)+(L179-K179)+(P179-O179)+(T179-S179))))</f>
        <v/>
      </c>
      <c r="Y179" s="28">
        <f>ROUND(MAX(0,(Y178)+V179-X179),2)</f>
        <v/>
      </c>
      <c r="Z179" s="28">
        <f>ROUND((AC178)*(IF('Your Debts'!$G$10=0,0,INDEX('Your Debts'!$C$5:$C$12,'Your Debts'!$G$10)/12)),2)</f>
        <v/>
      </c>
      <c r="AA179" s="28">
        <f>MIN((AC178)+Z179,IF('Your Debts'!$G$10=0,0,INDEX('Your Debts'!$D$5:$D$12,'Your Debts'!$G$10)))</f>
        <v/>
      </c>
      <c r="AB179" s="28">
        <f>AA179+MIN((AC178)+Z179-AA179,MAX(0,$E179-((H179-G179)+(L179-K179)+(P179-O179)+(T179-S179)+(X179-W179))))</f>
        <v/>
      </c>
      <c r="AC179" s="28">
        <f>ROUND(MAX(0,(AC178)+Z179-AB179),2)</f>
        <v/>
      </c>
      <c r="AD179" s="28">
        <f>ROUND((AG178)*(IF('Your Debts'!$G$11=0,0,INDEX('Your Debts'!$C$5:$C$12,'Your Debts'!$G$11)/12)),2)</f>
        <v/>
      </c>
      <c r="AE179" s="28">
        <f>MIN((AG178)+AD179,IF('Your Debts'!$G$11=0,0,INDEX('Your Debts'!$D$5:$D$12,'Your Debts'!$G$11)))</f>
        <v/>
      </c>
      <c r="AF179" s="28">
        <f>AE179+MIN((AG178)+AD179-AE179,MAX(0,$E179-((H179-G179)+(L179-K179)+(P179-O179)+(T179-S179)+(X179-W179)+(AB179-AA179))))</f>
        <v/>
      </c>
      <c r="AG179" s="28">
        <f>ROUND(MAX(0,(AG178)+AD179-AF179),2)</f>
        <v/>
      </c>
      <c r="AH179" s="28">
        <f>ROUND((AK178)*(IF('Your Debts'!$G$12=0,0,INDEX('Your Debts'!$C$5:$C$12,'Your Debts'!$G$12)/12)),2)</f>
        <v/>
      </c>
      <c r="AI179" s="28">
        <f>MIN((AK178)+AH179,IF('Your Debts'!$G$12=0,0,INDEX('Your Debts'!$D$5:$D$12,'Your Debts'!$G$12)))</f>
        <v/>
      </c>
      <c r="AJ179" s="28">
        <f>AI179+MIN((AK178)+AH179-AI179,MAX(0,$E179-((H179-G179)+(L179-K179)+(P179-O179)+(T179-S179)+(X179-W179)+(AB179-AA179)+(AF179-AE179))))</f>
        <v/>
      </c>
      <c r="AK179" s="28">
        <f>ROUND(MAX(0,(AK178)+AH179-AJ179),2)</f>
        <v/>
      </c>
      <c r="AL179" s="18">
        <f>I179+M179+Q179+U179+Y179+AC179+AG179+AK179</f>
        <v/>
      </c>
      <c r="AM179" s="27">
        <f>AM178+F179+J179+N179+R179+V179+Z179+AD179+AH179</f>
        <v/>
      </c>
    </row>
    <row r="180">
      <c r="A180" s="25" t="n">
        <v>175</v>
      </c>
      <c r="B180" s="26">
        <f>EDATE('Your Debts'!$B$19,174)</f>
        <v/>
      </c>
      <c r="C180" s="27">
        <f>'Your Debts'!$B$18</f>
        <v/>
      </c>
      <c r="D180" s="27">
        <f>G180+K180+O180+S180+W180+AA180+AE180+AI180</f>
        <v/>
      </c>
      <c r="E180" s="27">
        <f>MAX(0,C180-D180)</f>
        <v/>
      </c>
      <c r="F180" s="28">
        <f>ROUND((I179)*(IF('Your Debts'!$G$5=0,0,INDEX('Your Debts'!$C$5:$C$12,'Your Debts'!$G$5)/12)),2)</f>
        <v/>
      </c>
      <c r="G180" s="28">
        <f>MIN((I179)+F180,IF('Your Debts'!$G$5=0,0,INDEX('Your Debts'!$D$5:$D$12,'Your Debts'!$G$5)))</f>
        <v/>
      </c>
      <c r="H180" s="28">
        <f>G180+MIN((I179)+F180-G180,MAX(0,$E180-(0)))</f>
        <v/>
      </c>
      <c r="I180" s="28">
        <f>ROUND(MAX(0,(I179)+F180-H180),2)</f>
        <v/>
      </c>
      <c r="J180" s="28">
        <f>ROUND((M179)*(IF('Your Debts'!$G$6=0,0,INDEX('Your Debts'!$C$5:$C$12,'Your Debts'!$G$6)/12)),2)</f>
        <v/>
      </c>
      <c r="K180" s="28">
        <f>MIN((M179)+J180,IF('Your Debts'!$G$6=0,0,INDEX('Your Debts'!$D$5:$D$12,'Your Debts'!$G$6)))</f>
        <v/>
      </c>
      <c r="L180" s="28">
        <f>K180+MIN((M179)+J180-K180,MAX(0,$E180-((H180-G180))))</f>
        <v/>
      </c>
      <c r="M180" s="28">
        <f>ROUND(MAX(0,(M179)+J180-L180),2)</f>
        <v/>
      </c>
      <c r="N180" s="28">
        <f>ROUND((Q179)*(IF('Your Debts'!$G$7=0,0,INDEX('Your Debts'!$C$5:$C$12,'Your Debts'!$G$7)/12)),2)</f>
        <v/>
      </c>
      <c r="O180" s="28">
        <f>MIN((Q179)+N180,IF('Your Debts'!$G$7=0,0,INDEX('Your Debts'!$D$5:$D$12,'Your Debts'!$G$7)))</f>
        <v/>
      </c>
      <c r="P180" s="28">
        <f>O180+MIN((Q179)+N180-O180,MAX(0,$E180-((H180-G180)+(L180-K180))))</f>
        <v/>
      </c>
      <c r="Q180" s="28">
        <f>ROUND(MAX(0,(Q179)+N180-P180),2)</f>
        <v/>
      </c>
      <c r="R180" s="28">
        <f>ROUND((U179)*(IF('Your Debts'!$G$8=0,0,INDEX('Your Debts'!$C$5:$C$12,'Your Debts'!$G$8)/12)),2)</f>
        <v/>
      </c>
      <c r="S180" s="28">
        <f>MIN((U179)+R180,IF('Your Debts'!$G$8=0,0,INDEX('Your Debts'!$D$5:$D$12,'Your Debts'!$G$8)))</f>
        <v/>
      </c>
      <c r="T180" s="28">
        <f>S180+MIN((U179)+R180-S180,MAX(0,$E180-((H180-G180)+(L180-K180)+(P180-O180))))</f>
        <v/>
      </c>
      <c r="U180" s="28">
        <f>ROUND(MAX(0,(U179)+R180-T180),2)</f>
        <v/>
      </c>
      <c r="V180" s="28">
        <f>ROUND((Y179)*(IF('Your Debts'!$G$9=0,0,INDEX('Your Debts'!$C$5:$C$12,'Your Debts'!$G$9)/12)),2)</f>
        <v/>
      </c>
      <c r="W180" s="28">
        <f>MIN((Y179)+V180,IF('Your Debts'!$G$9=0,0,INDEX('Your Debts'!$D$5:$D$12,'Your Debts'!$G$9)))</f>
        <v/>
      </c>
      <c r="X180" s="28">
        <f>W180+MIN((Y179)+V180-W180,MAX(0,$E180-((H180-G180)+(L180-K180)+(P180-O180)+(T180-S180))))</f>
        <v/>
      </c>
      <c r="Y180" s="28">
        <f>ROUND(MAX(0,(Y179)+V180-X180),2)</f>
        <v/>
      </c>
      <c r="Z180" s="28">
        <f>ROUND((AC179)*(IF('Your Debts'!$G$10=0,0,INDEX('Your Debts'!$C$5:$C$12,'Your Debts'!$G$10)/12)),2)</f>
        <v/>
      </c>
      <c r="AA180" s="28">
        <f>MIN((AC179)+Z180,IF('Your Debts'!$G$10=0,0,INDEX('Your Debts'!$D$5:$D$12,'Your Debts'!$G$10)))</f>
        <v/>
      </c>
      <c r="AB180" s="28">
        <f>AA180+MIN((AC179)+Z180-AA180,MAX(0,$E180-((H180-G180)+(L180-K180)+(P180-O180)+(T180-S180)+(X180-W180))))</f>
        <v/>
      </c>
      <c r="AC180" s="28">
        <f>ROUND(MAX(0,(AC179)+Z180-AB180),2)</f>
        <v/>
      </c>
      <c r="AD180" s="28">
        <f>ROUND((AG179)*(IF('Your Debts'!$G$11=0,0,INDEX('Your Debts'!$C$5:$C$12,'Your Debts'!$G$11)/12)),2)</f>
        <v/>
      </c>
      <c r="AE180" s="28">
        <f>MIN((AG179)+AD180,IF('Your Debts'!$G$11=0,0,INDEX('Your Debts'!$D$5:$D$12,'Your Debts'!$G$11)))</f>
        <v/>
      </c>
      <c r="AF180" s="28">
        <f>AE180+MIN((AG179)+AD180-AE180,MAX(0,$E180-((H180-G180)+(L180-K180)+(P180-O180)+(T180-S180)+(X180-W180)+(AB180-AA180))))</f>
        <v/>
      </c>
      <c r="AG180" s="28">
        <f>ROUND(MAX(0,(AG179)+AD180-AF180),2)</f>
        <v/>
      </c>
      <c r="AH180" s="28">
        <f>ROUND((AK179)*(IF('Your Debts'!$G$12=0,0,INDEX('Your Debts'!$C$5:$C$12,'Your Debts'!$G$12)/12)),2)</f>
        <v/>
      </c>
      <c r="AI180" s="28">
        <f>MIN((AK179)+AH180,IF('Your Debts'!$G$12=0,0,INDEX('Your Debts'!$D$5:$D$12,'Your Debts'!$G$12)))</f>
        <v/>
      </c>
      <c r="AJ180" s="28">
        <f>AI180+MIN((AK179)+AH180-AI180,MAX(0,$E180-((H180-G180)+(L180-K180)+(P180-O180)+(T180-S180)+(X180-W180)+(AB180-AA180)+(AF180-AE180))))</f>
        <v/>
      </c>
      <c r="AK180" s="28">
        <f>ROUND(MAX(0,(AK179)+AH180-AJ180),2)</f>
        <v/>
      </c>
      <c r="AL180" s="18">
        <f>I180+M180+Q180+U180+Y180+AC180+AG180+AK180</f>
        <v/>
      </c>
      <c r="AM180" s="27">
        <f>AM179+F180+J180+N180+R180+V180+Z180+AD180+AH180</f>
        <v/>
      </c>
    </row>
    <row r="181">
      <c r="A181" s="25" t="n">
        <v>176</v>
      </c>
      <c r="B181" s="26">
        <f>EDATE('Your Debts'!$B$19,175)</f>
        <v/>
      </c>
      <c r="C181" s="27">
        <f>'Your Debts'!$B$18</f>
        <v/>
      </c>
      <c r="D181" s="27">
        <f>G181+K181+O181+S181+W181+AA181+AE181+AI181</f>
        <v/>
      </c>
      <c r="E181" s="27">
        <f>MAX(0,C181-D181)</f>
        <v/>
      </c>
      <c r="F181" s="28">
        <f>ROUND((I180)*(IF('Your Debts'!$G$5=0,0,INDEX('Your Debts'!$C$5:$C$12,'Your Debts'!$G$5)/12)),2)</f>
        <v/>
      </c>
      <c r="G181" s="28">
        <f>MIN((I180)+F181,IF('Your Debts'!$G$5=0,0,INDEX('Your Debts'!$D$5:$D$12,'Your Debts'!$G$5)))</f>
        <v/>
      </c>
      <c r="H181" s="28">
        <f>G181+MIN((I180)+F181-G181,MAX(0,$E181-(0)))</f>
        <v/>
      </c>
      <c r="I181" s="28">
        <f>ROUND(MAX(0,(I180)+F181-H181),2)</f>
        <v/>
      </c>
      <c r="J181" s="28">
        <f>ROUND((M180)*(IF('Your Debts'!$G$6=0,0,INDEX('Your Debts'!$C$5:$C$12,'Your Debts'!$G$6)/12)),2)</f>
        <v/>
      </c>
      <c r="K181" s="28">
        <f>MIN((M180)+J181,IF('Your Debts'!$G$6=0,0,INDEX('Your Debts'!$D$5:$D$12,'Your Debts'!$G$6)))</f>
        <v/>
      </c>
      <c r="L181" s="28">
        <f>K181+MIN((M180)+J181-K181,MAX(0,$E181-((H181-G181))))</f>
        <v/>
      </c>
      <c r="M181" s="28">
        <f>ROUND(MAX(0,(M180)+J181-L181),2)</f>
        <v/>
      </c>
      <c r="N181" s="28">
        <f>ROUND((Q180)*(IF('Your Debts'!$G$7=0,0,INDEX('Your Debts'!$C$5:$C$12,'Your Debts'!$G$7)/12)),2)</f>
        <v/>
      </c>
      <c r="O181" s="28">
        <f>MIN((Q180)+N181,IF('Your Debts'!$G$7=0,0,INDEX('Your Debts'!$D$5:$D$12,'Your Debts'!$G$7)))</f>
        <v/>
      </c>
      <c r="P181" s="28">
        <f>O181+MIN((Q180)+N181-O181,MAX(0,$E181-((H181-G181)+(L181-K181))))</f>
        <v/>
      </c>
      <c r="Q181" s="28">
        <f>ROUND(MAX(0,(Q180)+N181-P181),2)</f>
        <v/>
      </c>
      <c r="R181" s="28">
        <f>ROUND((U180)*(IF('Your Debts'!$G$8=0,0,INDEX('Your Debts'!$C$5:$C$12,'Your Debts'!$G$8)/12)),2)</f>
        <v/>
      </c>
      <c r="S181" s="28">
        <f>MIN((U180)+R181,IF('Your Debts'!$G$8=0,0,INDEX('Your Debts'!$D$5:$D$12,'Your Debts'!$G$8)))</f>
        <v/>
      </c>
      <c r="T181" s="28">
        <f>S181+MIN((U180)+R181-S181,MAX(0,$E181-((H181-G181)+(L181-K181)+(P181-O181))))</f>
        <v/>
      </c>
      <c r="U181" s="28">
        <f>ROUND(MAX(0,(U180)+R181-T181),2)</f>
        <v/>
      </c>
      <c r="V181" s="28">
        <f>ROUND((Y180)*(IF('Your Debts'!$G$9=0,0,INDEX('Your Debts'!$C$5:$C$12,'Your Debts'!$G$9)/12)),2)</f>
        <v/>
      </c>
      <c r="W181" s="28">
        <f>MIN((Y180)+V181,IF('Your Debts'!$G$9=0,0,INDEX('Your Debts'!$D$5:$D$12,'Your Debts'!$G$9)))</f>
        <v/>
      </c>
      <c r="X181" s="28">
        <f>W181+MIN((Y180)+V181-W181,MAX(0,$E181-((H181-G181)+(L181-K181)+(P181-O181)+(T181-S181))))</f>
        <v/>
      </c>
      <c r="Y181" s="28">
        <f>ROUND(MAX(0,(Y180)+V181-X181),2)</f>
        <v/>
      </c>
      <c r="Z181" s="28">
        <f>ROUND((AC180)*(IF('Your Debts'!$G$10=0,0,INDEX('Your Debts'!$C$5:$C$12,'Your Debts'!$G$10)/12)),2)</f>
        <v/>
      </c>
      <c r="AA181" s="28">
        <f>MIN((AC180)+Z181,IF('Your Debts'!$G$10=0,0,INDEX('Your Debts'!$D$5:$D$12,'Your Debts'!$G$10)))</f>
        <v/>
      </c>
      <c r="AB181" s="28">
        <f>AA181+MIN((AC180)+Z181-AA181,MAX(0,$E181-((H181-G181)+(L181-K181)+(P181-O181)+(T181-S181)+(X181-W181))))</f>
        <v/>
      </c>
      <c r="AC181" s="28">
        <f>ROUND(MAX(0,(AC180)+Z181-AB181),2)</f>
        <v/>
      </c>
      <c r="AD181" s="28">
        <f>ROUND((AG180)*(IF('Your Debts'!$G$11=0,0,INDEX('Your Debts'!$C$5:$C$12,'Your Debts'!$G$11)/12)),2)</f>
        <v/>
      </c>
      <c r="AE181" s="28">
        <f>MIN((AG180)+AD181,IF('Your Debts'!$G$11=0,0,INDEX('Your Debts'!$D$5:$D$12,'Your Debts'!$G$11)))</f>
        <v/>
      </c>
      <c r="AF181" s="28">
        <f>AE181+MIN((AG180)+AD181-AE181,MAX(0,$E181-((H181-G181)+(L181-K181)+(P181-O181)+(T181-S181)+(X181-W181)+(AB181-AA181))))</f>
        <v/>
      </c>
      <c r="AG181" s="28">
        <f>ROUND(MAX(0,(AG180)+AD181-AF181),2)</f>
        <v/>
      </c>
      <c r="AH181" s="28">
        <f>ROUND((AK180)*(IF('Your Debts'!$G$12=0,0,INDEX('Your Debts'!$C$5:$C$12,'Your Debts'!$G$12)/12)),2)</f>
        <v/>
      </c>
      <c r="AI181" s="28">
        <f>MIN((AK180)+AH181,IF('Your Debts'!$G$12=0,0,INDEX('Your Debts'!$D$5:$D$12,'Your Debts'!$G$12)))</f>
        <v/>
      </c>
      <c r="AJ181" s="28">
        <f>AI181+MIN((AK180)+AH181-AI181,MAX(0,$E181-((H181-G181)+(L181-K181)+(P181-O181)+(T181-S181)+(X181-W181)+(AB181-AA181)+(AF181-AE181))))</f>
        <v/>
      </c>
      <c r="AK181" s="28">
        <f>ROUND(MAX(0,(AK180)+AH181-AJ181),2)</f>
        <v/>
      </c>
      <c r="AL181" s="18">
        <f>I181+M181+Q181+U181+Y181+AC181+AG181+AK181</f>
        <v/>
      </c>
      <c r="AM181" s="27">
        <f>AM180+F181+J181+N181+R181+V181+Z181+AD181+AH181</f>
        <v/>
      </c>
    </row>
    <row r="182">
      <c r="A182" s="25" t="n">
        <v>177</v>
      </c>
      <c r="B182" s="26">
        <f>EDATE('Your Debts'!$B$19,176)</f>
        <v/>
      </c>
      <c r="C182" s="27">
        <f>'Your Debts'!$B$18</f>
        <v/>
      </c>
      <c r="D182" s="27">
        <f>G182+K182+O182+S182+W182+AA182+AE182+AI182</f>
        <v/>
      </c>
      <c r="E182" s="27">
        <f>MAX(0,C182-D182)</f>
        <v/>
      </c>
      <c r="F182" s="28">
        <f>ROUND((I181)*(IF('Your Debts'!$G$5=0,0,INDEX('Your Debts'!$C$5:$C$12,'Your Debts'!$G$5)/12)),2)</f>
        <v/>
      </c>
      <c r="G182" s="28">
        <f>MIN((I181)+F182,IF('Your Debts'!$G$5=0,0,INDEX('Your Debts'!$D$5:$D$12,'Your Debts'!$G$5)))</f>
        <v/>
      </c>
      <c r="H182" s="28">
        <f>G182+MIN((I181)+F182-G182,MAX(0,$E182-(0)))</f>
        <v/>
      </c>
      <c r="I182" s="28">
        <f>ROUND(MAX(0,(I181)+F182-H182),2)</f>
        <v/>
      </c>
      <c r="J182" s="28">
        <f>ROUND((M181)*(IF('Your Debts'!$G$6=0,0,INDEX('Your Debts'!$C$5:$C$12,'Your Debts'!$G$6)/12)),2)</f>
        <v/>
      </c>
      <c r="K182" s="28">
        <f>MIN((M181)+J182,IF('Your Debts'!$G$6=0,0,INDEX('Your Debts'!$D$5:$D$12,'Your Debts'!$G$6)))</f>
        <v/>
      </c>
      <c r="L182" s="28">
        <f>K182+MIN((M181)+J182-K182,MAX(0,$E182-((H182-G182))))</f>
        <v/>
      </c>
      <c r="M182" s="28">
        <f>ROUND(MAX(0,(M181)+J182-L182),2)</f>
        <v/>
      </c>
      <c r="N182" s="28">
        <f>ROUND((Q181)*(IF('Your Debts'!$G$7=0,0,INDEX('Your Debts'!$C$5:$C$12,'Your Debts'!$G$7)/12)),2)</f>
        <v/>
      </c>
      <c r="O182" s="28">
        <f>MIN((Q181)+N182,IF('Your Debts'!$G$7=0,0,INDEX('Your Debts'!$D$5:$D$12,'Your Debts'!$G$7)))</f>
        <v/>
      </c>
      <c r="P182" s="28">
        <f>O182+MIN((Q181)+N182-O182,MAX(0,$E182-((H182-G182)+(L182-K182))))</f>
        <v/>
      </c>
      <c r="Q182" s="28">
        <f>ROUND(MAX(0,(Q181)+N182-P182),2)</f>
        <v/>
      </c>
      <c r="R182" s="28">
        <f>ROUND((U181)*(IF('Your Debts'!$G$8=0,0,INDEX('Your Debts'!$C$5:$C$12,'Your Debts'!$G$8)/12)),2)</f>
        <v/>
      </c>
      <c r="S182" s="28">
        <f>MIN((U181)+R182,IF('Your Debts'!$G$8=0,0,INDEX('Your Debts'!$D$5:$D$12,'Your Debts'!$G$8)))</f>
        <v/>
      </c>
      <c r="T182" s="28">
        <f>S182+MIN((U181)+R182-S182,MAX(0,$E182-((H182-G182)+(L182-K182)+(P182-O182))))</f>
        <v/>
      </c>
      <c r="U182" s="28">
        <f>ROUND(MAX(0,(U181)+R182-T182),2)</f>
        <v/>
      </c>
      <c r="V182" s="28">
        <f>ROUND((Y181)*(IF('Your Debts'!$G$9=0,0,INDEX('Your Debts'!$C$5:$C$12,'Your Debts'!$G$9)/12)),2)</f>
        <v/>
      </c>
      <c r="W182" s="28">
        <f>MIN((Y181)+V182,IF('Your Debts'!$G$9=0,0,INDEX('Your Debts'!$D$5:$D$12,'Your Debts'!$G$9)))</f>
        <v/>
      </c>
      <c r="X182" s="28">
        <f>W182+MIN((Y181)+V182-W182,MAX(0,$E182-((H182-G182)+(L182-K182)+(P182-O182)+(T182-S182))))</f>
        <v/>
      </c>
      <c r="Y182" s="28">
        <f>ROUND(MAX(0,(Y181)+V182-X182),2)</f>
        <v/>
      </c>
      <c r="Z182" s="28">
        <f>ROUND((AC181)*(IF('Your Debts'!$G$10=0,0,INDEX('Your Debts'!$C$5:$C$12,'Your Debts'!$G$10)/12)),2)</f>
        <v/>
      </c>
      <c r="AA182" s="28">
        <f>MIN((AC181)+Z182,IF('Your Debts'!$G$10=0,0,INDEX('Your Debts'!$D$5:$D$12,'Your Debts'!$G$10)))</f>
        <v/>
      </c>
      <c r="AB182" s="28">
        <f>AA182+MIN((AC181)+Z182-AA182,MAX(0,$E182-((H182-G182)+(L182-K182)+(P182-O182)+(T182-S182)+(X182-W182))))</f>
        <v/>
      </c>
      <c r="AC182" s="28">
        <f>ROUND(MAX(0,(AC181)+Z182-AB182),2)</f>
        <v/>
      </c>
      <c r="AD182" s="28">
        <f>ROUND((AG181)*(IF('Your Debts'!$G$11=0,0,INDEX('Your Debts'!$C$5:$C$12,'Your Debts'!$G$11)/12)),2)</f>
        <v/>
      </c>
      <c r="AE182" s="28">
        <f>MIN((AG181)+AD182,IF('Your Debts'!$G$11=0,0,INDEX('Your Debts'!$D$5:$D$12,'Your Debts'!$G$11)))</f>
        <v/>
      </c>
      <c r="AF182" s="28">
        <f>AE182+MIN((AG181)+AD182-AE182,MAX(0,$E182-((H182-G182)+(L182-K182)+(P182-O182)+(T182-S182)+(X182-W182)+(AB182-AA182))))</f>
        <v/>
      </c>
      <c r="AG182" s="28">
        <f>ROUND(MAX(0,(AG181)+AD182-AF182),2)</f>
        <v/>
      </c>
      <c r="AH182" s="28">
        <f>ROUND((AK181)*(IF('Your Debts'!$G$12=0,0,INDEX('Your Debts'!$C$5:$C$12,'Your Debts'!$G$12)/12)),2)</f>
        <v/>
      </c>
      <c r="AI182" s="28">
        <f>MIN((AK181)+AH182,IF('Your Debts'!$G$12=0,0,INDEX('Your Debts'!$D$5:$D$12,'Your Debts'!$G$12)))</f>
        <v/>
      </c>
      <c r="AJ182" s="28">
        <f>AI182+MIN((AK181)+AH182-AI182,MAX(0,$E182-((H182-G182)+(L182-K182)+(P182-O182)+(T182-S182)+(X182-W182)+(AB182-AA182)+(AF182-AE182))))</f>
        <v/>
      </c>
      <c r="AK182" s="28">
        <f>ROUND(MAX(0,(AK181)+AH182-AJ182),2)</f>
        <v/>
      </c>
      <c r="AL182" s="18">
        <f>I182+M182+Q182+U182+Y182+AC182+AG182+AK182</f>
        <v/>
      </c>
      <c r="AM182" s="27">
        <f>AM181+F182+J182+N182+R182+V182+Z182+AD182+AH182</f>
        <v/>
      </c>
    </row>
    <row r="183">
      <c r="A183" s="25" t="n">
        <v>178</v>
      </c>
      <c r="B183" s="26">
        <f>EDATE('Your Debts'!$B$19,177)</f>
        <v/>
      </c>
      <c r="C183" s="27">
        <f>'Your Debts'!$B$18</f>
        <v/>
      </c>
      <c r="D183" s="27">
        <f>G183+K183+O183+S183+W183+AA183+AE183+AI183</f>
        <v/>
      </c>
      <c r="E183" s="27">
        <f>MAX(0,C183-D183)</f>
        <v/>
      </c>
      <c r="F183" s="28">
        <f>ROUND((I182)*(IF('Your Debts'!$G$5=0,0,INDEX('Your Debts'!$C$5:$C$12,'Your Debts'!$G$5)/12)),2)</f>
        <v/>
      </c>
      <c r="G183" s="28">
        <f>MIN((I182)+F183,IF('Your Debts'!$G$5=0,0,INDEX('Your Debts'!$D$5:$D$12,'Your Debts'!$G$5)))</f>
        <v/>
      </c>
      <c r="H183" s="28">
        <f>G183+MIN((I182)+F183-G183,MAX(0,$E183-(0)))</f>
        <v/>
      </c>
      <c r="I183" s="28">
        <f>ROUND(MAX(0,(I182)+F183-H183),2)</f>
        <v/>
      </c>
      <c r="J183" s="28">
        <f>ROUND((M182)*(IF('Your Debts'!$G$6=0,0,INDEX('Your Debts'!$C$5:$C$12,'Your Debts'!$G$6)/12)),2)</f>
        <v/>
      </c>
      <c r="K183" s="28">
        <f>MIN((M182)+J183,IF('Your Debts'!$G$6=0,0,INDEX('Your Debts'!$D$5:$D$12,'Your Debts'!$G$6)))</f>
        <v/>
      </c>
      <c r="L183" s="28">
        <f>K183+MIN((M182)+J183-K183,MAX(0,$E183-((H183-G183))))</f>
        <v/>
      </c>
      <c r="M183" s="28">
        <f>ROUND(MAX(0,(M182)+J183-L183),2)</f>
        <v/>
      </c>
      <c r="N183" s="28">
        <f>ROUND((Q182)*(IF('Your Debts'!$G$7=0,0,INDEX('Your Debts'!$C$5:$C$12,'Your Debts'!$G$7)/12)),2)</f>
        <v/>
      </c>
      <c r="O183" s="28">
        <f>MIN((Q182)+N183,IF('Your Debts'!$G$7=0,0,INDEX('Your Debts'!$D$5:$D$12,'Your Debts'!$G$7)))</f>
        <v/>
      </c>
      <c r="P183" s="28">
        <f>O183+MIN((Q182)+N183-O183,MAX(0,$E183-((H183-G183)+(L183-K183))))</f>
        <v/>
      </c>
      <c r="Q183" s="28">
        <f>ROUND(MAX(0,(Q182)+N183-P183),2)</f>
        <v/>
      </c>
      <c r="R183" s="28">
        <f>ROUND((U182)*(IF('Your Debts'!$G$8=0,0,INDEX('Your Debts'!$C$5:$C$12,'Your Debts'!$G$8)/12)),2)</f>
        <v/>
      </c>
      <c r="S183" s="28">
        <f>MIN((U182)+R183,IF('Your Debts'!$G$8=0,0,INDEX('Your Debts'!$D$5:$D$12,'Your Debts'!$G$8)))</f>
        <v/>
      </c>
      <c r="T183" s="28">
        <f>S183+MIN((U182)+R183-S183,MAX(0,$E183-((H183-G183)+(L183-K183)+(P183-O183))))</f>
        <v/>
      </c>
      <c r="U183" s="28">
        <f>ROUND(MAX(0,(U182)+R183-T183),2)</f>
        <v/>
      </c>
      <c r="V183" s="28">
        <f>ROUND((Y182)*(IF('Your Debts'!$G$9=0,0,INDEX('Your Debts'!$C$5:$C$12,'Your Debts'!$G$9)/12)),2)</f>
        <v/>
      </c>
      <c r="W183" s="28">
        <f>MIN((Y182)+V183,IF('Your Debts'!$G$9=0,0,INDEX('Your Debts'!$D$5:$D$12,'Your Debts'!$G$9)))</f>
        <v/>
      </c>
      <c r="X183" s="28">
        <f>W183+MIN((Y182)+V183-W183,MAX(0,$E183-((H183-G183)+(L183-K183)+(P183-O183)+(T183-S183))))</f>
        <v/>
      </c>
      <c r="Y183" s="28">
        <f>ROUND(MAX(0,(Y182)+V183-X183),2)</f>
        <v/>
      </c>
      <c r="Z183" s="28">
        <f>ROUND((AC182)*(IF('Your Debts'!$G$10=0,0,INDEX('Your Debts'!$C$5:$C$12,'Your Debts'!$G$10)/12)),2)</f>
        <v/>
      </c>
      <c r="AA183" s="28">
        <f>MIN((AC182)+Z183,IF('Your Debts'!$G$10=0,0,INDEX('Your Debts'!$D$5:$D$12,'Your Debts'!$G$10)))</f>
        <v/>
      </c>
      <c r="AB183" s="28">
        <f>AA183+MIN((AC182)+Z183-AA183,MAX(0,$E183-((H183-G183)+(L183-K183)+(P183-O183)+(T183-S183)+(X183-W183))))</f>
        <v/>
      </c>
      <c r="AC183" s="28">
        <f>ROUND(MAX(0,(AC182)+Z183-AB183),2)</f>
        <v/>
      </c>
      <c r="AD183" s="28">
        <f>ROUND((AG182)*(IF('Your Debts'!$G$11=0,0,INDEX('Your Debts'!$C$5:$C$12,'Your Debts'!$G$11)/12)),2)</f>
        <v/>
      </c>
      <c r="AE183" s="28">
        <f>MIN((AG182)+AD183,IF('Your Debts'!$G$11=0,0,INDEX('Your Debts'!$D$5:$D$12,'Your Debts'!$G$11)))</f>
        <v/>
      </c>
      <c r="AF183" s="28">
        <f>AE183+MIN((AG182)+AD183-AE183,MAX(0,$E183-((H183-G183)+(L183-K183)+(P183-O183)+(T183-S183)+(X183-W183)+(AB183-AA183))))</f>
        <v/>
      </c>
      <c r="AG183" s="28">
        <f>ROUND(MAX(0,(AG182)+AD183-AF183),2)</f>
        <v/>
      </c>
      <c r="AH183" s="28">
        <f>ROUND((AK182)*(IF('Your Debts'!$G$12=0,0,INDEX('Your Debts'!$C$5:$C$12,'Your Debts'!$G$12)/12)),2)</f>
        <v/>
      </c>
      <c r="AI183" s="28">
        <f>MIN((AK182)+AH183,IF('Your Debts'!$G$12=0,0,INDEX('Your Debts'!$D$5:$D$12,'Your Debts'!$G$12)))</f>
        <v/>
      </c>
      <c r="AJ183" s="28">
        <f>AI183+MIN((AK182)+AH183-AI183,MAX(0,$E183-((H183-G183)+(L183-K183)+(P183-O183)+(T183-S183)+(X183-W183)+(AB183-AA183)+(AF183-AE183))))</f>
        <v/>
      </c>
      <c r="AK183" s="28">
        <f>ROUND(MAX(0,(AK182)+AH183-AJ183),2)</f>
        <v/>
      </c>
      <c r="AL183" s="18">
        <f>I183+M183+Q183+U183+Y183+AC183+AG183+AK183</f>
        <v/>
      </c>
      <c r="AM183" s="27">
        <f>AM182+F183+J183+N183+R183+V183+Z183+AD183+AH183</f>
        <v/>
      </c>
    </row>
    <row r="184">
      <c r="A184" s="25" t="n">
        <v>179</v>
      </c>
      <c r="B184" s="26">
        <f>EDATE('Your Debts'!$B$19,178)</f>
        <v/>
      </c>
      <c r="C184" s="27">
        <f>'Your Debts'!$B$18</f>
        <v/>
      </c>
      <c r="D184" s="27">
        <f>G184+K184+O184+S184+W184+AA184+AE184+AI184</f>
        <v/>
      </c>
      <c r="E184" s="27">
        <f>MAX(0,C184-D184)</f>
        <v/>
      </c>
      <c r="F184" s="28">
        <f>ROUND((I183)*(IF('Your Debts'!$G$5=0,0,INDEX('Your Debts'!$C$5:$C$12,'Your Debts'!$G$5)/12)),2)</f>
        <v/>
      </c>
      <c r="G184" s="28">
        <f>MIN((I183)+F184,IF('Your Debts'!$G$5=0,0,INDEX('Your Debts'!$D$5:$D$12,'Your Debts'!$G$5)))</f>
        <v/>
      </c>
      <c r="H184" s="28">
        <f>G184+MIN((I183)+F184-G184,MAX(0,$E184-(0)))</f>
        <v/>
      </c>
      <c r="I184" s="28">
        <f>ROUND(MAX(0,(I183)+F184-H184),2)</f>
        <v/>
      </c>
      <c r="J184" s="28">
        <f>ROUND((M183)*(IF('Your Debts'!$G$6=0,0,INDEX('Your Debts'!$C$5:$C$12,'Your Debts'!$G$6)/12)),2)</f>
        <v/>
      </c>
      <c r="K184" s="28">
        <f>MIN((M183)+J184,IF('Your Debts'!$G$6=0,0,INDEX('Your Debts'!$D$5:$D$12,'Your Debts'!$G$6)))</f>
        <v/>
      </c>
      <c r="L184" s="28">
        <f>K184+MIN((M183)+J184-K184,MAX(0,$E184-((H184-G184))))</f>
        <v/>
      </c>
      <c r="M184" s="28">
        <f>ROUND(MAX(0,(M183)+J184-L184),2)</f>
        <v/>
      </c>
      <c r="N184" s="28">
        <f>ROUND((Q183)*(IF('Your Debts'!$G$7=0,0,INDEX('Your Debts'!$C$5:$C$12,'Your Debts'!$G$7)/12)),2)</f>
        <v/>
      </c>
      <c r="O184" s="28">
        <f>MIN((Q183)+N184,IF('Your Debts'!$G$7=0,0,INDEX('Your Debts'!$D$5:$D$12,'Your Debts'!$G$7)))</f>
        <v/>
      </c>
      <c r="P184" s="28">
        <f>O184+MIN((Q183)+N184-O184,MAX(0,$E184-((H184-G184)+(L184-K184))))</f>
        <v/>
      </c>
      <c r="Q184" s="28">
        <f>ROUND(MAX(0,(Q183)+N184-P184),2)</f>
        <v/>
      </c>
      <c r="R184" s="28">
        <f>ROUND((U183)*(IF('Your Debts'!$G$8=0,0,INDEX('Your Debts'!$C$5:$C$12,'Your Debts'!$G$8)/12)),2)</f>
        <v/>
      </c>
      <c r="S184" s="28">
        <f>MIN((U183)+R184,IF('Your Debts'!$G$8=0,0,INDEX('Your Debts'!$D$5:$D$12,'Your Debts'!$G$8)))</f>
        <v/>
      </c>
      <c r="T184" s="28">
        <f>S184+MIN((U183)+R184-S184,MAX(0,$E184-((H184-G184)+(L184-K184)+(P184-O184))))</f>
        <v/>
      </c>
      <c r="U184" s="28">
        <f>ROUND(MAX(0,(U183)+R184-T184),2)</f>
        <v/>
      </c>
      <c r="V184" s="28">
        <f>ROUND((Y183)*(IF('Your Debts'!$G$9=0,0,INDEX('Your Debts'!$C$5:$C$12,'Your Debts'!$G$9)/12)),2)</f>
        <v/>
      </c>
      <c r="W184" s="28">
        <f>MIN((Y183)+V184,IF('Your Debts'!$G$9=0,0,INDEX('Your Debts'!$D$5:$D$12,'Your Debts'!$G$9)))</f>
        <v/>
      </c>
      <c r="X184" s="28">
        <f>W184+MIN((Y183)+V184-W184,MAX(0,$E184-((H184-G184)+(L184-K184)+(P184-O184)+(T184-S184))))</f>
        <v/>
      </c>
      <c r="Y184" s="28">
        <f>ROUND(MAX(0,(Y183)+V184-X184),2)</f>
        <v/>
      </c>
      <c r="Z184" s="28">
        <f>ROUND((AC183)*(IF('Your Debts'!$G$10=0,0,INDEX('Your Debts'!$C$5:$C$12,'Your Debts'!$G$10)/12)),2)</f>
        <v/>
      </c>
      <c r="AA184" s="28">
        <f>MIN((AC183)+Z184,IF('Your Debts'!$G$10=0,0,INDEX('Your Debts'!$D$5:$D$12,'Your Debts'!$G$10)))</f>
        <v/>
      </c>
      <c r="AB184" s="28">
        <f>AA184+MIN((AC183)+Z184-AA184,MAX(0,$E184-((H184-G184)+(L184-K184)+(P184-O184)+(T184-S184)+(X184-W184))))</f>
        <v/>
      </c>
      <c r="AC184" s="28">
        <f>ROUND(MAX(0,(AC183)+Z184-AB184),2)</f>
        <v/>
      </c>
      <c r="AD184" s="28">
        <f>ROUND((AG183)*(IF('Your Debts'!$G$11=0,0,INDEX('Your Debts'!$C$5:$C$12,'Your Debts'!$G$11)/12)),2)</f>
        <v/>
      </c>
      <c r="AE184" s="28">
        <f>MIN((AG183)+AD184,IF('Your Debts'!$G$11=0,0,INDEX('Your Debts'!$D$5:$D$12,'Your Debts'!$G$11)))</f>
        <v/>
      </c>
      <c r="AF184" s="28">
        <f>AE184+MIN((AG183)+AD184-AE184,MAX(0,$E184-((H184-G184)+(L184-K184)+(P184-O184)+(T184-S184)+(X184-W184)+(AB184-AA184))))</f>
        <v/>
      </c>
      <c r="AG184" s="28">
        <f>ROUND(MAX(0,(AG183)+AD184-AF184),2)</f>
        <v/>
      </c>
      <c r="AH184" s="28">
        <f>ROUND((AK183)*(IF('Your Debts'!$G$12=0,0,INDEX('Your Debts'!$C$5:$C$12,'Your Debts'!$G$12)/12)),2)</f>
        <v/>
      </c>
      <c r="AI184" s="28">
        <f>MIN((AK183)+AH184,IF('Your Debts'!$G$12=0,0,INDEX('Your Debts'!$D$5:$D$12,'Your Debts'!$G$12)))</f>
        <v/>
      </c>
      <c r="AJ184" s="28">
        <f>AI184+MIN((AK183)+AH184-AI184,MAX(0,$E184-((H184-G184)+(L184-K184)+(P184-O184)+(T184-S184)+(X184-W184)+(AB184-AA184)+(AF184-AE184))))</f>
        <v/>
      </c>
      <c r="AK184" s="28">
        <f>ROUND(MAX(0,(AK183)+AH184-AJ184),2)</f>
        <v/>
      </c>
      <c r="AL184" s="18">
        <f>I184+M184+Q184+U184+Y184+AC184+AG184+AK184</f>
        <v/>
      </c>
      <c r="AM184" s="27">
        <f>AM183+F184+J184+N184+R184+V184+Z184+AD184+AH184</f>
        <v/>
      </c>
    </row>
    <row r="185">
      <c r="A185" s="25" t="n">
        <v>180</v>
      </c>
      <c r="B185" s="26">
        <f>EDATE('Your Debts'!$B$19,179)</f>
        <v/>
      </c>
      <c r="C185" s="27">
        <f>'Your Debts'!$B$18</f>
        <v/>
      </c>
      <c r="D185" s="27">
        <f>G185+K185+O185+S185+W185+AA185+AE185+AI185</f>
        <v/>
      </c>
      <c r="E185" s="27">
        <f>MAX(0,C185-D185)</f>
        <v/>
      </c>
      <c r="F185" s="28">
        <f>ROUND((I184)*(IF('Your Debts'!$G$5=0,0,INDEX('Your Debts'!$C$5:$C$12,'Your Debts'!$G$5)/12)),2)</f>
        <v/>
      </c>
      <c r="G185" s="28">
        <f>MIN((I184)+F185,IF('Your Debts'!$G$5=0,0,INDEX('Your Debts'!$D$5:$D$12,'Your Debts'!$G$5)))</f>
        <v/>
      </c>
      <c r="H185" s="28">
        <f>G185+MIN((I184)+F185-G185,MAX(0,$E185-(0)))</f>
        <v/>
      </c>
      <c r="I185" s="28">
        <f>ROUND(MAX(0,(I184)+F185-H185),2)</f>
        <v/>
      </c>
      <c r="J185" s="28">
        <f>ROUND((M184)*(IF('Your Debts'!$G$6=0,0,INDEX('Your Debts'!$C$5:$C$12,'Your Debts'!$G$6)/12)),2)</f>
        <v/>
      </c>
      <c r="K185" s="28">
        <f>MIN((M184)+J185,IF('Your Debts'!$G$6=0,0,INDEX('Your Debts'!$D$5:$D$12,'Your Debts'!$G$6)))</f>
        <v/>
      </c>
      <c r="L185" s="28">
        <f>K185+MIN((M184)+J185-K185,MAX(0,$E185-((H185-G185))))</f>
        <v/>
      </c>
      <c r="M185" s="28">
        <f>ROUND(MAX(0,(M184)+J185-L185),2)</f>
        <v/>
      </c>
      <c r="N185" s="28">
        <f>ROUND((Q184)*(IF('Your Debts'!$G$7=0,0,INDEX('Your Debts'!$C$5:$C$12,'Your Debts'!$G$7)/12)),2)</f>
        <v/>
      </c>
      <c r="O185" s="28">
        <f>MIN((Q184)+N185,IF('Your Debts'!$G$7=0,0,INDEX('Your Debts'!$D$5:$D$12,'Your Debts'!$G$7)))</f>
        <v/>
      </c>
      <c r="P185" s="28">
        <f>O185+MIN((Q184)+N185-O185,MAX(0,$E185-((H185-G185)+(L185-K185))))</f>
        <v/>
      </c>
      <c r="Q185" s="28">
        <f>ROUND(MAX(0,(Q184)+N185-P185),2)</f>
        <v/>
      </c>
      <c r="R185" s="28">
        <f>ROUND((U184)*(IF('Your Debts'!$G$8=0,0,INDEX('Your Debts'!$C$5:$C$12,'Your Debts'!$G$8)/12)),2)</f>
        <v/>
      </c>
      <c r="S185" s="28">
        <f>MIN((U184)+R185,IF('Your Debts'!$G$8=0,0,INDEX('Your Debts'!$D$5:$D$12,'Your Debts'!$G$8)))</f>
        <v/>
      </c>
      <c r="T185" s="28">
        <f>S185+MIN((U184)+R185-S185,MAX(0,$E185-((H185-G185)+(L185-K185)+(P185-O185))))</f>
        <v/>
      </c>
      <c r="U185" s="28">
        <f>ROUND(MAX(0,(U184)+R185-T185),2)</f>
        <v/>
      </c>
      <c r="V185" s="28">
        <f>ROUND((Y184)*(IF('Your Debts'!$G$9=0,0,INDEX('Your Debts'!$C$5:$C$12,'Your Debts'!$G$9)/12)),2)</f>
        <v/>
      </c>
      <c r="W185" s="28">
        <f>MIN((Y184)+V185,IF('Your Debts'!$G$9=0,0,INDEX('Your Debts'!$D$5:$D$12,'Your Debts'!$G$9)))</f>
        <v/>
      </c>
      <c r="X185" s="28">
        <f>W185+MIN((Y184)+V185-W185,MAX(0,$E185-((H185-G185)+(L185-K185)+(P185-O185)+(T185-S185))))</f>
        <v/>
      </c>
      <c r="Y185" s="28">
        <f>ROUND(MAX(0,(Y184)+V185-X185),2)</f>
        <v/>
      </c>
      <c r="Z185" s="28">
        <f>ROUND((AC184)*(IF('Your Debts'!$G$10=0,0,INDEX('Your Debts'!$C$5:$C$12,'Your Debts'!$G$10)/12)),2)</f>
        <v/>
      </c>
      <c r="AA185" s="28">
        <f>MIN((AC184)+Z185,IF('Your Debts'!$G$10=0,0,INDEX('Your Debts'!$D$5:$D$12,'Your Debts'!$G$10)))</f>
        <v/>
      </c>
      <c r="AB185" s="28">
        <f>AA185+MIN((AC184)+Z185-AA185,MAX(0,$E185-((H185-G185)+(L185-K185)+(P185-O185)+(T185-S185)+(X185-W185))))</f>
        <v/>
      </c>
      <c r="AC185" s="28">
        <f>ROUND(MAX(0,(AC184)+Z185-AB185),2)</f>
        <v/>
      </c>
      <c r="AD185" s="28">
        <f>ROUND((AG184)*(IF('Your Debts'!$G$11=0,0,INDEX('Your Debts'!$C$5:$C$12,'Your Debts'!$G$11)/12)),2)</f>
        <v/>
      </c>
      <c r="AE185" s="28">
        <f>MIN((AG184)+AD185,IF('Your Debts'!$G$11=0,0,INDEX('Your Debts'!$D$5:$D$12,'Your Debts'!$G$11)))</f>
        <v/>
      </c>
      <c r="AF185" s="28">
        <f>AE185+MIN((AG184)+AD185-AE185,MAX(0,$E185-((H185-G185)+(L185-K185)+(P185-O185)+(T185-S185)+(X185-W185)+(AB185-AA185))))</f>
        <v/>
      </c>
      <c r="AG185" s="28">
        <f>ROUND(MAX(0,(AG184)+AD185-AF185),2)</f>
        <v/>
      </c>
      <c r="AH185" s="28">
        <f>ROUND((AK184)*(IF('Your Debts'!$G$12=0,0,INDEX('Your Debts'!$C$5:$C$12,'Your Debts'!$G$12)/12)),2)</f>
        <v/>
      </c>
      <c r="AI185" s="28">
        <f>MIN((AK184)+AH185,IF('Your Debts'!$G$12=0,0,INDEX('Your Debts'!$D$5:$D$12,'Your Debts'!$G$12)))</f>
        <v/>
      </c>
      <c r="AJ185" s="28">
        <f>AI185+MIN((AK184)+AH185-AI185,MAX(0,$E185-((H185-G185)+(L185-K185)+(P185-O185)+(T185-S185)+(X185-W185)+(AB185-AA185)+(AF185-AE185))))</f>
        <v/>
      </c>
      <c r="AK185" s="28">
        <f>ROUND(MAX(0,(AK184)+AH185-AJ185),2)</f>
        <v/>
      </c>
      <c r="AL185" s="18">
        <f>I185+M185+Q185+U185+Y185+AC185+AG185+AK185</f>
        <v/>
      </c>
      <c r="AM185" s="27">
        <f>AM184+F185+J185+N185+R185+V185+Z185+AD185+AH185</f>
        <v/>
      </c>
    </row>
    <row r="187">
      <c r="A187" s="21" t="inlineStr">
        <is>
          <t>Minimums due shrink as debts clear, so the spare column grows on its own — that is the snowball rolling forward.</t>
        </is>
      </c>
    </row>
  </sheetData>
  <mergeCells count="8">
    <mergeCell ref="AD4:AG4"/>
    <mergeCell ref="R4:U4"/>
    <mergeCell ref="F4:I4"/>
    <mergeCell ref="V4:Y4"/>
    <mergeCell ref="J4:M4"/>
    <mergeCell ref="Z4:AC4"/>
    <mergeCell ref="N4:Q4"/>
    <mergeCell ref="AH4:AK4"/>
  </mergeCells>
  <pageMargins left="0.75" right="0.75" top="1" bottom="1" header="0.5" footer="0.5"/>
</worksheet>
</file>

<file path=xl/worksheets/sheet4.xml><?xml version="1.0" encoding="utf-8"?>
<worksheet xmlns="http://schemas.openxmlformats.org/spreadsheetml/2006/main">
  <sheetPr>
    <tabColor rgb="0000B4A6"/>
    <outlinePr summaryBelow="1" summaryRight="1"/>
    <pageSetUpPr/>
  </sheetPr>
  <dimension ref="A1:F19"/>
  <sheetViews>
    <sheetView showGridLines="0" workbookViewId="0">
      <selection activeCell="A1" sqref="A1"/>
    </sheetView>
  </sheetViews>
  <sheetFormatPr baseColWidth="8" defaultRowHeight="15"/>
  <cols>
    <col width="34" customWidth="1" min="1" max="1"/>
    <col width="20" customWidth="1" min="2" max="2"/>
  </cols>
  <sheetData>
    <row r="1" ht="30" customHeight="1">
      <c r="A1" s="1" t="inlineStr">
        <is>
          <t>Summary</t>
        </is>
      </c>
      <c r="B1" s="2" t="n"/>
      <c r="C1" s="2" t="n"/>
      <c r="D1" s="2" t="n"/>
      <c r="E1" s="2" t="n"/>
      <c r="F1" s="2" t="n"/>
    </row>
    <row r="2" ht="18" customHeight="1">
      <c r="A2" s="3" t="inlineStr">
        <is>
          <t>The two numbers that matter: when you are free, and what it cost.</t>
        </is>
      </c>
      <c r="B2" s="2" t="n"/>
      <c r="C2" s="2" t="n"/>
      <c r="D2" s="2" t="n"/>
      <c r="E2" s="2" t="n"/>
      <c r="F2" s="2" t="n"/>
    </row>
    <row r="4" ht="20" customHeight="1">
      <c r="A4" s="19" t="inlineStr">
        <is>
          <t>YOUR RESULT</t>
        </is>
      </c>
      <c r="B4" s="20" t="n"/>
      <c r="C4" s="20" t="n"/>
      <c r="D4" s="20" t="n"/>
      <c r="E4" s="20" t="n"/>
      <c r="F4" s="20" t="n"/>
    </row>
    <row r="6">
      <c r="A6" s="17" t="inlineStr">
        <is>
          <t>Method chosen</t>
        </is>
      </c>
      <c r="B6" s="29">
        <f>'Your Debts'!B16</f>
        <v/>
      </c>
    </row>
    <row r="7">
      <c r="A7" s="17" t="inlineStr">
        <is>
          <t>Total debt today</t>
        </is>
      </c>
      <c r="B7" s="18">
        <f>'Your Debts'!B13</f>
        <v/>
      </c>
    </row>
    <row r="8">
      <c r="A8" s="17" t="inlineStr">
        <is>
          <t>Monthly budget</t>
        </is>
      </c>
      <c r="B8" s="18">
        <f>'Your Debts'!$B$18</f>
        <v/>
      </c>
    </row>
    <row r="9">
      <c r="A9" s="17" t="inlineStr">
        <is>
          <t>Months to debt-free</t>
        </is>
      </c>
      <c r="B9" s="30">
        <f>IF(COUNTIF('Payoff Plan'!$AL$6:$AL$185,"&gt;=0.01")=180,"Not paid off in 15 yrs",COUNTIF('Payoff Plan'!$AL$6:$AL$185,"&gt;=0.01"))</f>
        <v/>
      </c>
    </row>
    <row r="10">
      <c r="A10" s="17" t="inlineStr">
        <is>
          <t>Years to debt-free</t>
        </is>
      </c>
      <c r="B10" s="31">
        <f>IF(ISNUMBER(B9),B9/12,"—")</f>
        <v/>
      </c>
    </row>
    <row r="11">
      <c r="A11" s="17" t="inlineStr">
        <is>
          <t>Debt-free date</t>
        </is>
      </c>
      <c r="B11" s="32">
        <f>IF(ISNUMBER(B9),EDATE('Your Debts'!$B$19,B9-1),"—")</f>
        <v/>
      </c>
    </row>
    <row r="12">
      <c r="A12" s="17" t="inlineStr">
        <is>
          <t>Total interest you will pay</t>
        </is>
      </c>
      <c r="B12" s="18">
        <f>INDEX('Payoff Plan'!$AM$6:$AM$185,IF(ISNUMBER(B9),B9,180))</f>
        <v/>
      </c>
    </row>
    <row r="13">
      <c r="A13" s="17" t="inlineStr">
        <is>
          <t>Total you will repay</t>
        </is>
      </c>
      <c r="B13" s="18">
        <f>B7+B12</f>
        <v/>
      </c>
    </row>
    <row r="15" ht="20" customHeight="1">
      <c r="A15" s="19" t="inlineStr">
        <is>
          <t>HOW TO USE THIS</t>
        </is>
      </c>
      <c r="B15" s="20" t="n"/>
      <c r="C15" s="20" t="n"/>
      <c r="D15" s="20" t="n"/>
      <c r="E15" s="20" t="n"/>
      <c r="F15" s="20" t="n"/>
    </row>
    <row r="16" ht="30" customHeight="1">
      <c r="A16" s="33" t="inlineStr">
        <is>
          <t>•  Change the extra payment on Your Debts and watch the debt-free date move. That is the whole exercise.</t>
        </is>
      </c>
    </row>
    <row r="17" ht="30" customHeight="1">
      <c r="A17" s="33" t="inlineStr">
        <is>
          <t>•  Switch between Snowball and Avalanche to see the trade-off: Snowball clears accounts sooner and keeps you motivated; Avalanche costs less interest.</t>
        </is>
      </c>
    </row>
    <row r="18" ht="30" customHeight="1">
      <c r="A18" s="33" t="inlineStr">
        <is>
          <t>•  Every time a debt hits zero, its payment rolls onto the next one automatically. Do not lower your budget when that happens — that is where the speed comes from.</t>
        </is>
      </c>
    </row>
    <row r="19" ht="30" customHeight="1">
      <c r="A19" s="33" t="inlineStr">
        <is>
          <t>•  If the months-to-debt-free cell says not paid off, your budget is too close to the interest charge. Raise the extra payment or look at consolidating.</t>
        </is>
      </c>
    </row>
  </sheetData>
  <mergeCells count="4">
    <mergeCell ref="A19:F19"/>
    <mergeCell ref="A16:F16"/>
    <mergeCell ref="A17:F17"/>
    <mergeCell ref="A18:F18"/>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2026-09-05T09:01:59Z</dcterms:created>
  <dcterms:modified xsi:type="dcterms:W3CDTF">2026-09-05T09:01:59Z</dcterms:modified>
</cp:coreProperties>
</file>