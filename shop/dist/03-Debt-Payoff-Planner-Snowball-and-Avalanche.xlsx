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Your Debts" sheetId="2" state="visible" r:id="rId2"/>
    <sheet name="Payoff Plan" sheetId="3" state="visible" r:id="rId3"/>
    <sheet name="Summary" sheetId="4" state="visible" r:id="rId4"/>
  </sheets>
  <definedNames/>
  <calcPr calcId="124519" fullCalcOnLoad="1"/>
</workbook>
</file>

<file path=xl/styles.xml><?xml version="1.0" encoding="utf-8"?>
<styleSheet xmlns="http://schemas.openxmlformats.org/spreadsheetml/2006/main">
  <numFmts count="4">
    <numFmt numFmtId="164" formatCode="$#,##0.00"/>
    <numFmt numFmtId="165" formatCode="yyyy-mm"/>
    <numFmt numFmtId="166" formatCode="mmm yyyy"/>
    <numFmt numFmtId="167" formatCode="0.0"/>
  </numFmts>
  <fonts count="13">
    <font>
      <name val="Calibri"/>
      <family val="2"/>
      <color theme="1"/>
      <sz val="11"/>
      <scheme val="minor"/>
    </font>
    <font>
      <name val="Calibri"/>
      <b val="1"/>
      <color rgb="00FFFFFF"/>
      <sz val="18"/>
    </font>
    <font>
      <name val="Calibri"/>
      <color rgb="00C9A84C"/>
      <sz val="10"/>
    </font>
    <font>
      <b val="1"/>
      <color rgb="00FFFFFF"/>
      <sz val="10"/>
    </font>
    <font>
      <b val="1"/>
      <color rgb="001A1A1A"/>
    </font>
    <font/>
    <font>
      <b val="1"/>
    </font>
    <font>
      <b val="1"/>
      <color rgb="00FFFFFF"/>
      <sz val="11"/>
    </font>
    <font>
      <i val="1"/>
      <color rgb="008A97AB"/>
      <sz val="9"/>
    </font>
    <font>
      <b val="1"/>
      <color rgb="000D1F3C"/>
    </font>
    <font>
      <b val="1"/>
      <color rgb="000D1F3C"/>
      <sz val="12"/>
    </font>
    <font>
      <color rgb="008A97AB"/>
      <sz val="9"/>
    </font>
    <font>
      <b val="1"/>
      <color rgb="000D1F3C"/>
      <sz val="10"/>
    </font>
  </fonts>
  <fills count="7">
    <fill>
      <patternFill/>
    </fill>
    <fill>
      <patternFill patternType="gray125"/>
    </fill>
    <fill>
      <patternFill patternType="solid">
        <fgColor rgb="000A1628"/>
      </patternFill>
    </fill>
    <fill>
      <patternFill patternType="solid">
        <fgColor rgb="0000B4A6"/>
      </patternFill>
    </fill>
    <fill>
      <patternFill patternType="solid">
        <fgColor rgb="00FFF7DC"/>
      </patternFill>
    </fill>
    <fill>
      <patternFill patternType="solid">
        <fgColor rgb="00EDF1F6"/>
      </patternFill>
    </fill>
    <fill>
      <patternFill patternType="solid">
        <fgColor rgb="000D1F3C"/>
      </patternFill>
    </fill>
  </fills>
  <borders count="2">
    <border>
      <left/>
      <right/>
      <top/>
      <bottom/>
      <diagonal/>
    </border>
    <border>
      <left style="thin">
        <color rgb="00C7D0DB"/>
      </left>
      <right style="thin">
        <color rgb="00C7D0DB"/>
      </right>
      <top style="thin">
        <color rgb="00C7D0DB"/>
      </top>
      <bottom style="thin">
        <color rgb="00C7D0DB"/>
      </bottom>
    </border>
  </borders>
  <cellStyleXfs count="1">
    <xf numFmtId="0" fontId="0" fillId="0" borderId="0"/>
  </cellStyleXfs>
  <cellXfs count="33">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10" fillId="0"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11" fillId="0" borderId="0" applyAlignment="1" pivotButton="0" quotePrefix="0" xfId="0">
      <alignment vertical="top" wrapText="1"/>
    </xf>
    <xf numFmtId="0" fontId="12" fillId="0" borderId="0" pivotButton="0" quotePrefix="0" xfId="0"/>
    <xf numFmtId="0" fontId="11" fillId="0" borderId="0" pivotButton="0" quotePrefix="0" xfId="0"/>
    <xf numFmtId="0" fontId="3" fillId="3" borderId="1" applyAlignment="1" pivotButton="0" quotePrefix="0" xfId="0">
      <alignment horizontal="center" vertical="center" wrapText="1"/>
    </xf>
    <xf numFmtId="0" fontId="4" fillId="4" borderId="1" pivotButton="0" quotePrefix="0" xfId="0"/>
    <xf numFmtId="164" fontId="4" fillId="4" borderId="1" pivotButton="0" quotePrefix="0" xfId="0"/>
    <xf numFmtId="10" fontId="4" fillId="4" borderId="1" pivotButton="0" quotePrefix="0" xfId="0"/>
    <xf numFmtId="3" fontId="5" fillId="5" borderId="1" pivotButton="0" quotePrefix="0" xfId="0"/>
    <xf numFmtId="1" fontId="5" fillId="5" borderId="1" pivotButton="0" quotePrefix="0" xfId="0"/>
    <xf numFmtId="0" fontId="6" fillId="0" borderId="0" pivotButton="0" quotePrefix="0" xfId="0"/>
    <xf numFmtId="164" fontId="6" fillId="5" borderId="1" pivotButton="0" quotePrefix="0" xfId="0"/>
    <xf numFmtId="0" fontId="7" fillId="6" borderId="0" pivotButton="0" quotePrefix="0" xfId="0"/>
    <xf numFmtId="0" fontId="0" fillId="6" borderId="0" pivotButton="0" quotePrefix="0" xfId="0"/>
    <xf numFmtId="0" fontId="8" fillId="0" borderId="0" pivotButton="0" quotePrefix="0" xfId="0"/>
    <xf numFmtId="165" fontId="4" fillId="4" borderId="1" pivotButton="0" quotePrefix="0" xfId="0"/>
    <xf numFmtId="0" fontId="9" fillId="0" borderId="0" pivotButton="0" quotePrefix="0" xfId="0"/>
    <xf numFmtId="0" fontId="0" fillId="0" borderId="1" pivotButton="0" quotePrefix="0" xfId="0"/>
    <xf numFmtId="166" fontId="5" fillId="5" borderId="1" pivotButton="0" quotePrefix="0" xfId="0"/>
    <xf numFmtId="164" fontId="5" fillId="5" borderId="1" pivotButton="0" quotePrefix="0" xfId="0"/>
    <xf numFmtId="4" fontId="5" fillId="5" borderId="1" pivotButton="0" quotePrefix="0" xfId="0"/>
    <xf numFmtId="49" fontId="6" fillId="5" borderId="1" pivotButton="0" quotePrefix="0" xfId="0"/>
    <xf numFmtId="1" fontId="6" fillId="5" borderId="1" pivotButton="0" quotePrefix="0" xfId="0"/>
    <xf numFmtId="167" fontId="6" fillId="5" borderId="1" pivotButton="0" quotePrefix="0" xfId="0"/>
    <xf numFmtId="166" fontId="6" fillId="5"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Total balance over time</a:t>
            </a:r>
          </a:p>
        </rich>
      </tx>
    </title>
    <plotArea>
      <lineChart>
        <grouping val="standard"/>
        <ser>
          <idx val="0"/>
          <order val="0"/>
          <tx>
            <strRef>
              <f>'Payoff Plan'!AB5</f>
            </strRef>
          </tx>
          <spPr>
            <a:ln>
              <a:prstDash val="solid"/>
            </a:ln>
          </spPr>
          <marker>
            <symbol val="none"/>
            <spPr>
              <a:ln>
                <a:prstDash val="solid"/>
              </a:ln>
            </spPr>
          </marker>
          <val>
            <numRef>
              <f>'Payoff Plan'!$AB$6:$AB$125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5</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A84C"/>
    <outlinePr summaryBelow="1" summaryRight="1"/>
    <pageSetUpPr/>
  </sheetPr>
  <dimension ref="A1:C25"/>
  <sheetViews>
    <sheetView showGridLines="0" workbookViewId="0">
      <selection activeCell="A1" sqref="A1"/>
    </sheetView>
  </sheetViews>
  <sheetFormatPr baseColWidth="8" defaultRowHeight="15"/>
  <cols>
    <col width="4" customWidth="1" min="1" max="1"/>
    <col width="100" customWidth="1" min="2" max="2"/>
  </cols>
  <sheetData>
    <row r="1" ht="30" customHeight="1">
      <c r="A1" s="1" t="inlineStr">
        <is>
          <t>Debt Payoff Planner — Snowball &amp; Avalanche</t>
        </is>
      </c>
      <c r="B1" s="2" t="n"/>
      <c r="C1" s="2" t="n"/>
    </row>
    <row r="2" ht="18" customHeight="1">
      <c r="A2" s="3" t="inlineStr">
        <is>
          <t>Put your debts in, pick a method, get a real payoff date.</t>
        </is>
      </c>
      <c r="B2" s="2" t="n"/>
      <c r="C2" s="2" t="n"/>
    </row>
    <row r="4">
      <c r="B4" s="4" t="inlineStr">
        <is>
          <t>WHAT'S INSIDE</t>
        </is>
      </c>
    </row>
    <row r="5">
      <c r="B5" s="5" t="inlineStr">
        <is>
          <t>•  Start Here — this page.</t>
        </is>
      </c>
    </row>
    <row r="6">
      <c r="B6" s="5" t="inlineStr">
        <is>
          <t>•  Your Debts — up to 8 debts, with automatic payoff ordering.</t>
        </is>
      </c>
    </row>
    <row r="7">
      <c r="B7" s="5" t="inlineStr">
        <is>
          <t>•  Payoff Plan — 180-month schedule with rollover payments built in.</t>
        </is>
      </c>
    </row>
    <row r="8">
      <c r="B8" s="5" t="inlineStr">
        <is>
          <t>•  Summary — debt-free date, total interest, total repaid, and a balance chart.</t>
        </is>
      </c>
    </row>
    <row r="10">
      <c r="B10" s="4" t="inlineStr">
        <is>
          <t>HOW TO USE IT</t>
        </is>
      </c>
    </row>
    <row r="11">
      <c r="B11" s="5" t="inlineStr">
        <is>
          <t>1.  List your debts on the Your Debts tab — name, balance, rate and minimum payment.</t>
        </is>
      </c>
    </row>
    <row r="12">
      <c r="B12" s="5" t="inlineStr">
        <is>
          <t>2.  Pick Snowball (smallest balance first) or Avalanche (highest rate first) from the drop-down.</t>
        </is>
      </c>
    </row>
    <row r="13">
      <c r="B13" s="5" t="inlineStr">
        <is>
          <t>3.  Enter any extra amount you can pay each month on top of the minimums.</t>
        </is>
      </c>
    </row>
    <row r="14">
      <c r="B14" s="5" t="inlineStr">
        <is>
          <t>4.  Read the Summary tab: your debt-free date and total interest.</t>
        </is>
      </c>
    </row>
    <row r="15">
      <c r="B15" s="5" t="inlineStr">
        <is>
          <t>5.  Open Payoff Plan for the month-by-month schedule you can actually follow.</t>
        </is>
      </c>
    </row>
    <row r="17">
      <c r="B17" s="4" t="inlineStr">
        <is>
          <t>COLOUR KEY</t>
        </is>
      </c>
    </row>
    <row r="18">
      <c r="B18" s="6" t="inlineStr">
        <is>
          <t>Yellow cells = you type here.</t>
        </is>
      </c>
    </row>
    <row r="19">
      <c r="B19" s="7" t="inlineStr">
        <is>
          <t>Grey cells = formulas. Do not overwrite them.</t>
        </is>
      </c>
    </row>
    <row r="21" ht="46" customHeight="1">
      <c r="B21" s="8" t="inlineStr">
        <is>
          <t>LICENSE: Single-user personal/business licence. You may use and edit this file for yourself or your own business. You may NOT resell, redistribute, share, or publish this file or any edited version of it. All rights reserved.</t>
        </is>
      </c>
    </row>
    <row r="22" ht="46" customHeight="1">
      <c r="B22" s="8" t="inlineStr">
        <is>
          <t>DISCLAIMER: This template is an educational planning tool only. It is not financial, tax, investment, or legal advice. Figures such as contribution limits and tax rates change — always confirm current numbers with the CRA or a licensed advisor before acting on any output.</t>
        </is>
      </c>
    </row>
    <row r="24">
      <c r="B24" s="9" t="inlineStr">
        <is>
          <t>Created by Kartik Joshi, MBA — Financial Analyst &amp; Banking Professional</t>
        </is>
      </c>
    </row>
    <row r="25">
      <c r="B25" s="10" t="inlineStr">
        <is>
          <t>Questions or a problem with the file? Message me through Etsy and I will help.</t>
        </is>
      </c>
    </row>
  </sheetData>
  <pageMargins left="0.75" right="0.75" top="1" bottom="1" header="0.5" footer="0.5"/>
</worksheet>
</file>

<file path=xl/worksheets/sheet2.xml><?xml version="1.0" encoding="utf-8"?>
<worksheet xmlns="http://schemas.openxmlformats.org/spreadsheetml/2006/main">
  <sheetPr>
    <tabColor rgb="0000B4A6"/>
    <outlinePr summaryBelow="1" summaryRight="1"/>
    <pageSetUpPr/>
  </sheetPr>
  <dimension ref="A1:G22"/>
  <sheetViews>
    <sheetView showGridLines="0" workbookViewId="0">
      <selection activeCell="A1" sqref="A1"/>
    </sheetView>
  </sheetViews>
  <sheetFormatPr baseColWidth="8" defaultRowHeight="15"/>
  <cols>
    <col width="26" customWidth="1" min="1" max="1"/>
    <col width="16" customWidth="1" min="2" max="2"/>
    <col width="18" customWidth="1" min="3" max="3"/>
    <col width="18" customWidth="1" min="4" max="4"/>
    <col width="12" customWidth="1" min="5" max="5"/>
    <col width="13" customWidth="1" min="6" max="6"/>
    <col width="10" customWidth="1" min="7" max="7"/>
  </cols>
  <sheetData>
    <row r="1" ht="30" customHeight="1">
      <c r="A1" s="1" t="inlineStr">
        <is>
          <t>Your Debts</t>
        </is>
      </c>
      <c r="B1" s="2" t="n"/>
      <c r="C1" s="2" t="n"/>
      <c r="D1" s="2" t="n"/>
      <c r="E1" s="2" t="n"/>
      <c r="F1" s="2" t="n"/>
      <c r="G1" s="2" t="n"/>
    </row>
    <row r="2" ht="18" customHeight="1">
      <c r="A2" s="3" t="inlineStr">
        <is>
          <t>List up to 8 debts. Order does not matter — the plan sorts them for you.</t>
        </is>
      </c>
      <c r="B2" s="2" t="n"/>
      <c r="C2" s="2" t="n"/>
      <c r="D2" s="2" t="n"/>
      <c r="E2" s="2" t="n"/>
      <c r="F2" s="2" t="n"/>
      <c r="G2" s="2" t="n"/>
    </row>
    <row r="4" ht="28" customHeight="1">
      <c r="A4" s="11" t="inlineStr">
        <is>
          <t>Debt name</t>
        </is>
      </c>
      <c r="B4" s="11" t="inlineStr">
        <is>
          <t>Balance owing</t>
        </is>
      </c>
      <c r="C4" s="11" t="inlineStr">
        <is>
          <t>Interest rate (APR)</t>
        </is>
      </c>
      <c r="D4" s="11" t="inlineStr">
        <is>
          <t>Minimum payment</t>
        </is>
      </c>
      <c r="E4" s="11" t="inlineStr">
        <is>
          <t>Sort key</t>
        </is>
      </c>
      <c r="F4" s="11" t="inlineStr">
        <is>
          <t>Payoff order</t>
        </is>
      </c>
      <c r="G4" s="11" t="inlineStr">
        <is>
          <t>Position</t>
        </is>
      </c>
    </row>
    <row r="5">
      <c r="A5" s="12" t="inlineStr">
        <is>
          <t>Visa credit card</t>
        </is>
      </c>
      <c r="B5" s="13" t="n">
        <v>6400</v>
      </c>
      <c r="C5" s="14" t="n">
        <v>0.1999</v>
      </c>
      <c r="D5" s="13" t="n">
        <v>160</v>
      </c>
      <c r="E5" s="15">
        <f>IF(OR($A5="",N($B5)&lt;=0),9999999,IF($B$16="Snowball",$B5,1000000-N($C5)*1000000))</f>
        <v/>
      </c>
      <c r="F5" s="16">
        <f>IF(E5=9999999,"—",RANK.EQ(E5,$E$5:$E$12,1)+COUNTIF($E$5:E5,E5)-1)</f>
        <v/>
      </c>
      <c r="G5" s="16">
        <f>IFERROR(MATCH(1,$F$5:$F$12,0),0)</f>
        <v/>
      </c>
    </row>
    <row r="6">
      <c r="A6" s="12" t="inlineStr">
        <is>
          <t>Store card</t>
        </is>
      </c>
      <c r="B6" s="13" t="n">
        <v>1850</v>
      </c>
      <c r="C6" s="14" t="n">
        <v>0.2799</v>
      </c>
      <c r="D6" s="13" t="n">
        <v>60</v>
      </c>
      <c r="E6" s="15">
        <f>IF(OR($A6="",N($B6)&lt;=0),9999999,IF($B$16="Snowball",$B6,1000000-N($C6)*1000000))</f>
        <v/>
      </c>
      <c r="F6" s="16">
        <f>IF(E6=9999999,"—",RANK.EQ(E6,$E$5:$E$12,1)+COUNTIF($E$5:E6,E6)-1)</f>
        <v/>
      </c>
      <c r="G6" s="16">
        <f>IFERROR(MATCH(2,$F$5:$F$12,0),0)</f>
        <v/>
      </c>
    </row>
    <row r="7">
      <c r="A7" s="12" t="inlineStr">
        <is>
          <t>Car loan</t>
        </is>
      </c>
      <c r="B7" s="13" t="n">
        <v>14200</v>
      </c>
      <c r="C7" s="14" t="n">
        <v>0.0689</v>
      </c>
      <c r="D7" s="13" t="n">
        <v>385</v>
      </c>
      <c r="E7" s="15">
        <f>IF(OR($A7="",N($B7)&lt;=0),9999999,IF($B$16="Snowball",$B7,1000000-N($C7)*1000000))</f>
        <v/>
      </c>
      <c r="F7" s="16">
        <f>IF(E7=9999999,"—",RANK.EQ(E7,$E$5:$E$12,1)+COUNTIF($E$5:E7,E7)-1)</f>
        <v/>
      </c>
      <c r="G7" s="16">
        <f>IFERROR(MATCH(3,$F$5:$F$12,0),0)</f>
        <v/>
      </c>
    </row>
    <row r="8">
      <c r="A8" s="12" t="inlineStr">
        <is>
          <t>Student loan</t>
        </is>
      </c>
      <c r="B8" s="13" t="n">
        <v>9800</v>
      </c>
      <c r="C8" s="14" t="n">
        <v>0.0545</v>
      </c>
      <c r="D8" s="13" t="n">
        <v>210</v>
      </c>
      <c r="E8" s="15">
        <f>IF(OR($A8="",N($B8)&lt;=0),9999999,IF($B$16="Snowball",$B8,1000000-N($C8)*1000000))</f>
        <v/>
      </c>
      <c r="F8" s="16">
        <f>IF(E8=9999999,"—",RANK.EQ(E8,$E$5:$E$12,1)+COUNTIF($E$5:E8,E8)-1)</f>
        <v/>
      </c>
      <c r="G8" s="16">
        <f>IFERROR(MATCH(4,$F$5:$F$12,0),0)</f>
        <v/>
      </c>
    </row>
    <row r="9">
      <c r="A9" s="12" t="inlineStr">
        <is>
          <t>Line of credit</t>
        </is>
      </c>
      <c r="B9" s="13" t="n">
        <v>5200</v>
      </c>
      <c r="C9" s="14" t="n">
        <v>0.1145</v>
      </c>
      <c r="D9" s="13" t="n">
        <v>130</v>
      </c>
      <c r="E9" s="15">
        <f>IF(OR($A9="",N($B9)&lt;=0),9999999,IF($B$16="Snowball",$B9,1000000-N($C9)*1000000))</f>
        <v/>
      </c>
      <c r="F9" s="16">
        <f>IF(E9=9999999,"—",RANK.EQ(E9,$E$5:$E$12,1)+COUNTIF($E$5:E9,E9)-1)</f>
        <v/>
      </c>
      <c r="G9" s="16">
        <f>IFERROR(MATCH(5,$F$5:$F$12,0),0)</f>
        <v/>
      </c>
    </row>
    <row r="10">
      <c r="A10" s="12" t="inlineStr"/>
      <c r="B10" s="13" t="n"/>
      <c r="C10" s="14" t="n"/>
      <c r="D10" s="13" t="n"/>
      <c r="E10" s="15">
        <f>IF(OR($A10="",N($B10)&lt;=0),9999999,IF($B$16="Snowball",$B10,1000000-N($C10)*1000000))</f>
        <v/>
      </c>
      <c r="F10" s="16">
        <f>IF(E10=9999999,"—",RANK.EQ(E10,$E$5:$E$12,1)+COUNTIF($E$5:E10,E10)-1)</f>
        <v/>
      </c>
      <c r="G10" s="16">
        <f>IFERROR(MATCH(6,$F$5:$F$12,0),0)</f>
        <v/>
      </c>
    </row>
    <row r="11">
      <c r="A11" s="12" t="inlineStr"/>
      <c r="B11" s="13" t="n"/>
      <c r="C11" s="14" t="n"/>
      <c r="D11" s="13" t="n"/>
      <c r="E11" s="15">
        <f>IF(OR($A11="",N($B11)&lt;=0),9999999,IF($B$16="Snowball",$B11,1000000-N($C11)*1000000))</f>
        <v/>
      </c>
      <c r="F11" s="16">
        <f>IF(E11=9999999,"—",RANK.EQ(E11,$E$5:$E$12,1)+COUNTIF($E$5:E11,E11)-1)</f>
        <v/>
      </c>
      <c r="G11" s="16">
        <f>IFERROR(MATCH(7,$F$5:$F$12,0),0)</f>
        <v/>
      </c>
    </row>
    <row r="12">
      <c r="A12" s="12" t="inlineStr"/>
      <c r="B12" s="13" t="n"/>
      <c r="C12" s="14" t="n"/>
      <c r="D12" s="13" t="n"/>
      <c r="E12" s="15">
        <f>IF(OR($A12="",N($B12)&lt;=0),9999999,IF($B$16="Snowball",$B12,1000000-N($C12)*1000000))</f>
        <v/>
      </c>
      <c r="F12" s="16">
        <f>IF(E12=9999999,"—",RANK.EQ(E12,$E$5:$E$12,1)+COUNTIF($E$5:E12,E12)-1)</f>
        <v/>
      </c>
      <c r="G12" s="16">
        <f>IFERROR(MATCH(8,$F$5:$F$12,0),0)</f>
        <v/>
      </c>
    </row>
    <row r="13">
      <c r="A13" s="17" t="inlineStr">
        <is>
          <t>Total owing</t>
        </is>
      </c>
      <c r="B13" s="18">
        <f>SUM(B5:B12)</f>
        <v/>
      </c>
      <c r="C13" s="17" t="inlineStr">
        <is>
          <t>Total minimums</t>
        </is>
      </c>
      <c r="D13" s="18">
        <f>SUM(D5:D12)</f>
        <v/>
      </c>
    </row>
    <row r="15" ht="20" customHeight="1">
      <c r="A15" s="19" t="inlineStr">
        <is>
          <t>YOUR PLAN</t>
        </is>
      </c>
      <c r="B15" s="20" t="n"/>
      <c r="C15" s="20" t="n"/>
      <c r="D15" s="20" t="n"/>
      <c r="E15" s="20" t="n"/>
      <c r="F15" s="20" t="n"/>
      <c r="G15" s="20" t="n"/>
    </row>
    <row r="16">
      <c r="A16" s="17" t="inlineStr">
        <is>
          <t>Method</t>
        </is>
      </c>
      <c r="B16" s="12" t="inlineStr">
        <is>
          <t>Snowball</t>
        </is>
      </c>
      <c r="C16" s="21" t="inlineStr">
        <is>
          <t>Snowball = smallest balance first (fastest wins). Avalanche = highest rate first (cheapest).</t>
        </is>
      </c>
    </row>
    <row r="17">
      <c r="A17" s="17" t="inlineStr">
        <is>
          <t>Extra payment per month</t>
        </is>
      </c>
      <c r="B17" s="13" t="n">
        <v>250</v>
      </c>
    </row>
    <row r="18">
      <c r="A18" s="17" t="inlineStr">
        <is>
          <t>Total monthly budget</t>
        </is>
      </c>
      <c r="B18" s="18">
        <f>D13+B17</f>
        <v/>
      </c>
    </row>
    <row r="19">
      <c r="A19" s="17" t="inlineStr">
        <is>
          <t>First payment month</t>
        </is>
      </c>
      <c r="B19" s="22" t="inlineStr">
        <is>
          <t>2026-01-01</t>
        </is>
      </c>
    </row>
    <row r="21">
      <c r="A21" s="21" t="inlineStr">
        <is>
          <t>Type the method exactly as Snowball or Avalanche — the drop-down keeps it clean.</t>
        </is>
      </c>
    </row>
    <row r="22">
      <c r="A22" s="21" t="inlineStr">
        <is>
          <t>Extra payment is anything you can add on top of the minimums. Try changing it and watch the payoff date move.</t>
        </is>
      </c>
    </row>
  </sheetData>
  <dataValidations count="1">
    <dataValidation sqref="B16" showDropDown="0" showInputMessage="0" showErrorMessage="0" allowBlank="0" type="list">
      <formula1>"Snowball,Avalanche"</formula1>
    </dataValidation>
  </dataValidations>
  <pageMargins left="0.75" right="0.75" top="1" bottom="1" header="0.5" footer="0.5"/>
</worksheet>
</file>

<file path=xl/worksheets/sheet3.xml><?xml version="1.0" encoding="utf-8"?>
<worksheet xmlns="http://schemas.openxmlformats.org/spreadsheetml/2006/main">
  <sheetPr>
    <tabColor rgb="0000B4A6"/>
    <outlinePr summaryBelow="1" summaryRight="1"/>
    <pageSetUpPr/>
  </sheetPr>
  <dimension ref="A1:AC18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6" customWidth="1" min="28" max="28"/>
    <col width="20" customWidth="1" min="29" max="29"/>
  </cols>
  <sheetData>
    <row r="1" ht="30" customHeight="1">
      <c r="A1" s="1" t="inlineStr">
        <is>
          <t>Payoff Plan</t>
        </is>
      </c>
      <c r="B1" s="2" t="n"/>
      <c r="C1" s="2" t="n"/>
      <c r="D1" s="2" t="n"/>
      <c r="E1" s="2" t="n"/>
      <c r="F1" s="2" t="n"/>
      <c r="G1" s="2" t="n"/>
      <c r="H1" s="2" t="n"/>
      <c r="I1" s="2" t="n"/>
      <c r="J1" s="2" t="n"/>
      <c r="K1" s="2" t="n"/>
      <c r="L1" s="2" t="n"/>
    </row>
    <row r="2" ht="18" customHeight="1">
      <c r="A2" s="3" t="inlineStr">
        <is>
          <t>Month-by-month. Freed-up minimums roll onto the next debt automatically.</t>
        </is>
      </c>
      <c r="B2" s="2" t="n"/>
      <c r="C2" s="2" t="n"/>
      <c r="D2" s="2" t="n"/>
      <c r="E2" s="2" t="n"/>
      <c r="F2" s="2" t="n"/>
      <c r="G2" s="2" t="n"/>
      <c r="H2" s="2" t="n"/>
      <c r="I2" s="2" t="n"/>
      <c r="J2" s="2" t="n"/>
      <c r="K2" s="2" t="n"/>
      <c r="L2" s="2" t="n"/>
    </row>
    <row r="4">
      <c r="A4" s="17" t="inlineStr">
        <is>
          <t>Payoff order →</t>
        </is>
      </c>
      <c r="D4" s="23">
        <f>IF('Your Debts'!$G$5=0,"—",INDEX('Your Debts'!$A$5:$A$12,'Your Debts'!$G$5))</f>
        <v/>
      </c>
      <c r="G4" s="23">
        <f>IF('Your Debts'!$G$6=0,"—",INDEX('Your Debts'!$A$5:$A$12,'Your Debts'!$G$6))</f>
        <v/>
      </c>
      <c r="J4" s="23">
        <f>IF('Your Debts'!$G$7=0,"—",INDEX('Your Debts'!$A$5:$A$12,'Your Debts'!$G$7))</f>
        <v/>
      </c>
      <c r="M4" s="23">
        <f>IF('Your Debts'!$G$8=0,"—",INDEX('Your Debts'!$A$5:$A$12,'Your Debts'!$G$8))</f>
        <v/>
      </c>
      <c r="P4" s="23">
        <f>IF('Your Debts'!$G$9=0,"—",INDEX('Your Debts'!$A$5:$A$12,'Your Debts'!$G$9))</f>
        <v/>
      </c>
      <c r="S4" s="23">
        <f>IF('Your Debts'!$G$10=0,"—",INDEX('Your Debts'!$A$5:$A$12,'Your Debts'!$G$10))</f>
        <v/>
      </c>
      <c r="V4" s="23">
        <f>IF('Your Debts'!$G$11=0,"—",INDEX('Your Debts'!$A$5:$A$12,'Your Debts'!$G$11))</f>
        <v/>
      </c>
      <c r="Y4" s="23">
        <f>IF('Your Debts'!$G$12=0,"—",INDEX('Your Debts'!$A$5:$A$12,'Your Debts'!$G$12))</f>
        <v/>
      </c>
    </row>
    <row r="5" ht="28" customHeight="1">
      <c r="A5" s="11" t="inlineStr">
        <is>
          <t>Month</t>
        </is>
      </c>
      <c r="B5" s="11" t="inlineStr">
        <is>
          <t>Date</t>
        </is>
      </c>
      <c r="C5" s="11" t="inlineStr">
        <is>
          <t>Budget</t>
        </is>
      </c>
      <c r="D5" s="11" t="inlineStr">
        <is>
          <t>Interest</t>
        </is>
      </c>
      <c r="E5" s="11" t="inlineStr">
        <is>
          <t>Payment</t>
        </is>
      </c>
      <c r="F5" s="11" t="inlineStr">
        <is>
          <t>Balance</t>
        </is>
      </c>
      <c r="G5" s="11" t="inlineStr">
        <is>
          <t>Interest</t>
        </is>
      </c>
      <c r="H5" s="11" t="inlineStr">
        <is>
          <t>Payment</t>
        </is>
      </c>
      <c r="I5" s="11" t="inlineStr">
        <is>
          <t>Balance</t>
        </is>
      </c>
      <c r="J5" s="11" t="inlineStr">
        <is>
          <t>Interest</t>
        </is>
      </c>
      <c r="K5" s="11" t="inlineStr">
        <is>
          <t>Payment</t>
        </is>
      </c>
      <c r="L5" s="11" t="inlineStr">
        <is>
          <t>Balance</t>
        </is>
      </c>
      <c r="M5" s="11" t="inlineStr">
        <is>
          <t>Interest</t>
        </is>
      </c>
      <c r="N5" s="11" t="inlineStr">
        <is>
          <t>Payment</t>
        </is>
      </c>
      <c r="O5" s="11" t="inlineStr">
        <is>
          <t>Balance</t>
        </is>
      </c>
      <c r="P5" s="11" t="inlineStr">
        <is>
          <t>Interest</t>
        </is>
      </c>
      <c r="Q5" s="11" t="inlineStr">
        <is>
          <t>Payment</t>
        </is>
      </c>
      <c r="R5" s="11" t="inlineStr">
        <is>
          <t>Balance</t>
        </is>
      </c>
      <c r="S5" s="11" t="inlineStr">
        <is>
          <t>Interest</t>
        </is>
      </c>
      <c r="T5" s="11" t="inlineStr">
        <is>
          <t>Payment</t>
        </is>
      </c>
      <c r="U5" s="11" t="inlineStr">
        <is>
          <t>Balance</t>
        </is>
      </c>
      <c r="V5" s="11" t="inlineStr">
        <is>
          <t>Interest</t>
        </is>
      </c>
      <c r="W5" s="11" t="inlineStr">
        <is>
          <t>Payment</t>
        </is>
      </c>
      <c r="X5" s="11" t="inlineStr">
        <is>
          <t>Balance</t>
        </is>
      </c>
      <c r="Y5" s="11" t="inlineStr">
        <is>
          <t>Interest</t>
        </is>
      </c>
      <c r="Z5" s="11" t="inlineStr">
        <is>
          <t>Payment</t>
        </is>
      </c>
      <c r="AA5" s="11" t="inlineStr">
        <is>
          <t>Balance</t>
        </is>
      </c>
      <c r="AB5" s="11" t="inlineStr">
        <is>
          <t>Total balance</t>
        </is>
      </c>
      <c r="AC5" s="11" t="inlineStr">
        <is>
          <t>Interest paid to date</t>
        </is>
      </c>
    </row>
    <row r="6">
      <c r="A6" s="24" t="n">
        <v>1</v>
      </c>
      <c r="B6" s="25">
        <f>EDATE('Your Debts'!$B$19,0)</f>
        <v/>
      </c>
      <c r="C6" s="26">
        <f>'Your Debts'!$B$18</f>
        <v/>
      </c>
      <c r="D6" s="27">
        <f>ROUND((IF('Your Debts'!$G$5=0,0,INDEX('Your Debts'!$B$5:$B$12,'Your Debts'!$G$5)))*(IF('Your Debts'!$G$5=0,0,INDEX('Your Debts'!$C$5:$C$12,'Your Debts'!$G$5)/12)),2)</f>
        <v/>
      </c>
      <c r="E6" s="27">
        <f>MIN((IF('Your Debts'!$G$5=0,0,INDEX('Your Debts'!$B$5:$B$12,'Your Debts'!$G$5)))+D6,MAX(0,$C6-(0)))</f>
        <v/>
      </c>
      <c r="F6" s="27">
        <f>ROUND(MAX(0,(IF('Your Debts'!$G$5=0,0,INDEX('Your Debts'!$B$5:$B$12,'Your Debts'!$G$5)))+D6-E6),2)</f>
        <v/>
      </c>
      <c r="G6" s="27">
        <f>ROUND((IF('Your Debts'!$G$6=0,0,INDEX('Your Debts'!$B$5:$B$12,'Your Debts'!$G$6)))*(IF('Your Debts'!$G$6=0,0,INDEX('Your Debts'!$C$5:$C$12,'Your Debts'!$G$6)/12)),2)</f>
        <v/>
      </c>
      <c r="H6" s="27">
        <f>MIN((IF('Your Debts'!$G$6=0,0,INDEX('Your Debts'!$B$5:$B$12,'Your Debts'!$G$6)))+G6,MAX(0,$C6-(E6)))</f>
        <v/>
      </c>
      <c r="I6" s="27">
        <f>ROUND(MAX(0,(IF('Your Debts'!$G$6=0,0,INDEX('Your Debts'!$B$5:$B$12,'Your Debts'!$G$6)))+G6-H6),2)</f>
        <v/>
      </c>
      <c r="J6" s="27">
        <f>ROUND((IF('Your Debts'!$G$7=0,0,INDEX('Your Debts'!$B$5:$B$12,'Your Debts'!$G$7)))*(IF('Your Debts'!$G$7=0,0,INDEX('Your Debts'!$C$5:$C$12,'Your Debts'!$G$7)/12)),2)</f>
        <v/>
      </c>
      <c r="K6" s="27">
        <f>MIN((IF('Your Debts'!$G$7=0,0,INDEX('Your Debts'!$B$5:$B$12,'Your Debts'!$G$7)))+J6,MAX(0,$C6-(E6+H6)))</f>
        <v/>
      </c>
      <c r="L6" s="27">
        <f>ROUND(MAX(0,(IF('Your Debts'!$G$7=0,0,INDEX('Your Debts'!$B$5:$B$12,'Your Debts'!$G$7)))+J6-K6),2)</f>
        <v/>
      </c>
      <c r="M6" s="27">
        <f>ROUND((IF('Your Debts'!$G$8=0,0,INDEX('Your Debts'!$B$5:$B$12,'Your Debts'!$G$8)))*(IF('Your Debts'!$G$8=0,0,INDEX('Your Debts'!$C$5:$C$12,'Your Debts'!$G$8)/12)),2)</f>
        <v/>
      </c>
      <c r="N6" s="27">
        <f>MIN((IF('Your Debts'!$G$8=0,0,INDEX('Your Debts'!$B$5:$B$12,'Your Debts'!$G$8)))+M6,MAX(0,$C6-(E6+H6+K6)))</f>
        <v/>
      </c>
      <c r="O6" s="27">
        <f>ROUND(MAX(0,(IF('Your Debts'!$G$8=0,0,INDEX('Your Debts'!$B$5:$B$12,'Your Debts'!$G$8)))+M6-N6),2)</f>
        <v/>
      </c>
      <c r="P6" s="27">
        <f>ROUND((IF('Your Debts'!$G$9=0,0,INDEX('Your Debts'!$B$5:$B$12,'Your Debts'!$G$9)))*(IF('Your Debts'!$G$9=0,0,INDEX('Your Debts'!$C$5:$C$12,'Your Debts'!$G$9)/12)),2)</f>
        <v/>
      </c>
      <c r="Q6" s="27">
        <f>MIN((IF('Your Debts'!$G$9=0,0,INDEX('Your Debts'!$B$5:$B$12,'Your Debts'!$G$9)))+P6,MAX(0,$C6-(E6+H6+K6+N6)))</f>
        <v/>
      </c>
      <c r="R6" s="27">
        <f>ROUND(MAX(0,(IF('Your Debts'!$G$9=0,0,INDEX('Your Debts'!$B$5:$B$12,'Your Debts'!$G$9)))+P6-Q6),2)</f>
        <v/>
      </c>
      <c r="S6" s="27">
        <f>ROUND((IF('Your Debts'!$G$10=0,0,INDEX('Your Debts'!$B$5:$B$12,'Your Debts'!$G$10)))*(IF('Your Debts'!$G$10=0,0,INDEX('Your Debts'!$C$5:$C$12,'Your Debts'!$G$10)/12)),2)</f>
        <v/>
      </c>
      <c r="T6" s="27">
        <f>MIN((IF('Your Debts'!$G$10=0,0,INDEX('Your Debts'!$B$5:$B$12,'Your Debts'!$G$10)))+S6,MAX(0,$C6-(E6+H6+K6+N6+Q6)))</f>
        <v/>
      </c>
      <c r="U6" s="27">
        <f>ROUND(MAX(0,(IF('Your Debts'!$G$10=0,0,INDEX('Your Debts'!$B$5:$B$12,'Your Debts'!$G$10)))+S6-T6),2)</f>
        <v/>
      </c>
      <c r="V6" s="27">
        <f>ROUND((IF('Your Debts'!$G$11=0,0,INDEX('Your Debts'!$B$5:$B$12,'Your Debts'!$G$11)))*(IF('Your Debts'!$G$11=0,0,INDEX('Your Debts'!$C$5:$C$12,'Your Debts'!$G$11)/12)),2)</f>
        <v/>
      </c>
      <c r="W6" s="27">
        <f>MIN((IF('Your Debts'!$G$11=0,0,INDEX('Your Debts'!$B$5:$B$12,'Your Debts'!$G$11)))+V6,MAX(0,$C6-(E6+H6+K6+N6+Q6+T6)))</f>
        <v/>
      </c>
      <c r="X6" s="27">
        <f>ROUND(MAX(0,(IF('Your Debts'!$G$11=0,0,INDEX('Your Debts'!$B$5:$B$12,'Your Debts'!$G$11)))+V6-W6),2)</f>
        <v/>
      </c>
      <c r="Y6" s="27">
        <f>ROUND((IF('Your Debts'!$G$12=0,0,INDEX('Your Debts'!$B$5:$B$12,'Your Debts'!$G$12)))*(IF('Your Debts'!$G$12=0,0,INDEX('Your Debts'!$C$5:$C$12,'Your Debts'!$G$12)/12)),2)</f>
        <v/>
      </c>
      <c r="Z6" s="27">
        <f>MIN((IF('Your Debts'!$G$12=0,0,INDEX('Your Debts'!$B$5:$B$12,'Your Debts'!$G$12)))+Y6,MAX(0,$C6-(E6+H6+K6+N6+Q6+T6+W6)))</f>
        <v/>
      </c>
      <c r="AA6" s="27">
        <f>ROUND(MAX(0,(IF('Your Debts'!$G$12=0,0,INDEX('Your Debts'!$B$5:$B$12,'Your Debts'!$G$12)))+Y6-Z6),2)</f>
        <v/>
      </c>
      <c r="AB6" s="18">
        <f>F6+I6+L6+O6+R6+U6+X6+AA6</f>
        <v/>
      </c>
      <c r="AC6" s="26">
        <f>0+D6+G6+J6+M6+P6+S6+V6+Y6</f>
        <v/>
      </c>
    </row>
    <row r="7">
      <c r="A7" s="24" t="n">
        <v>2</v>
      </c>
      <c r="B7" s="25">
        <f>EDATE('Your Debts'!$B$19,1)</f>
        <v/>
      </c>
      <c r="C7" s="26">
        <f>'Your Debts'!$B$18</f>
        <v/>
      </c>
      <c r="D7" s="27">
        <f>ROUND((F6)*(IF('Your Debts'!$G$5=0,0,INDEX('Your Debts'!$C$5:$C$12,'Your Debts'!$G$5)/12)),2)</f>
        <v/>
      </c>
      <c r="E7" s="27">
        <f>MIN((F6)+D7,MAX(0,$C7-(0)))</f>
        <v/>
      </c>
      <c r="F7" s="27">
        <f>ROUND(MAX(0,(F6)+D7-E7),2)</f>
        <v/>
      </c>
      <c r="G7" s="27">
        <f>ROUND((I6)*(IF('Your Debts'!$G$6=0,0,INDEX('Your Debts'!$C$5:$C$12,'Your Debts'!$G$6)/12)),2)</f>
        <v/>
      </c>
      <c r="H7" s="27">
        <f>MIN((I6)+G7,MAX(0,$C7-(E7)))</f>
        <v/>
      </c>
      <c r="I7" s="27">
        <f>ROUND(MAX(0,(I6)+G7-H7),2)</f>
        <v/>
      </c>
      <c r="J7" s="27">
        <f>ROUND((L6)*(IF('Your Debts'!$G$7=0,0,INDEX('Your Debts'!$C$5:$C$12,'Your Debts'!$G$7)/12)),2)</f>
        <v/>
      </c>
      <c r="K7" s="27">
        <f>MIN((L6)+J7,MAX(0,$C7-(E7+H7)))</f>
        <v/>
      </c>
      <c r="L7" s="27">
        <f>ROUND(MAX(0,(L6)+J7-K7),2)</f>
        <v/>
      </c>
      <c r="M7" s="27">
        <f>ROUND((O6)*(IF('Your Debts'!$G$8=0,0,INDEX('Your Debts'!$C$5:$C$12,'Your Debts'!$G$8)/12)),2)</f>
        <v/>
      </c>
      <c r="N7" s="27">
        <f>MIN((O6)+M7,MAX(0,$C7-(E7+H7+K7)))</f>
        <v/>
      </c>
      <c r="O7" s="27">
        <f>ROUND(MAX(0,(O6)+M7-N7),2)</f>
        <v/>
      </c>
      <c r="P7" s="27">
        <f>ROUND((R6)*(IF('Your Debts'!$G$9=0,0,INDEX('Your Debts'!$C$5:$C$12,'Your Debts'!$G$9)/12)),2)</f>
        <v/>
      </c>
      <c r="Q7" s="27">
        <f>MIN((R6)+P7,MAX(0,$C7-(E7+H7+K7+N7)))</f>
        <v/>
      </c>
      <c r="R7" s="27">
        <f>ROUND(MAX(0,(R6)+P7-Q7),2)</f>
        <v/>
      </c>
      <c r="S7" s="27">
        <f>ROUND((U6)*(IF('Your Debts'!$G$10=0,0,INDEX('Your Debts'!$C$5:$C$12,'Your Debts'!$G$10)/12)),2)</f>
        <v/>
      </c>
      <c r="T7" s="27">
        <f>MIN((U6)+S7,MAX(0,$C7-(E7+H7+K7+N7+Q7)))</f>
        <v/>
      </c>
      <c r="U7" s="27">
        <f>ROUND(MAX(0,(U6)+S7-T7),2)</f>
        <v/>
      </c>
      <c r="V7" s="27">
        <f>ROUND((X6)*(IF('Your Debts'!$G$11=0,0,INDEX('Your Debts'!$C$5:$C$12,'Your Debts'!$G$11)/12)),2)</f>
        <v/>
      </c>
      <c r="W7" s="27">
        <f>MIN((X6)+V7,MAX(0,$C7-(E7+H7+K7+N7+Q7+T7)))</f>
        <v/>
      </c>
      <c r="X7" s="27">
        <f>ROUND(MAX(0,(X6)+V7-W7),2)</f>
        <v/>
      </c>
      <c r="Y7" s="27">
        <f>ROUND((AA6)*(IF('Your Debts'!$G$12=0,0,INDEX('Your Debts'!$C$5:$C$12,'Your Debts'!$G$12)/12)),2)</f>
        <v/>
      </c>
      <c r="Z7" s="27">
        <f>MIN((AA6)+Y7,MAX(0,$C7-(E7+H7+K7+N7+Q7+T7+W7)))</f>
        <v/>
      </c>
      <c r="AA7" s="27">
        <f>ROUND(MAX(0,(AA6)+Y7-Z7),2)</f>
        <v/>
      </c>
      <c r="AB7" s="18">
        <f>F7+I7+L7+O7+R7+U7+X7+AA7</f>
        <v/>
      </c>
      <c r="AC7" s="26">
        <f>AC6+D7+G7+J7+M7+P7+S7+V7+Y7</f>
        <v/>
      </c>
    </row>
    <row r="8">
      <c r="A8" s="24" t="n">
        <v>3</v>
      </c>
      <c r="B8" s="25">
        <f>EDATE('Your Debts'!$B$19,2)</f>
        <v/>
      </c>
      <c r="C8" s="26">
        <f>'Your Debts'!$B$18</f>
        <v/>
      </c>
      <c r="D8" s="27">
        <f>ROUND((F7)*(IF('Your Debts'!$G$5=0,0,INDEX('Your Debts'!$C$5:$C$12,'Your Debts'!$G$5)/12)),2)</f>
        <v/>
      </c>
      <c r="E8" s="27">
        <f>MIN((F7)+D8,MAX(0,$C8-(0)))</f>
        <v/>
      </c>
      <c r="F8" s="27">
        <f>ROUND(MAX(0,(F7)+D8-E8),2)</f>
        <v/>
      </c>
      <c r="G8" s="27">
        <f>ROUND((I7)*(IF('Your Debts'!$G$6=0,0,INDEX('Your Debts'!$C$5:$C$12,'Your Debts'!$G$6)/12)),2)</f>
        <v/>
      </c>
      <c r="H8" s="27">
        <f>MIN((I7)+G8,MAX(0,$C8-(E8)))</f>
        <v/>
      </c>
      <c r="I8" s="27">
        <f>ROUND(MAX(0,(I7)+G8-H8),2)</f>
        <v/>
      </c>
      <c r="J8" s="27">
        <f>ROUND((L7)*(IF('Your Debts'!$G$7=0,0,INDEX('Your Debts'!$C$5:$C$12,'Your Debts'!$G$7)/12)),2)</f>
        <v/>
      </c>
      <c r="K8" s="27">
        <f>MIN((L7)+J8,MAX(0,$C8-(E8+H8)))</f>
        <v/>
      </c>
      <c r="L8" s="27">
        <f>ROUND(MAX(0,(L7)+J8-K8),2)</f>
        <v/>
      </c>
      <c r="M8" s="27">
        <f>ROUND((O7)*(IF('Your Debts'!$G$8=0,0,INDEX('Your Debts'!$C$5:$C$12,'Your Debts'!$G$8)/12)),2)</f>
        <v/>
      </c>
      <c r="N8" s="27">
        <f>MIN((O7)+M8,MAX(0,$C8-(E8+H8+K8)))</f>
        <v/>
      </c>
      <c r="O8" s="27">
        <f>ROUND(MAX(0,(O7)+M8-N8),2)</f>
        <v/>
      </c>
      <c r="P8" s="27">
        <f>ROUND((R7)*(IF('Your Debts'!$G$9=0,0,INDEX('Your Debts'!$C$5:$C$12,'Your Debts'!$G$9)/12)),2)</f>
        <v/>
      </c>
      <c r="Q8" s="27">
        <f>MIN((R7)+P8,MAX(0,$C8-(E8+H8+K8+N8)))</f>
        <v/>
      </c>
      <c r="R8" s="27">
        <f>ROUND(MAX(0,(R7)+P8-Q8),2)</f>
        <v/>
      </c>
      <c r="S8" s="27">
        <f>ROUND((U7)*(IF('Your Debts'!$G$10=0,0,INDEX('Your Debts'!$C$5:$C$12,'Your Debts'!$G$10)/12)),2)</f>
        <v/>
      </c>
      <c r="T8" s="27">
        <f>MIN((U7)+S8,MAX(0,$C8-(E8+H8+K8+N8+Q8)))</f>
        <v/>
      </c>
      <c r="U8" s="27">
        <f>ROUND(MAX(0,(U7)+S8-T8),2)</f>
        <v/>
      </c>
      <c r="V8" s="27">
        <f>ROUND((X7)*(IF('Your Debts'!$G$11=0,0,INDEX('Your Debts'!$C$5:$C$12,'Your Debts'!$G$11)/12)),2)</f>
        <v/>
      </c>
      <c r="W8" s="27">
        <f>MIN((X7)+V8,MAX(0,$C8-(E8+H8+K8+N8+Q8+T8)))</f>
        <v/>
      </c>
      <c r="X8" s="27">
        <f>ROUND(MAX(0,(X7)+V8-W8),2)</f>
        <v/>
      </c>
      <c r="Y8" s="27">
        <f>ROUND((AA7)*(IF('Your Debts'!$G$12=0,0,INDEX('Your Debts'!$C$5:$C$12,'Your Debts'!$G$12)/12)),2)</f>
        <v/>
      </c>
      <c r="Z8" s="27">
        <f>MIN((AA7)+Y8,MAX(0,$C8-(E8+H8+K8+N8+Q8+T8+W8)))</f>
        <v/>
      </c>
      <c r="AA8" s="27">
        <f>ROUND(MAX(0,(AA7)+Y8-Z8),2)</f>
        <v/>
      </c>
      <c r="AB8" s="18">
        <f>F8+I8+L8+O8+R8+U8+X8+AA8</f>
        <v/>
      </c>
      <c r="AC8" s="26">
        <f>AC7+D8+G8+J8+M8+P8+S8+V8+Y8</f>
        <v/>
      </c>
    </row>
    <row r="9">
      <c r="A9" s="24" t="n">
        <v>4</v>
      </c>
      <c r="B9" s="25">
        <f>EDATE('Your Debts'!$B$19,3)</f>
        <v/>
      </c>
      <c r="C9" s="26">
        <f>'Your Debts'!$B$18</f>
        <v/>
      </c>
      <c r="D9" s="27">
        <f>ROUND((F8)*(IF('Your Debts'!$G$5=0,0,INDEX('Your Debts'!$C$5:$C$12,'Your Debts'!$G$5)/12)),2)</f>
        <v/>
      </c>
      <c r="E9" s="27">
        <f>MIN((F8)+D9,MAX(0,$C9-(0)))</f>
        <v/>
      </c>
      <c r="F9" s="27">
        <f>ROUND(MAX(0,(F8)+D9-E9),2)</f>
        <v/>
      </c>
      <c r="G9" s="27">
        <f>ROUND((I8)*(IF('Your Debts'!$G$6=0,0,INDEX('Your Debts'!$C$5:$C$12,'Your Debts'!$G$6)/12)),2)</f>
        <v/>
      </c>
      <c r="H9" s="27">
        <f>MIN((I8)+G9,MAX(0,$C9-(E9)))</f>
        <v/>
      </c>
      <c r="I9" s="27">
        <f>ROUND(MAX(0,(I8)+G9-H9),2)</f>
        <v/>
      </c>
      <c r="J9" s="27">
        <f>ROUND((L8)*(IF('Your Debts'!$G$7=0,0,INDEX('Your Debts'!$C$5:$C$12,'Your Debts'!$G$7)/12)),2)</f>
        <v/>
      </c>
      <c r="K9" s="27">
        <f>MIN((L8)+J9,MAX(0,$C9-(E9+H9)))</f>
        <v/>
      </c>
      <c r="L9" s="27">
        <f>ROUND(MAX(0,(L8)+J9-K9),2)</f>
        <v/>
      </c>
      <c r="M9" s="27">
        <f>ROUND((O8)*(IF('Your Debts'!$G$8=0,0,INDEX('Your Debts'!$C$5:$C$12,'Your Debts'!$G$8)/12)),2)</f>
        <v/>
      </c>
      <c r="N9" s="27">
        <f>MIN((O8)+M9,MAX(0,$C9-(E9+H9+K9)))</f>
        <v/>
      </c>
      <c r="O9" s="27">
        <f>ROUND(MAX(0,(O8)+M9-N9),2)</f>
        <v/>
      </c>
      <c r="P9" s="27">
        <f>ROUND((R8)*(IF('Your Debts'!$G$9=0,0,INDEX('Your Debts'!$C$5:$C$12,'Your Debts'!$G$9)/12)),2)</f>
        <v/>
      </c>
      <c r="Q9" s="27">
        <f>MIN((R8)+P9,MAX(0,$C9-(E9+H9+K9+N9)))</f>
        <v/>
      </c>
      <c r="R9" s="27">
        <f>ROUND(MAX(0,(R8)+P9-Q9),2)</f>
        <v/>
      </c>
      <c r="S9" s="27">
        <f>ROUND((U8)*(IF('Your Debts'!$G$10=0,0,INDEX('Your Debts'!$C$5:$C$12,'Your Debts'!$G$10)/12)),2)</f>
        <v/>
      </c>
      <c r="T9" s="27">
        <f>MIN((U8)+S9,MAX(0,$C9-(E9+H9+K9+N9+Q9)))</f>
        <v/>
      </c>
      <c r="U9" s="27">
        <f>ROUND(MAX(0,(U8)+S9-T9),2)</f>
        <v/>
      </c>
      <c r="V9" s="27">
        <f>ROUND((X8)*(IF('Your Debts'!$G$11=0,0,INDEX('Your Debts'!$C$5:$C$12,'Your Debts'!$G$11)/12)),2)</f>
        <v/>
      </c>
      <c r="W9" s="27">
        <f>MIN((X8)+V9,MAX(0,$C9-(E9+H9+K9+N9+Q9+T9)))</f>
        <v/>
      </c>
      <c r="X9" s="27">
        <f>ROUND(MAX(0,(X8)+V9-W9),2)</f>
        <v/>
      </c>
      <c r="Y9" s="27">
        <f>ROUND((AA8)*(IF('Your Debts'!$G$12=0,0,INDEX('Your Debts'!$C$5:$C$12,'Your Debts'!$G$12)/12)),2)</f>
        <v/>
      </c>
      <c r="Z9" s="27">
        <f>MIN((AA8)+Y9,MAX(0,$C9-(E9+H9+K9+N9+Q9+T9+W9)))</f>
        <v/>
      </c>
      <c r="AA9" s="27">
        <f>ROUND(MAX(0,(AA8)+Y9-Z9),2)</f>
        <v/>
      </c>
      <c r="AB9" s="18">
        <f>F9+I9+L9+O9+R9+U9+X9+AA9</f>
        <v/>
      </c>
      <c r="AC9" s="26">
        <f>AC8+D9+G9+J9+M9+P9+S9+V9+Y9</f>
        <v/>
      </c>
    </row>
    <row r="10">
      <c r="A10" s="24" t="n">
        <v>5</v>
      </c>
      <c r="B10" s="25">
        <f>EDATE('Your Debts'!$B$19,4)</f>
        <v/>
      </c>
      <c r="C10" s="26">
        <f>'Your Debts'!$B$18</f>
        <v/>
      </c>
      <c r="D10" s="27">
        <f>ROUND((F9)*(IF('Your Debts'!$G$5=0,0,INDEX('Your Debts'!$C$5:$C$12,'Your Debts'!$G$5)/12)),2)</f>
        <v/>
      </c>
      <c r="E10" s="27">
        <f>MIN((F9)+D10,MAX(0,$C10-(0)))</f>
        <v/>
      </c>
      <c r="F10" s="27">
        <f>ROUND(MAX(0,(F9)+D10-E10),2)</f>
        <v/>
      </c>
      <c r="G10" s="27">
        <f>ROUND((I9)*(IF('Your Debts'!$G$6=0,0,INDEX('Your Debts'!$C$5:$C$12,'Your Debts'!$G$6)/12)),2)</f>
        <v/>
      </c>
      <c r="H10" s="27">
        <f>MIN((I9)+G10,MAX(0,$C10-(E10)))</f>
        <v/>
      </c>
      <c r="I10" s="27">
        <f>ROUND(MAX(0,(I9)+G10-H10),2)</f>
        <v/>
      </c>
      <c r="J10" s="27">
        <f>ROUND((L9)*(IF('Your Debts'!$G$7=0,0,INDEX('Your Debts'!$C$5:$C$12,'Your Debts'!$G$7)/12)),2)</f>
        <v/>
      </c>
      <c r="K10" s="27">
        <f>MIN((L9)+J10,MAX(0,$C10-(E10+H10)))</f>
        <v/>
      </c>
      <c r="L10" s="27">
        <f>ROUND(MAX(0,(L9)+J10-K10),2)</f>
        <v/>
      </c>
      <c r="M10" s="27">
        <f>ROUND((O9)*(IF('Your Debts'!$G$8=0,0,INDEX('Your Debts'!$C$5:$C$12,'Your Debts'!$G$8)/12)),2)</f>
        <v/>
      </c>
      <c r="N10" s="27">
        <f>MIN((O9)+M10,MAX(0,$C10-(E10+H10+K10)))</f>
        <v/>
      </c>
      <c r="O10" s="27">
        <f>ROUND(MAX(0,(O9)+M10-N10),2)</f>
        <v/>
      </c>
      <c r="P10" s="27">
        <f>ROUND((R9)*(IF('Your Debts'!$G$9=0,0,INDEX('Your Debts'!$C$5:$C$12,'Your Debts'!$G$9)/12)),2)</f>
        <v/>
      </c>
      <c r="Q10" s="27">
        <f>MIN((R9)+P10,MAX(0,$C10-(E10+H10+K10+N10)))</f>
        <v/>
      </c>
      <c r="R10" s="27">
        <f>ROUND(MAX(0,(R9)+P10-Q10),2)</f>
        <v/>
      </c>
      <c r="S10" s="27">
        <f>ROUND((U9)*(IF('Your Debts'!$G$10=0,0,INDEX('Your Debts'!$C$5:$C$12,'Your Debts'!$G$10)/12)),2)</f>
        <v/>
      </c>
      <c r="T10" s="27">
        <f>MIN((U9)+S10,MAX(0,$C10-(E10+H10+K10+N10+Q10)))</f>
        <v/>
      </c>
      <c r="U10" s="27">
        <f>ROUND(MAX(0,(U9)+S10-T10),2)</f>
        <v/>
      </c>
      <c r="V10" s="27">
        <f>ROUND((X9)*(IF('Your Debts'!$G$11=0,0,INDEX('Your Debts'!$C$5:$C$12,'Your Debts'!$G$11)/12)),2)</f>
        <v/>
      </c>
      <c r="W10" s="27">
        <f>MIN((X9)+V10,MAX(0,$C10-(E10+H10+K10+N10+Q10+T10)))</f>
        <v/>
      </c>
      <c r="X10" s="27">
        <f>ROUND(MAX(0,(X9)+V10-W10),2)</f>
        <v/>
      </c>
      <c r="Y10" s="27">
        <f>ROUND((AA9)*(IF('Your Debts'!$G$12=0,0,INDEX('Your Debts'!$C$5:$C$12,'Your Debts'!$G$12)/12)),2)</f>
        <v/>
      </c>
      <c r="Z10" s="27">
        <f>MIN((AA9)+Y10,MAX(0,$C10-(E10+H10+K10+N10+Q10+T10+W10)))</f>
        <v/>
      </c>
      <c r="AA10" s="27">
        <f>ROUND(MAX(0,(AA9)+Y10-Z10),2)</f>
        <v/>
      </c>
      <c r="AB10" s="18">
        <f>F10+I10+L10+O10+R10+U10+X10+AA10</f>
        <v/>
      </c>
      <c r="AC10" s="26">
        <f>AC9+D10+G10+J10+M10+P10+S10+V10+Y10</f>
        <v/>
      </c>
    </row>
    <row r="11">
      <c r="A11" s="24" t="n">
        <v>6</v>
      </c>
      <c r="B11" s="25">
        <f>EDATE('Your Debts'!$B$19,5)</f>
        <v/>
      </c>
      <c r="C11" s="26">
        <f>'Your Debts'!$B$18</f>
        <v/>
      </c>
      <c r="D11" s="27">
        <f>ROUND((F10)*(IF('Your Debts'!$G$5=0,0,INDEX('Your Debts'!$C$5:$C$12,'Your Debts'!$G$5)/12)),2)</f>
        <v/>
      </c>
      <c r="E11" s="27">
        <f>MIN((F10)+D11,MAX(0,$C11-(0)))</f>
        <v/>
      </c>
      <c r="F11" s="27">
        <f>ROUND(MAX(0,(F10)+D11-E11),2)</f>
        <v/>
      </c>
      <c r="G11" s="27">
        <f>ROUND((I10)*(IF('Your Debts'!$G$6=0,0,INDEX('Your Debts'!$C$5:$C$12,'Your Debts'!$G$6)/12)),2)</f>
        <v/>
      </c>
      <c r="H11" s="27">
        <f>MIN((I10)+G11,MAX(0,$C11-(E11)))</f>
        <v/>
      </c>
      <c r="I11" s="27">
        <f>ROUND(MAX(0,(I10)+G11-H11),2)</f>
        <v/>
      </c>
      <c r="J11" s="27">
        <f>ROUND((L10)*(IF('Your Debts'!$G$7=0,0,INDEX('Your Debts'!$C$5:$C$12,'Your Debts'!$G$7)/12)),2)</f>
        <v/>
      </c>
      <c r="K11" s="27">
        <f>MIN((L10)+J11,MAX(0,$C11-(E11+H11)))</f>
        <v/>
      </c>
      <c r="L11" s="27">
        <f>ROUND(MAX(0,(L10)+J11-K11),2)</f>
        <v/>
      </c>
      <c r="M11" s="27">
        <f>ROUND((O10)*(IF('Your Debts'!$G$8=0,0,INDEX('Your Debts'!$C$5:$C$12,'Your Debts'!$G$8)/12)),2)</f>
        <v/>
      </c>
      <c r="N11" s="27">
        <f>MIN((O10)+M11,MAX(0,$C11-(E11+H11+K11)))</f>
        <v/>
      </c>
      <c r="O11" s="27">
        <f>ROUND(MAX(0,(O10)+M11-N11),2)</f>
        <v/>
      </c>
      <c r="P11" s="27">
        <f>ROUND((R10)*(IF('Your Debts'!$G$9=0,0,INDEX('Your Debts'!$C$5:$C$12,'Your Debts'!$G$9)/12)),2)</f>
        <v/>
      </c>
      <c r="Q11" s="27">
        <f>MIN((R10)+P11,MAX(0,$C11-(E11+H11+K11+N11)))</f>
        <v/>
      </c>
      <c r="R11" s="27">
        <f>ROUND(MAX(0,(R10)+P11-Q11),2)</f>
        <v/>
      </c>
      <c r="S11" s="27">
        <f>ROUND((U10)*(IF('Your Debts'!$G$10=0,0,INDEX('Your Debts'!$C$5:$C$12,'Your Debts'!$G$10)/12)),2)</f>
        <v/>
      </c>
      <c r="T11" s="27">
        <f>MIN((U10)+S11,MAX(0,$C11-(E11+H11+K11+N11+Q11)))</f>
        <v/>
      </c>
      <c r="U11" s="27">
        <f>ROUND(MAX(0,(U10)+S11-T11),2)</f>
        <v/>
      </c>
      <c r="V11" s="27">
        <f>ROUND((X10)*(IF('Your Debts'!$G$11=0,0,INDEX('Your Debts'!$C$5:$C$12,'Your Debts'!$G$11)/12)),2)</f>
        <v/>
      </c>
      <c r="W11" s="27">
        <f>MIN((X10)+V11,MAX(0,$C11-(E11+H11+K11+N11+Q11+T11)))</f>
        <v/>
      </c>
      <c r="X11" s="27">
        <f>ROUND(MAX(0,(X10)+V11-W11),2)</f>
        <v/>
      </c>
      <c r="Y11" s="27">
        <f>ROUND((AA10)*(IF('Your Debts'!$G$12=0,0,INDEX('Your Debts'!$C$5:$C$12,'Your Debts'!$G$12)/12)),2)</f>
        <v/>
      </c>
      <c r="Z11" s="27">
        <f>MIN((AA10)+Y11,MAX(0,$C11-(E11+H11+K11+N11+Q11+T11+W11)))</f>
        <v/>
      </c>
      <c r="AA11" s="27">
        <f>ROUND(MAX(0,(AA10)+Y11-Z11),2)</f>
        <v/>
      </c>
      <c r="AB11" s="18">
        <f>F11+I11+L11+O11+R11+U11+X11+AA11</f>
        <v/>
      </c>
      <c r="AC11" s="26">
        <f>AC10+D11+G11+J11+M11+P11+S11+V11+Y11</f>
        <v/>
      </c>
    </row>
    <row r="12">
      <c r="A12" s="24" t="n">
        <v>7</v>
      </c>
      <c r="B12" s="25">
        <f>EDATE('Your Debts'!$B$19,6)</f>
        <v/>
      </c>
      <c r="C12" s="26">
        <f>'Your Debts'!$B$18</f>
        <v/>
      </c>
      <c r="D12" s="27">
        <f>ROUND((F11)*(IF('Your Debts'!$G$5=0,0,INDEX('Your Debts'!$C$5:$C$12,'Your Debts'!$G$5)/12)),2)</f>
        <v/>
      </c>
      <c r="E12" s="27">
        <f>MIN((F11)+D12,MAX(0,$C12-(0)))</f>
        <v/>
      </c>
      <c r="F12" s="27">
        <f>ROUND(MAX(0,(F11)+D12-E12),2)</f>
        <v/>
      </c>
      <c r="G12" s="27">
        <f>ROUND((I11)*(IF('Your Debts'!$G$6=0,0,INDEX('Your Debts'!$C$5:$C$12,'Your Debts'!$G$6)/12)),2)</f>
        <v/>
      </c>
      <c r="H12" s="27">
        <f>MIN((I11)+G12,MAX(0,$C12-(E12)))</f>
        <v/>
      </c>
      <c r="I12" s="27">
        <f>ROUND(MAX(0,(I11)+G12-H12),2)</f>
        <v/>
      </c>
      <c r="J12" s="27">
        <f>ROUND((L11)*(IF('Your Debts'!$G$7=0,0,INDEX('Your Debts'!$C$5:$C$12,'Your Debts'!$G$7)/12)),2)</f>
        <v/>
      </c>
      <c r="K12" s="27">
        <f>MIN((L11)+J12,MAX(0,$C12-(E12+H12)))</f>
        <v/>
      </c>
      <c r="L12" s="27">
        <f>ROUND(MAX(0,(L11)+J12-K12),2)</f>
        <v/>
      </c>
      <c r="M12" s="27">
        <f>ROUND((O11)*(IF('Your Debts'!$G$8=0,0,INDEX('Your Debts'!$C$5:$C$12,'Your Debts'!$G$8)/12)),2)</f>
        <v/>
      </c>
      <c r="N12" s="27">
        <f>MIN((O11)+M12,MAX(0,$C12-(E12+H12+K12)))</f>
        <v/>
      </c>
      <c r="O12" s="27">
        <f>ROUND(MAX(0,(O11)+M12-N12),2)</f>
        <v/>
      </c>
      <c r="P12" s="27">
        <f>ROUND((R11)*(IF('Your Debts'!$G$9=0,0,INDEX('Your Debts'!$C$5:$C$12,'Your Debts'!$G$9)/12)),2)</f>
        <v/>
      </c>
      <c r="Q12" s="27">
        <f>MIN((R11)+P12,MAX(0,$C12-(E12+H12+K12+N12)))</f>
        <v/>
      </c>
      <c r="R12" s="27">
        <f>ROUND(MAX(0,(R11)+P12-Q12),2)</f>
        <v/>
      </c>
      <c r="S12" s="27">
        <f>ROUND((U11)*(IF('Your Debts'!$G$10=0,0,INDEX('Your Debts'!$C$5:$C$12,'Your Debts'!$G$10)/12)),2)</f>
        <v/>
      </c>
      <c r="T12" s="27">
        <f>MIN((U11)+S12,MAX(0,$C12-(E12+H12+K12+N12+Q12)))</f>
        <v/>
      </c>
      <c r="U12" s="27">
        <f>ROUND(MAX(0,(U11)+S12-T12),2)</f>
        <v/>
      </c>
      <c r="V12" s="27">
        <f>ROUND((X11)*(IF('Your Debts'!$G$11=0,0,INDEX('Your Debts'!$C$5:$C$12,'Your Debts'!$G$11)/12)),2)</f>
        <v/>
      </c>
      <c r="W12" s="27">
        <f>MIN((X11)+V12,MAX(0,$C12-(E12+H12+K12+N12+Q12+T12)))</f>
        <v/>
      </c>
      <c r="X12" s="27">
        <f>ROUND(MAX(0,(X11)+V12-W12),2)</f>
        <v/>
      </c>
      <c r="Y12" s="27">
        <f>ROUND((AA11)*(IF('Your Debts'!$G$12=0,0,INDEX('Your Debts'!$C$5:$C$12,'Your Debts'!$G$12)/12)),2)</f>
        <v/>
      </c>
      <c r="Z12" s="27">
        <f>MIN((AA11)+Y12,MAX(0,$C12-(E12+H12+K12+N12+Q12+T12+W12)))</f>
        <v/>
      </c>
      <c r="AA12" s="27">
        <f>ROUND(MAX(0,(AA11)+Y12-Z12),2)</f>
        <v/>
      </c>
      <c r="AB12" s="18">
        <f>F12+I12+L12+O12+R12+U12+X12+AA12</f>
        <v/>
      </c>
      <c r="AC12" s="26">
        <f>AC11+D12+G12+J12+M12+P12+S12+V12+Y12</f>
        <v/>
      </c>
    </row>
    <row r="13">
      <c r="A13" s="24" t="n">
        <v>8</v>
      </c>
      <c r="B13" s="25">
        <f>EDATE('Your Debts'!$B$19,7)</f>
        <v/>
      </c>
      <c r="C13" s="26">
        <f>'Your Debts'!$B$18</f>
        <v/>
      </c>
      <c r="D13" s="27">
        <f>ROUND((F12)*(IF('Your Debts'!$G$5=0,0,INDEX('Your Debts'!$C$5:$C$12,'Your Debts'!$G$5)/12)),2)</f>
        <v/>
      </c>
      <c r="E13" s="27">
        <f>MIN((F12)+D13,MAX(0,$C13-(0)))</f>
        <v/>
      </c>
      <c r="F13" s="27">
        <f>ROUND(MAX(0,(F12)+D13-E13),2)</f>
        <v/>
      </c>
      <c r="G13" s="27">
        <f>ROUND((I12)*(IF('Your Debts'!$G$6=0,0,INDEX('Your Debts'!$C$5:$C$12,'Your Debts'!$G$6)/12)),2)</f>
        <v/>
      </c>
      <c r="H13" s="27">
        <f>MIN((I12)+G13,MAX(0,$C13-(E13)))</f>
        <v/>
      </c>
      <c r="I13" s="27">
        <f>ROUND(MAX(0,(I12)+G13-H13),2)</f>
        <v/>
      </c>
      <c r="J13" s="27">
        <f>ROUND((L12)*(IF('Your Debts'!$G$7=0,0,INDEX('Your Debts'!$C$5:$C$12,'Your Debts'!$G$7)/12)),2)</f>
        <v/>
      </c>
      <c r="K13" s="27">
        <f>MIN((L12)+J13,MAX(0,$C13-(E13+H13)))</f>
        <v/>
      </c>
      <c r="L13" s="27">
        <f>ROUND(MAX(0,(L12)+J13-K13),2)</f>
        <v/>
      </c>
      <c r="M13" s="27">
        <f>ROUND((O12)*(IF('Your Debts'!$G$8=0,0,INDEX('Your Debts'!$C$5:$C$12,'Your Debts'!$G$8)/12)),2)</f>
        <v/>
      </c>
      <c r="N13" s="27">
        <f>MIN((O12)+M13,MAX(0,$C13-(E13+H13+K13)))</f>
        <v/>
      </c>
      <c r="O13" s="27">
        <f>ROUND(MAX(0,(O12)+M13-N13),2)</f>
        <v/>
      </c>
      <c r="P13" s="27">
        <f>ROUND((R12)*(IF('Your Debts'!$G$9=0,0,INDEX('Your Debts'!$C$5:$C$12,'Your Debts'!$G$9)/12)),2)</f>
        <v/>
      </c>
      <c r="Q13" s="27">
        <f>MIN((R12)+P13,MAX(0,$C13-(E13+H13+K13+N13)))</f>
        <v/>
      </c>
      <c r="R13" s="27">
        <f>ROUND(MAX(0,(R12)+P13-Q13),2)</f>
        <v/>
      </c>
      <c r="S13" s="27">
        <f>ROUND((U12)*(IF('Your Debts'!$G$10=0,0,INDEX('Your Debts'!$C$5:$C$12,'Your Debts'!$G$10)/12)),2)</f>
        <v/>
      </c>
      <c r="T13" s="27">
        <f>MIN((U12)+S13,MAX(0,$C13-(E13+H13+K13+N13+Q13)))</f>
        <v/>
      </c>
      <c r="U13" s="27">
        <f>ROUND(MAX(0,(U12)+S13-T13),2)</f>
        <v/>
      </c>
      <c r="V13" s="27">
        <f>ROUND((X12)*(IF('Your Debts'!$G$11=0,0,INDEX('Your Debts'!$C$5:$C$12,'Your Debts'!$G$11)/12)),2)</f>
        <v/>
      </c>
      <c r="W13" s="27">
        <f>MIN((X12)+V13,MAX(0,$C13-(E13+H13+K13+N13+Q13+T13)))</f>
        <v/>
      </c>
      <c r="X13" s="27">
        <f>ROUND(MAX(0,(X12)+V13-W13),2)</f>
        <v/>
      </c>
      <c r="Y13" s="27">
        <f>ROUND((AA12)*(IF('Your Debts'!$G$12=0,0,INDEX('Your Debts'!$C$5:$C$12,'Your Debts'!$G$12)/12)),2)</f>
        <v/>
      </c>
      <c r="Z13" s="27">
        <f>MIN((AA12)+Y13,MAX(0,$C13-(E13+H13+K13+N13+Q13+T13+W13)))</f>
        <v/>
      </c>
      <c r="AA13" s="27">
        <f>ROUND(MAX(0,(AA12)+Y13-Z13),2)</f>
        <v/>
      </c>
      <c r="AB13" s="18">
        <f>F13+I13+L13+O13+R13+U13+X13+AA13</f>
        <v/>
      </c>
      <c r="AC13" s="26">
        <f>AC12+D13+G13+J13+M13+P13+S13+V13+Y13</f>
        <v/>
      </c>
    </row>
    <row r="14">
      <c r="A14" s="24" t="n">
        <v>9</v>
      </c>
      <c r="B14" s="25">
        <f>EDATE('Your Debts'!$B$19,8)</f>
        <v/>
      </c>
      <c r="C14" s="26">
        <f>'Your Debts'!$B$18</f>
        <v/>
      </c>
      <c r="D14" s="27">
        <f>ROUND((F13)*(IF('Your Debts'!$G$5=0,0,INDEX('Your Debts'!$C$5:$C$12,'Your Debts'!$G$5)/12)),2)</f>
        <v/>
      </c>
      <c r="E14" s="27">
        <f>MIN((F13)+D14,MAX(0,$C14-(0)))</f>
        <v/>
      </c>
      <c r="F14" s="27">
        <f>ROUND(MAX(0,(F13)+D14-E14),2)</f>
        <v/>
      </c>
      <c r="G14" s="27">
        <f>ROUND((I13)*(IF('Your Debts'!$G$6=0,0,INDEX('Your Debts'!$C$5:$C$12,'Your Debts'!$G$6)/12)),2)</f>
        <v/>
      </c>
      <c r="H14" s="27">
        <f>MIN((I13)+G14,MAX(0,$C14-(E14)))</f>
        <v/>
      </c>
      <c r="I14" s="27">
        <f>ROUND(MAX(0,(I13)+G14-H14),2)</f>
        <v/>
      </c>
      <c r="J14" s="27">
        <f>ROUND((L13)*(IF('Your Debts'!$G$7=0,0,INDEX('Your Debts'!$C$5:$C$12,'Your Debts'!$G$7)/12)),2)</f>
        <v/>
      </c>
      <c r="K14" s="27">
        <f>MIN((L13)+J14,MAX(0,$C14-(E14+H14)))</f>
        <v/>
      </c>
      <c r="L14" s="27">
        <f>ROUND(MAX(0,(L13)+J14-K14),2)</f>
        <v/>
      </c>
      <c r="M14" s="27">
        <f>ROUND((O13)*(IF('Your Debts'!$G$8=0,0,INDEX('Your Debts'!$C$5:$C$12,'Your Debts'!$G$8)/12)),2)</f>
        <v/>
      </c>
      <c r="N14" s="27">
        <f>MIN((O13)+M14,MAX(0,$C14-(E14+H14+K14)))</f>
        <v/>
      </c>
      <c r="O14" s="27">
        <f>ROUND(MAX(0,(O13)+M14-N14),2)</f>
        <v/>
      </c>
      <c r="P14" s="27">
        <f>ROUND((R13)*(IF('Your Debts'!$G$9=0,0,INDEX('Your Debts'!$C$5:$C$12,'Your Debts'!$G$9)/12)),2)</f>
        <v/>
      </c>
      <c r="Q14" s="27">
        <f>MIN((R13)+P14,MAX(0,$C14-(E14+H14+K14+N14)))</f>
        <v/>
      </c>
      <c r="R14" s="27">
        <f>ROUND(MAX(0,(R13)+P14-Q14),2)</f>
        <v/>
      </c>
      <c r="S14" s="27">
        <f>ROUND((U13)*(IF('Your Debts'!$G$10=0,0,INDEX('Your Debts'!$C$5:$C$12,'Your Debts'!$G$10)/12)),2)</f>
        <v/>
      </c>
      <c r="T14" s="27">
        <f>MIN((U13)+S14,MAX(0,$C14-(E14+H14+K14+N14+Q14)))</f>
        <v/>
      </c>
      <c r="U14" s="27">
        <f>ROUND(MAX(0,(U13)+S14-T14),2)</f>
        <v/>
      </c>
      <c r="V14" s="27">
        <f>ROUND((X13)*(IF('Your Debts'!$G$11=0,0,INDEX('Your Debts'!$C$5:$C$12,'Your Debts'!$G$11)/12)),2)</f>
        <v/>
      </c>
      <c r="W14" s="27">
        <f>MIN((X13)+V14,MAX(0,$C14-(E14+H14+K14+N14+Q14+T14)))</f>
        <v/>
      </c>
      <c r="X14" s="27">
        <f>ROUND(MAX(0,(X13)+V14-W14),2)</f>
        <v/>
      </c>
      <c r="Y14" s="27">
        <f>ROUND((AA13)*(IF('Your Debts'!$G$12=0,0,INDEX('Your Debts'!$C$5:$C$12,'Your Debts'!$G$12)/12)),2)</f>
        <v/>
      </c>
      <c r="Z14" s="27">
        <f>MIN((AA13)+Y14,MAX(0,$C14-(E14+H14+K14+N14+Q14+T14+W14)))</f>
        <v/>
      </c>
      <c r="AA14" s="27">
        <f>ROUND(MAX(0,(AA13)+Y14-Z14),2)</f>
        <v/>
      </c>
      <c r="AB14" s="18">
        <f>F14+I14+L14+O14+R14+U14+X14+AA14</f>
        <v/>
      </c>
      <c r="AC14" s="26">
        <f>AC13+D14+G14+J14+M14+P14+S14+V14+Y14</f>
        <v/>
      </c>
    </row>
    <row r="15">
      <c r="A15" s="24" t="n">
        <v>10</v>
      </c>
      <c r="B15" s="25">
        <f>EDATE('Your Debts'!$B$19,9)</f>
        <v/>
      </c>
      <c r="C15" s="26">
        <f>'Your Debts'!$B$18</f>
        <v/>
      </c>
      <c r="D15" s="27">
        <f>ROUND((F14)*(IF('Your Debts'!$G$5=0,0,INDEX('Your Debts'!$C$5:$C$12,'Your Debts'!$G$5)/12)),2)</f>
        <v/>
      </c>
      <c r="E15" s="27">
        <f>MIN((F14)+D15,MAX(0,$C15-(0)))</f>
        <v/>
      </c>
      <c r="F15" s="27">
        <f>ROUND(MAX(0,(F14)+D15-E15),2)</f>
        <v/>
      </c>
      <c r="G15" s="27">
        <f>ROUND((I14)*(IF('Your Debts'!$G$6=0,0,INDEX('Your Debts'!$C$5:$C$12,'Your Debts'!$G$6)/12)),2)</f>
        <v/>
      </c>
      <c r="H15" s="27">
        <f>MIN((I14)+G15,MAX(0,$C15-(E15)))</f>
        <v/>
      </c>
      <c r="I15" s="27">
        <f>ROUND(MAX(0,(I14)+G15-H15),2)</f>
        <v/>
      </c>
      <c r="J15" s="27">
        <f>ROUND((L14)*(IF('Your Debts'!$G$7=0,0,INDEX('Your Debts'!$C$5:$C$12,'Your Debts'!$G$7)/12)),2)</f>
        <v/>
      </c>
      <c r="K15" s="27">
        <f>MIN((L14)+J15,MAX(0,$C15-(E15+H15)))</f>
        <v/>
      </c>
      <c r="L15" s="27">
        <f>ROUND(MAX(0,(L14)+J15-K15),2)</f>
        <v/>
      </c>
      <c r="M15" s="27">
        <f>ROUND((O14)*(IF('Your Debts'!$G$8=0,0,INDEX('Your Debts'!$C$5:$C$12,'Your Debts'!$G$8)/12)),2)</f>
        <v/>
      </c>
      <c r="N15" s="27">
        <f>MIN((O14)+M15,MAX(0,$C15-(E15+H15+K15)))</f>
        <v/>
      </c>
      <c r="O15" s="27">
        <f>ROUND(MAX(0,(O14)+M15-N15),2)</f>
        <v/>
      </c>
      <c r="P15" s="27">
        <f>ROUND((R14)*(IF('Your Debts'!$G$9=0,0,INDEX('Your Debts'!$C$5:$C$12,'Your Debts'!$G$9)/12)),2)</f>
        <v/>
      </c>
      <c r="Q15" s="27">
        <f>MIN((R14)+P15,MAX(0,$C15-(E15+H15+K15+N15)))</f>
        <v/>
      </c>
      <c r="R15" s="27">
        <f>ROUND(MAX(0,(R14)+P15-Q15),2)</f>
        <v/>
      </c>
      <c r="S15" s="27">
        <f>ROUND((U14)*(IF('Your Debts'!$G$10=0,0,INDEX('Your Debts'!$C$5:$C$12,'Your Debts'!$G$10)/12)),2)</f>
        <v/>
      </c>
      <c r="T15" s="27">
        <f>MIN((U14)+S15,MAX(0,$C15-(E15+H15+K15+N15+Q15)))</f>
        <v/>
      </c>
      <c r="U15" s="27">
        <f>ROUND(MAX(0,(U14)+S15-T15),2)</f>
        <v/>
      </c>
      <c r="V15" s="27">
        <f>ROUND((X14)*(IF('Your Debts'!$G$11=0,0,INDEX('Your Debts'!$C$5:$C$12,'Your Debts'!$G$11)/12)),2)</f>
        <v/>
      </c>
      <c r="W15" s="27">
        <f>MIN((X14)+V15,MAX(0,$C15-(E15+H15+K15+N15+Q15+T15)))</f>
        <v/>
      </c>
      <c r="X15" s="27">
        <f>ROUND(MAX(0,(X14)+V15-W15),2)</f>
        <v/>
      </c>
      <c r="Y15" s="27">
        <f>ROUND((AA14)*(IF('Your Debts'!$G$12=0,0,INDEX('Your Debts'!$C$5:$C$12,'Your Debts'!$G$12)/12)),2)</f>
        <v/>
      </c>
      <c r="Z15" s="27">
        <f>MIN((AA14)+Y15,MAX(0,$C15-(E15+H15+K15+N15+Q15+T15+W15)))</f>
        <v/>
      </c>
      <c r="AA15" s="27">
        <f>ROUND(MAX(0,(AA14)+Y15-Z15),2)</f>
        <v/>
      </c>
      <c r="AB15" s="18">
        <f>F15+I15+L15+O15+R15+U15+X15+AA15</f>
        <v/>
      </c>
      <c r="AC15" s="26">
        <f>AC14+D15+G15+J15+M15+P15+S15+V15+Y15</f>
        <v/>
      </c>
    </row>
    <row r="16">
      <c r="A16" s="24" t="n">
        <v>11</v>
      </c>
      <c r="B16" s="25">
        <f>EDATE('Your Debts'!$B$19,10)</f>
        <v/>
      </c>
      <c r="C16" s="26">
        <f>'Your Debts'!$B$18</f>
        <v/>
      </c>
      <c r="D16" s="27">
        <f>ROUND((F15)*(IF('Your Debts'!$G$5=0,0,INDEX('Your Debts'!$C$5:$C$12,'Your Debts'!$G$5)/12)),2)</f>
        <v/>
      </c>
      <c r="E16" s="27">
        <f>MIN((F15)+D16,MAX(0,$C16-(0)))</f>
        <v/>
      </c>
      <c r="F16" s="27">
        <f>ROUND(MAX(0,(F15)+D16-E16),2)</f>
        <v/>
      </c>
      <c r="G16" s="27">
        <f>ROUND((I15)*(IF('Your Debts'!$G$6=0,0,INDEX('Your Debts'!$C$5:$C$12,'Your Debts'!$G$6)/12)),2)</f>
        <v/>
      </c>
      <c r="H16" s="27">
        <f>MIN((I15)+G16,MAX(0,$C16-(E16)))</f>
        <v/>
      </c>
      <c r="I16" s="27">
        <f>ROUND(MAX(0,(I15)+G16-H16),2)</f>
        <v/>
      </c>
      <c r="J16" s="27">
        <f>ROUND((L15)*(IF('Your Debts'!$G$7=0,0,INDEX('Your Debts'!$C$5:$C$12,'Your Debts'!$G$7)/12)),2)</f>
        <v/>
      </c>
      <c r="K16" s="27">
        <f>MIN((L15)+J16,MAX(0,$C16-(E16+H16)))</f>
        <v/>
      </c>
      <c r="L16" s="27">
        <f>ROUND(MAX(0,(L15)+J16-K16),2)</f>
        <v/>
      </c>
      <c r="M16" s="27">
        <f>ROUND((O15)*(IF('Your Debts'!$G$8=0,0,INDEX('Your Debts'!$C$5:$C$12,'Your Debts'!$G$8)/12)),2)</f>
        <v/>
      </c>
      <c r="N16" s="27">
        <f>MIN((O15)+M16,MAX(0,$C16-(E16+H16+K16)))</f>
        <v/>
      </c>
      <c r="O16" s="27">
        <f>ROUND(MAX(0,(O15)+M16-N16),2)</f>
        <v/>
      </c>
      <c r="P16" s="27">
        <f>ROUND((R15)*(IF('Your Debts'!$G$9=0,0,INDEX('Your Debts'!$C$5:$C$12,'Your Debts'!$G$9)/12)),2)</f>
        <v/>
      </c>
      <c r="Q16" s="27">
        <f>MIN((R15)+P16,MAX(0,$C16-(E16+H16+K16+N16)))</f>
        <v/>
      </c>
      <c r="R16" s="27">
        <f>ROUND(MAX(0,(R15)+P16-Q16),2)</f>
        <v/>
      </c>
      <c r="S16" s="27">
        <f>ROUND((U15)*(IF('Your Debts'!$G$10=0,0,INDEX('Your Debts'!$C$5:$C$12,'Your Debts'!$G$10)/12)),2)</f>
        <v/>
      </c>
      <c r="T16" s="27">
        <f>MIN((U15)+S16,MAX(0,$C16-(E16+H16+K16+N16+Q16)))</f>
        <v/>
      </c>
      <c r="U16" s="27">
        <f>ROUND(MAX(0,(U15)+S16-T16),2)</f>
        <v/>
      </c>
      <c r="V16" s="27">
        <f>ROUND((X15)*(IF('Your Debts'!$G$11=0,0,INDEX('Your Debts'!$C$5:$C$12,'Your Debts'!$G$11)/12)),2)</f>
        <v/>
      </c>
      <c r="W16" s="27">
        <f>MIN((X15)+V16,MAX(0,$C16-(E16+H16+K16+N16+Q16+T16)))</f>
        <v/>
      </c>
      <c r="X16" s="27">
        <f>ROUND(MAX(0,(X15)+V16-W16),2)</f>
        <v/>
      </c>
      <c r="Y16" s="27">
        <f>ROUND((AA15)*(IF('Your Debts'!$G$12=0,0,INDEX('Your Debts'!$C$5:$C$12,'Your Debts'!$G$12)/12)),2)</f>
        <v/>
      </c>
      <c r="Z16" s="27">
        <f>MIN((AA15)+Y16,MAX(0,$C16-(E16+H16+K16+N16+Q16+T16+W16)))</f>
        <v/>
      </c>
      <c r="AA16" s="27">
        <f>ROUND(MAX(0,(AA15)+Y16-Z16),2)</f>
        <v/>
      </c>
      <c r="AB16" s="18">
        <f>F16+I16+L16+O16+R16+U16+X16+AA16</f>
        <v/>
      </c>
      <c r="AC16" s="26">
        <f>AC15+D16+G16+J16+M16+P16+S16+V16+Y16</f>
        <v/>
      </c>
    </row>
    <row r="17">
      <c r="A17" s="24" t="n">
        <v>12</v>
      </c>
      <c r="B17" s="25">
        <f>EDATE('Your Debts'!$B$19,11)</f>
        <v/>
      </c>
      <c r="C17" s="26">
        <f>'Your Debts'!$B$18</f>
        <v/>
      </c>
      <c r="D17" s="27">
        <f>ROUND((F16)*(IF('Your Debts'!$G$5=0,0,INDEX('Your Debts'!$C$5:$C$12,'Your Debts'!$G$5)/12)),2)</f>
        <v/>
      </c>
      <c r="E17" s="27">
        <f>MIN((F16)+D17,MAX(0,$C17-(0)))</f>
        <v/>
      </c>
      <c r="F17" s="27">
        <f>ROUND(MAX(0,(F16)+D17-E17),2)</f>
        <v/>
      </c>
      <c r="G17" s="27">
        <f>ROUND((I16)*(IF('Your Debts'!$G$6=0,0,INDEX('Your Debts'!$C$5:$C$12,'Your Debts'!$G$6)/12)),2)</f>
        <v/>
      </c>
      <c r="H17" s="27">
        <f>MIN((I16)+G17,MAX(0,$C17-(E17)))</f>
        <v/>
      </c>
      <c r="I17" s="27">
        <f>ROUND(MAX(0,(I16)+G17-H17),2)</f>
        <v/>
      </c>
      <c r="J17" s="27">
        <f>ROUND((L16)*(IF('Your Debts'!$G$7=0,0,INDEX('Your Debts'!$C$5:$C$12,'Your Debts'!$G$7)/12)),2)</f>
        <v/>
      </c>
      <c r="K17" s="27">
        <f>MIN((L16)+J17,MAX(0,$C17-(E17+H17)))</f>
        <v/>
      </c>
      <c r="L17" s="27">
        <f>ROUND(MAX(0,(L16)+J17-K17),2)</f>
        <v/>
      </c>
      <c r="M17" s="27">
        <f>ROUND((O16)*(IF('Your Debts'!$G$8=0,0,INDEX('Your Debts'!$C$5:$C$12,'Your Debts'!$G$8)/12)),2)</f>
        <v/>
      </c>
      <c r="N17" s="27">
        <f>MIN((O16)+M17,MAX(0,$C17-(E17+H17+K17)))</f>
        <v/>
      </c>
      <c r="O17" s="27">
        <f>ROUND(MAX(0,(O16)+M17-N17),2)</f>
        <v/>
      </c>
      <c r="P17" s="27">
        <f>ROUND((R16)*(IF('Your Debts'!$G$9=0,0,INDEX('Your Debts'!$C$5:$C$12,'Your Debts'!$G$9)/12)),2)</f>
        <v/>
      </c>
      <c r="Q17" s="27">
        <f>MIN((R16)+P17,MAX(0,$C17-(E17+H17+K17+N17)))</f>
        <v/>
      </c>
      <c r="R17" s="27">
        <f>ROUND(MAX(0,(R16)+P17-Q17),2)</f>
        <v/>
      </c>
      <c r="S17" s="27">
        <f>ROUND((U16)*(IF('Your Debts'!$G$10=0,0,INDEX('Your Debts'!$C$5:$C$12,'Your Debts'!$G$10)/12)),2)</f>
        <v/>
      </c>
      <c r="T17" s="27">
        <f>MIN((U16)+S17,MAX(0,$C17-(E17+H17+K17+N17+Q17)))</f>
        <v/>
      </c>
      <c r="U17" s="27">
        <f>ROUND(MAX(0,(U16)+S17-T17),2)</f>
        <v/>
      </c>
      <c r="V17" s="27">
        <f>ROUND((X16)*(IF('Your Debts'!$G$11=0,0,INDEX('Your Debts'!$C$5:$C$12,'Your Debts'!$G$11)/12)),2)</f>
        <v/>
      </c>
      <c r="W17" s="27">
        <f>MIN((X16)+V17,MAX(0,$C17-(E17+H17+K17+N17+Q17+T17)))</f>
        <v/>
      </c>
      <c r="X17" s="27">
        <f>ROUND(MAX(0,(X16)+V17-W17),2)</f>
        <v/>
      </c>
      <c r="Y17" s="27">
        <f>ROUND((AA16)*(IF('Your Debts'!$G$12=0,0,INDEX('Your Debts'!$C$5:$C$12,'Your Debts'!$G$12)/12)),2)</f>
        <v/>
      </c>
      <c r="Z17" s="27">
        <f>MIN((AA16)+Y17,MAX(0,$C17-(E17+H17+K17+N17+Q17+T17+W17)))</f>
        <v/>
      </c>
      <c r="AA17" s="27">
        <f>ROUND(MAX(0,(AA16)+Y17-Z17),2)</f>
        <v/>
      </c>
      <c r="AB17" s="18">
        <f>F17+I17+L17+O17+R17+U17+X17+AA17</f>
        <v/>
      </c>
      <c r="AC17" s="26">
        <f>AC16+D17+G17+J17+M17+P17+S17+V17+Y17</f>
        <v/>
      </c>
    </row>
    <row r="18">
      <c r="A18" s="24" t="n">
        <v>13</v>
      </c>
      <c r="B18" s="25">
        <f>EDATE('Your Debts'!$B$19,12)</f>
        <v/>
      </c>
      <c r="C18" s="26">
        <f>'Your Debts'!$B$18</f>
        <v/>
      </c>
      <c r="D18" s="27">
        <f>ROUND((F17)*(IF('Your Debts'!$G$5=0,0,INDEX('Your Debts'!$C$5:$C$12,'Your Debts'!$G$5)/12)),2)</f>
        <v/>
      </c>
      <c r="E18" s="27">
        <f>MIN((F17)+D18,MAX(0,$C18-(0)))</f>
        <v/>
      </c>
      <c r="F18" s="27">
        <f>ROUND(MAX(0,(F17)+D18-E18),2)</f>
        <v/>
      </c>
      <c r="G18" s="27">
        <f>ROUND((I17)*(IF('Your Debts'!$G$6=0,0,INDEX('Your Debts'!$C$5:$C$12,'Your Debts'!$G$6)/12)),2)</f>
        <v/>
      </c>
      <c r="H18" s="27">
        <f>MIN((I17)+G18,MAX(0,$C18-(E18)))</f>
        <v/>
      </c>
      <c r="I18" s="27">
        <f>ROUND(MAX(0,(I17)+G18-H18),2)</f>
        <v/>
      </c>
      <c r="J18" s="27">
        <f>ROUND((L17)*(IF('Your Debts'!$G$7=0,0,INDEX('Your Debts'!$C$5:$C$12,'Your Debts'!$G$7)/12)),2)</f>
        <v/>
      </c>
      <c r="K18" s="27">
        <f>MIN((L17)+J18,MAX(0,$C18-(E18+H18)))</f>
        <v/>
      </c>
      <c r="L18" s="27">
        <f>ROUND(MAX(0,(L17)+J18-K18),2)</f>
        <v/>
      </c>
      <c r="M18" s="27">
        <f>ROUND((O17)*(IF('Your Debts'!$G$8=0,0,INDEX('Your Debts'!$C$5:$C$12,'Your Debts'!$G$8)/12)),2)</f>
        <v/>
      </c>
      <c r="N18" s="27">
        <f>MIN((O17)+M18,MAX(0,$C18-(E18+H18+K18)))</f>
        <v/>
      </c>
      <c r="O18" s="27">
        <f>ROUND(MAX(0,(O17)+M18-N18),2)</f>
        <v/>
      </c>
      <c r="P18" s="27">
        <f>ROUND((R17)*(IF('Your Debts'!$G$9=0,0,INDEX('Your Debts'!$C$5:$C$12,'Your Debts'!$G$9)/12)),2)</f>
        <v/>
      </c>
      <c r="Q18" s="27">
        <f>MIN((R17)+P18,MAX(0,$C18-(E18+H18+K18+N18)))</f>
        <v/>
      </c>
      <c r="R18" s="27">
        <f>ROUND(MAX(0,(R17)+P18-Q18),2)</f>
        <v/>
      </c>
      <c r="S18" s="27">
        <f>ROUND((U17)*(IF('Your Debts'!$G$10=0,0,INDEX('Your Debts'!$C$5:$C$12,'Your Debts'!$G$10)/12)),2)</f>
        <v/>
      </c>
      <c r="T18" s="27">
        <f>MIN((U17)+S18,MAX(0,$C18-(E18+H18+K18+N18+Q18)))</f>
        <v/>
      </c>
      <c r="U18" s="27">
        <f>ROUND(MAX(0,(U17)+S18-T18),2)</f>
        <v/>
      </c>
      <c r="V18" s="27">
        <f>ROUND((X17)*(IF('Your Debts'!$G$11=0,0,INDEX('Your Debts'!$C$5:$C$12,'Your Debts'!$G$11)/12)),2)</f>
        <v/>
      </c>
      <c r="W18" s="27">
        <f>MIN((X17)+V18,MAX(0,$C18-(E18+H18+K18+N18+Q18+T18)))</f>
        <v/>
      </c>
      <c r="X18" s="27">
        <f>ROUND(MAX(0,(X17)+V18-W18),2)</f>
        <v/>
      </c>
      <c r="Y18" s="27">
        <f>ROUND((AA17)*(IF('Your Debts'!$G$12=0,0,INDEX('Your Debts'!$C$5:$C$12,'Your Debts'!$G$12)/12)),2)</f>
        <v/>
      </c>
      <c r="Z18" s="27">
        <f>MIN((AA17)+Y18,MAX(0,$C18-(E18+H18+K18+N18+Q18+T18+W18)))</f>
        <v/>
      </c>
      <c r="AA18" s="27">
        <f>ROUND(MAX(0,(AA17)+Y18-Z18),2)</f>
        <v/>
      </c>
      <c r="AB18" s="18">
        <f>F18+I18+L18+O18+R18+U18+X18+AA18</f>
        <v/>
      </c>
      <c r="AC18" s="26">
        <f>AC17+D18+G18+J18+M18+P18+S18+V18+Y18</f>
        <v/>
      </c>
    </row>
    <row r="19">
      <c r="A19" s="24" t="n">
        <v>14</v>
      </c>
      <c r="B19" s="25">
        <f>EDATE('Your Debts'!$B$19,13)</f>
        <v/>
      </c>
      <c r="C19" s="26">
        <f>'Your Debts'!$B$18</f>
        <v/>
      </c>
      <c r="D19" s="27">
        <f>ROUND((F18)*(IF('Your Debts'!$G$5=0,0,INDEX('Your Debts'!$C$5:$C$12,'Your Debts'!$G$5)/12)),2)</f>
        <v/>
      </c>
      <c r="E19" s="27">
        <f>MIN((F18)+D19,MAX(0,$C19-(0)))</f>
        <v/>
      </c>
      <c r="F19" s="27">
        <f>ROUND(MAX(0,(F18)+D19-E19),2)</f>
        <v/>
      </c>
      <c r="G19" s="27">
        <f>ROUND((I18)*(IF('Your Debts'!$G$6=0,0,INDEX('Your Debts'!$C$5:$C$12,'Your Debts'!$G$6)/12)),2)</f>
        <v/>
      </c>
      <c r="H19" s="27">
        <f>MIN((I18)+G19,MAX(0,$C19-(E19)))</f>
        <v/>
      </c>
      <c r="I19" s="27">
        <f>ROUND(MAX(0,(I18)+G19-H19),2)</f>
        <v/>
      </c>
      <c r="J19" s="27">
        <f>ROUND((L18)*(IF('Your Debts'!$G$7=0,0,INDEX('Your Debts'!$C$5:$C$12,'Your Debts'!$G$7)/12)),2)</f>
        <v/>
      </c>
      <c r="K19" s="27">
        <f>MIN((L18)+J19,MAX(0,$C19-(E19+H19)))</f>
        <v/>
      </c>
      <c r="L19" s="27">
        <f>ROUND(MAX(0,(L18)+J19-K19),2)</f>
        <v/>
      </c>
      <c r="M19" s="27">
        <f>ROUND((O18)*(IF('Your Debts'!$G$8=0,0,INDEX('Your Debts'!$C$5:$C$12,'Your Debts'!$G$8)/12)),2)</f>
        <v/>
      </c>
      <c r="N19" s="27">
        <f>MIN((O18)+M19,MAX(0,$C19-(E19+H19+K19)))</f>
        <v/>
      </c>
      <c r="O19" s="27">
        <f>ROUND(MAX(0,(O18)+M19-N19),2)</f>
        <v/>
      </c>
      <c r="P19" s="27">
        <f>ROUND((R18)*(IF('Your Debts'!$G$9=0,0,INDEX('Your Debts'!$C$5:$C$12,'Your Debts'!$G$9)/12)),2)</f>
        <v/>
      </c>
      <c r="Q19" s="27">
        <f>MIN((R18)+P19,MAX(0,$C19-(E19+H19+K19+N19)))</f>
        <v/>
      </c>
      <c r="R19" s="27">
        <f>ROUND(MAX(0,(R18)+P19-Q19),2)</f>
        <v/>
      </c>
      <c r="S19" s="27">
        <f>ROUND((U18)*(IF('Your Debts'!$G$10=0,0,INDEX('Your Debts'!$C$5:$C$12,'Your Debts'!$G$10)/12)),2)</f>
        <v/>
      </c>
      <c r="T19" s="27">
        <f>MIN((U18)+S19,MAX(0,$C19-(E19+H19+K19+N19+Q19)))</f>
        <v/>
      </c>
      <c r="U19" s="27">
        <f>ROUND(MAX(0,(U18)+S19-T19),2)</f>
        <v/>
      </c>
      <c r="V19" s="27">
        <f>ROUND((X18)*(IF('Your Debts'!$G$11=0,0,INDEX('Your Debts'!$C$5:$C$12,'Your Debts'!$G$11)/12)),2)</f>
        <v/>
      </c>
      <c r="W19" s="27">
        <f>MIN((X18)+V19,MAX(0,$C19-(E19+H19+K19+N19+Q19+T19)))</f>
        <v/>
      </c>
      <c r="X19" s="27">
        <f>ROUND(MAX(0,(X18)+V19-W19),2)</f>
        <v/>
      </c>
      <c r="Y19" s="27">
        <f>ROUND((AA18)*(IF('Your Debts'!$G$12=0,0,INDEX('Your Debts'!$C$5:$C$12,'Your Debts'!$G$12)/12)),2)</f>
        <v/>
      </c>
      <c r="Z19" s="27">
        <f>MIN((AA18)+Y19,MAX(0,$C19-(E19+H19+K19+N19+Q19+T19+W19)))</f>
        <v/>
      </c>
      <c r="AA19" s="27">
        <f>ROUND(MAX(0,(AA18)+Y19-Z19),2)</f>
        <v/>
      </c>
      <c r="AB19" s="18">
        <f>F19+I19+L19+O19+R19+U19+X19+AA19</f>
        <v/>
      </c>
      <c r="AC19" s="26">
        <f>AC18+D19+G19+J19+M19+P19+S19+V19+Y19</f>
        <v/>
      </c>
    </row>
    <row r="20">
      <c r="A20" s="24" t="n">
        <v>15</v>
      </c>
      <c r="B20" s="25">
        <f>EDATE('Your Debts'!$B$19,14)</f>
        <v/>
      </c>
      <c r="C20" s="26">
        <f>'Your Debts'!$B$18</f>
        <v/>
      </c>
      <c r="D20" s="27">
        <f>ROUND((F19)*(IF('Your Debts'!$G$5=0,0,INDEX('Your Debts'!$C$5:$C$12,'Your Debts'!$G$5)/12)),2)</f>
        <v/>
      </c>
      <c r="E20" s="27">
        <f>MIN((F19)+D20,MAX(0,$C20-(0)))</f>
        <v/>
      </c>
      <c r="F20" s="27">
        <f>ROUND(MAX(0,(F19)+D20-E20),2)</f>
        <v/>
      </c>
      <c r="G20" s="27">
        <f>ROUND((I19)*(IF('Your Debts'!$G$6=0,0,INDEX('Your Debts'!$C$5:$C$12,'Your Debts'!$G$6)/12)),2)</f>
        <v/>
      </c>
      <c r="H20" s="27">
        <f>MIN((I19)+G20,MAX(0,$C20-(E20)))</f>
        <v/>
      </c>
      <c r="I20" s="27">
        <f>ROUND(MAX(0,(I19)+G20-H20),2)</f>
        <v/>
      </c>
      <c r="J20" s="27">
        <f>ROUND((L19)*(IF('Your Debts'!$G$7=0,0,INDEX('Your Debts'!$C$5:$C$12,'Your Debts'!$G$7)/12)),2)</f>
        <v/>
      </c>
      <c r="K20" s="27">
        <f>MIN((L19)+J20,MAX(0,$C20-(E20+H20)))</f>
        <v/>
      </c>
      <c r="L20" s="27">
        <f>ROUND(MAX(0,(L19)+J20-K20),2)</f>
        <v/>
      </c>
      <c r="M20" s="27">
        <f>ROUND((O19)*(IF('Your Debts'!$G$8=0,0,INDEX('Your Debts'!$C$5:$C$12,'Your Debts'!$G$8)/12)),2)</f>
        <v/>
      </c>
      <c r="N20" s="27">
        <f>MIN((O19)+M20,MAX(0,$C20-(E20+H20+K20)))</f>
        <v/>
      </c>
      <c r="O20" s="27">
        <f>ROUND(MAX(0,(O19)+M20-N20),2)</f>
        <v/>
      </c>
      <c r="P20" s="27">
        <f>ROUND((R19)*(IF('Your Debts'!$G$9=0,0,INDEX('Your Debts'!$C$5:$C$12,'Your Debts'!$G$9)/12)),2)</f>
        <v/>
      </c>
      <c r="Q20" s="27">
        <f>MIN((R19)+P20,MAX(0,$C20-(E20+H20+K20+N20)))</f>
        <v/>
      </c>
      <c r="R20" s="27">
        <f>ROUND(MAX(0,(R19)+P20-Q20),2)</f>
        <v/>
      </c>
      <c r="S20" s="27">
        <f>ROUND((U19)*(IF('Your Debts'!$G$10=0,0,INDEX('Your Debts'!$C$5:$C$12,'Your Debts'!$G$10)/12)),2)</f>
        <v/>
      </c>
      <c r="T20" s="27">
        <f>MIN((U19)+S20,MAX(0,$C20-(E20+H20+K20+N20+Q20)))</f>
        <v/>
      </c>
      <c r="U20" s="27">
        <f>ROUND(MAX(0,(U19)+S20-T20),2)</f>
        <v/>
      </c>
      <c r="V20" s="27">
        <f>ROUND((X19)*(IF('Your Debts'!$G$11=0,0,INDEX('Your Debts'!$C$5:$C$12,'Your Debts'!$G$11)/12)),2)</f>
        <v/>
      </c>
      <c r="W20" s="27">
        <f>MIN((X19)+V20,MAX(0,$C20-(E20+H20+K20+N20+Q20+T20)))</f>
        <v/>
      </c>
      <c r="X20" s="27">
        <f>ROUND(MAX(0,(X19)+V20-W20),2)</f>
        <v/>
      </c>
      <c r="Y20" s="27">
        <f>ROUND((AA19)*(IF('Your Debts'!$G$12=0,0,INDEX('Your Debts'!$C$5:$C$12,'Your Debts'!$G$12)/12)),2)</f>
        <v/>
      </c>
      <c r="Z20" s="27">
        <f>MIN((AA19)+Y20,MAX(0,$C20-(E20+H20+K20+N20+Q20+T20+W20)))</f>
        <v/>
      </c>
      <c r="AA20" s="27">
        <f>ROUND(MAX(0,(AA19)+Y20-Z20),2)</f>
        <v/>
      </c>
      <c r="AB20" s="18">
        <f>F20+I20+L20+O20+R20+U20+X20+AA20</f>
        <v/>
      </c>
      <c r="AC20" s="26">
        <f>AC19+D20+G20+J20+M20+P20+S20+V20+Y20</f>
        <v/>
      </c>
    </row>
    <row r="21">
      <c r="A21" s="24" t="n">
        <v>16</v>
      </c>
      <c r="B21" s="25">
        <f>EDATE('Your Debts'!$B$19,15)</f>
        <v/>
      </c>
      <c r="C21" s="26">
        <f>'Your Debts'!$B$18</f>
        <v/>
      </c>
      <c r="D21" s="27">
        <f>ROUND((F20)*(IF('Your Debts'!$G$5=0,0,INDEX('Your Debts'!$C$5:$C$12,'Your Debts'!$G$5)/12)),2)</f>
        <v/>
      </c>
      <c r="E21" s="27">
        <f>MIN((F20)+D21,MAX(0,$C21-(0)))</f>
        <v/>
      </c>
      <c r="F21" s="27">
        <f>ROUND(MAX(0,(F20)+D21-E21),2)</f>
        <v/>
      </c>
      <c r="G21" s="27">
        <f>ROUND((I20)*(IF('Your Debts'!$G$6=0,0,INDEX('Your Debts'!$C$5:$C$12,'Your Debts'!$G$6)/12)),2)</f>
        <v/>
      </c>
      <c r="H21" s="27">
        <f>MIN((I20)+G21,MAX(0,$C21-(E21)))</f>
        <v/>
      </c>
      <c r="I21" s="27">
        <f>ROUND(MAX(0,(I20)+G21-H21),2)</f>
        <v/>
      </c>
      <c r="J21" s="27">
        <f>ROUND((L20)*(IF('Your Debts'!$G$7=0,0,INDEX('Your Debts'!$C$5:$C$12,'Your Debts'!$G$7)/12)),2)</f>
        <v/>
      </c>
      <c r="K21" s="27">
        <f>MIN((L20)+J21,MAX(0,$C21-(E21+H21)))</f>
        <v/>
      </c>
      <c r="L21" s="27">
        <f>ROUND(MAX(0,(L20)+J21-K21),2)</f>
        <v/>
      </c>
      <c r="M21" s="27">
        <f>ROUND((O20)*(IF('Your Debts'!$G$8=0,0,INDEX('Your Debts'!$C$5:$C$12,'Your Debts'!$G$8)/12)),2)</f>
        <v/>
      </c>
      <c r="N21" s="27">
        <f>MIN((O20)+M21,MAX(0,$C21-(E21+H21+K21)))</f>
        <v/>
      </c>
      <c r="O21" s="27">
        <f>ROUND(MAX(0,(O20)+M21-N21),2)</f>
        <v/>
      </c>
      <c r="P21" s="27">
        <f>ROUND((R20)*(IF('Your Debts'!$G$9=0,0,INDEX('Your Debts'!$C$5:$C$12,'Your Debts'!$G$9)/12)),2)</f>
        <v/>
      </c>
      <c r="Q21" s="27">
        <f>MIN((R20)+P21,MAX(0,$C21-(E21+H21+K21+N21)))</f>
        <v/>
      </c>
      <c r="R21" s="27">
        <f>ROUND(MAX(0,(R20)+P21-Q21),2)</f>
        <v/>
      </c>
      <c r="S21" s="27">
        <f>ROUND((U20)*(IF('Your Debts'!$G$10=0,0,INDEX('Your Debts'!$C$5:$C$12,'Your Debts'!$G$10)/12)),2)</f>
        <v/>
      </c>
      <c r="T21" s="27">
        <f>MIN((U20)+S21,MAX(0,$C21-(E21+H21+K21+N21+Q21)))</f>
        <v/>
      </c>
      <c r="U21" s="27">
        <f>ROUND(MAX(0,(U20)+S21-T21),2)</f>
        <v/>
      </c>
      <c r="V21" s="27">
        <f>ROUND((X20)*(IF('Your Debts'!$G$11=0,0,INDEX('Your Debts'!$C$5:$C$12,'Your Debts'!$G$11)/12)),2)</f>
        <v/>
      </c>
      <c r="W21" s="27">
        <f>MIN((X20)+V21,MAX(0,$C21-(E21+H21+K21+N21+Q21+T21)))</f>
        <v/>
      </c>
      <c r="X21" s="27">
        <f>ROUND(MAX(0,(X20)+V21-W21),2)</f>
        <v/>
      </c>
      <c r="Y21" s="27">
        <f>ROUND((AA20)*(IF('Your Debts'!$G$12=0,0,INDEX('Your Debts'!$C$5:$C$12,'Your Debts'!$G$12)/12)),2)</f>
        <v/>
      </c>
      <c r="Z21" s="27">
        <f>MIN((AA20)+Y21,MAX(0,$C21-(E21+H21+K21+N21+Q21+T21+W21)))</f>
        <v/>
      </c>
      <c r="AA21" s="27">
        <f>ROUND(MAX(0,(AA20)+Y21-Z21),2)</f>
        <v/>
      </c>
      <c r="AB21" s="18">
        <f>F21+I21+L21+O21+R21+U21+X21+AA21</f>
        <v/>
      </c>
      <c r="AC21" s="26">
        <f>AC20+D21+G21+J21+M21+P21+S21+V21+Y21</f>
        <v/>
      </c>
    </row>
    <row r="22">
      <c r="A22" s="24" t="n">
        <v>17</v>
      </c>
      <c r="B22" s="25">
        <f>EDATE('Your Debts'!$B$19,16)</f>
        <v/>
      </c>
      <c r="C22" s="26">
        <f>'Your Debts'!$B$18</f>
        <v/>
      </c>
      <c r="D22" s="27">
        <f>ROUND((F21)*(IF('Your Debts'!$G$5=0,0,INDEX('Your Debts'!$C$5:$C$12,'Your Debts'!$G$5)/12)),2)</f>
        <v/>
      </c>
      <c r="E22" s="27">
        <f>MIN((F21)+D22,MAX(0,$C22-(0)))</f>
        <v/>
      </c>
      <c r="F22" s="27">
        <f>ROUND(MAX(0,(F21)+D22-E22),2)</f>
        <v/>
      </c>
      <c r="G22" s="27">
        <f>ROUND((I21)*(IF('Your Debts'!$G$6=0,0,INDEX('Your Debts'!$C$5:$C$12,'Your Debts'!$G$6)/12)),2)</f>
        <v/>
      </c>
      <c r="H22" s="27">
        <f>MIN((I21)+G22,MAX(0,$C22-(E22)))</f>
        <v/>
      </c>
      <c r="I22" s="27">
        <f>ROUND(MAX(0,(I21)+G22-H22),2)</f>
        <v/>
      </c>
      <c r="J22" s="27">
        <f>ROUND((L21)*(IF('Your Debts'!$G$7=0,0,INDEX('Your Debts'!$C$5:$C$12,'Your Debts'!$G$7)/12)),2)</f>
        <v/>
      </c>
      <c r="K22" s="27">
        <f>MIN((L21)+J22,MAX(0,$C22-(E22+H22)))</f>
        <v/>
      </c>
      <c r="L22" s="27">
        <f>ROUND(MAX(0,(L21)+J22-K22),2)</f>
        <v/>
      </c>
      <c r="M22" s="27">
        <f>ROUND((O21)*(IF('Your Debts'!$G$8=0,0,INDEX('Your Debts'!$C$5:$C$12,'Your Debts'!$G$8)/12)),2)</f>
        <v/>
      </c>
      <c r="N22" s="27">
        <f>MIN((O21)+M22,MAX(0,$C22-(E22+H22+K22)))</f>
        <v/>
      </c>
      <c r="O22" s="27">
        <f>ROUND(MAX(0,(O21)+M22-N22),2)</f>
        <v/>
      </c>
      <c r="P22" s="27">
        <f>ROUND((R21)*(IF('Your Debts'!$G$9=0,0,INDEX('Your Debts'!$C$5:$C$12,'Your Debts'!$G$9)/12)),2)</f>
        <v/>
      </c>
      <c r="Q22" s="27">
        <f>MIN((R21)+P22,MAX(0,$C22-(E22+H22+K22+N22)))</f>
        <v/>
      </c>
      <c r="R22" s="27">
        <f>ROUND(MAX(0,(R21)+P22-Q22),2)</f>
        <v/>
      </c>
      <c r="S22" s="27">
        <f>ROUND((U21)*(IF('Your Debts'!$G$10=0,0,INDEX('Your Debts'!$C$5:$C$12,'Your Debts'!$G$10)/12)),2)</f>
        <v/>
      </c>
      <c r="T22" s="27">
        <f>MIN((U21)+S22,MAX(0,$C22-(E22+H22+K22+N22+Q22)))</f>
        <v/>
      </c>
      <c r="U22" s="27">
        <f>ROUND(MAX(0,(U21)+S22-T22),2)</f>
        <v/>
      </c>
      <c r="V22" s="27">
        <f>ROUND((X21)*(IF('Your Debts'!$G$11=0,0,INDEX('Your Debts'!$C$5:$C$12,'Your Debts'!$G$11)/12)),2)</f>
        <v/>
      </c>
      <c r="W22" s="27">
        <f>MIN((X21)+V22,MAX(0,$C22-(E22+H22+K22+N22+Q22+T22)))</f>
        <v/>
      </c>
      <c r="X22" s="27">
        <f>ROUND(MAX(0,(X21)+V22-W22),2)</f>
        <v/>
      </c>
      <c r="Y22" s="27">
        <f>ROUND((AA21)*(IF('Your Debts'!$G$12=0,0,INDEX('Your Debts'!$C$5:$C$12,'Your Debts'!$G$12)/12)),2)</f>
        <v/>
      </c>
      <c r="Z22" s="27">
        <f>MIN((AA21)+Y22,MAX(0,$C22-(E22+H22+K22+N22+Q22+T22+W22)))</f>
        <v/>
      </c>
      <c r="AA22" s="27">
        <f>ROUND(MAX(0,(AA21)+Y22-Z22),2)</f>
        <v/>
      </c>
      <c r="AB22" s="18">
        <f>F22+I22+L22+O22+R22+U22+X22+AA22</f>
        <v/>
      </c>
      <c r="AC22" s="26">
        <f>AC21+D22+G22+J22+M22+P22+S22+V22+Y22</f>
        <v/>
      </c>
    </row>
    <row r="23">
      <c r="A23" s="24" t="n">
        <v>18</v>
      </c>
      <c r="B23" s="25">
        <f>EDATE('Your Debts'!$B$19,17)</f>
        <v/>
      </c>
      <c r="C23" s="26">
        <f>'Your Debts'!$B$18</f>
        <v/>
      </c>
      <c r="D23" s="27">
        <f>ROUND((F22)*(IF('Your Debts'!$G$5=0,0,INDEX('Your Debts'!$C$5:$C$12,'Your Debts'!$G$5)/12)),2)</f>
        <v/>
      </c>
      <c r="E23" s="27">
        <f>MIN((F22)+D23,MAX(0,$C23-(0)))</f>
        <v/>
      </c>
      <c r="F23" s="27">
        <f>ROUND(MAX(0,(F22)+D23-E23),2)</f>
        <v/>
      </c>
      <c r="G23" s="27">
        <f>ROUND((I22)*(IF('Your Debts'!$G$6=0,0,INDEX('Your Debts'!$C$5:$C$12,'Your Debts'!$G$6)/12)),2)</f>
        <v/>
      </c>
      <c r="H23" s="27">
        <f>MIN((I22)+G23,MAX(0,$C23-(E23)))</f>
        <v/>
      </c>
      <c r="I23" s="27">
        <f>ROUND(MAX(0,(I22)+G23-H23),2)</f>
        <v/>
      </c>
      <c r="J23" s="27">
        <f>ROUND((L22)*(IF('Your Debts'!$G$7=0,0,INDEX('Your Debts'!$C$5:$C$12,'Your Debts'!$G$7)/12)),2)</f>
        <v/>
      </c>
      <c r="K23" s="27">
        <f>MIN((L22)+J23,MAX(0,$C23-(E23+H23)))</f>
        <v/>
      </c>
      <c r="L23" s="27">
        <f>ROUND(MAX(0,(L22)+J23-K23),2)</f>
        <v/>
      </c>
      <c r="M23" s="27">
        <f>ROUND((O22)*(IF('Your Debts'!$G$8=0,0,INDEX('Your Debts'!$C$5:$C$12,'Your Debts'!$G$8)/12)),2)</f>
        <v/>
      </c>
      <c r="N23" s="27">
        <f>MIN((O22)+M23,MAX(0,$C23-(E23+H23+K23)))</f>
        <v/>
      </c>
      <c r="O23" s="27">
        <f>ROUND(MAX(0,(O22)+M23-N23),2)</f>
        <v/>
      </c>
      <c r="P23" s="27">
        <f>ROUND((R22)*(IF('Your Debts'!$G$9=0,0,INDEX('Your Debts'!$C$5:$C$12,'Your Debts'!$G$9)/12)),2)</f>
        <v/>
      </c>
      <c r="Q23" s="27">
        <f>MIN((R22)+P23,MAX(0,$C23-(E23+H23+K23+N23)))</f>
        <v/>
      </c>
      <c r="R23" s="27">
        <f>ROUND(MAX(0,(R22)+P23-Q23),2)</f>
        <v/>
      </c>
      <c r="S23" s="27">
        <f>ROUND((U22)*(IF('Your Debts'!$G$10=0,0,INDEX('Your Debts'!$C$5:$C$12,'Your Debts'!$G$10)/12)),2)</f>
        <v/>
      </c>
      <c r="T23" s="27">
        <f>MIN((U22)+S23,MAX(0,$C23-(E23+H23+K23+N23+Q23)))</f>
        <v/>
      </c>
      <c r="U23" s="27">
        <f>ROUND(MAX(0,(U22)+S23-T23),2)</f>
        <v/>
      </c>
      <c r="V23" s="27">
        <f>ROUND((X22)*(IF('Your Debts'!$G$11=0,0,INDEX('Your Debts'!$C$5:$C$12,'Your Debts'!$G$11)/12)),2)</f>
        <v/>
      </c>
      <c r="W23" s="27">
        <f>MIN((X22)+V23,MAX(0,$C23-(E23+H23+K23+N23+Q23+T23)))</f>
        <v/>
      </c>
      <c r="X23" s="27">
        <f>ROUND(MAX(0,(X22)+V23-W23),2)</f>
        <v/>
      </c>
      <c r="Y23" s="27">
        <f>ROUND((AA22)*(IF('Your Debts'!$G$12=0,0,INDEX('Your Debts'!$C$5:$C$12,'Your Debts'!$G$12)/12)),2)</f>
        <v/>
      </c>
      <c r="Z23" s="27">
        <f>MIN((AA22)+Y23,MAX(0,$C23-(E23+H23+K23+N23+Q23+T23+W23)))</f>
        <v/>
      </c>
      <c r="AA23" s="27">
        <f>ROUND(MAX(0,(AA22)+Y23-Z23),2)</f>
        <v/>
      </c>
      <c r="AB23" s="18">
        <f>F23+I23+L23+O23+R23+U23+X23+AA23</f>
        <v/>
      </c>
      <c r="AC23" s="26">
        <f>AC22+D23+G23+J23+M23+P23+S23+V23+Y23</f>
        <v/>
      </c>
    </row>
    <row r="24">
      <c r="A24" s="24" t="n">
        <v>19</v>
      </c>
      <c r="B24" s="25">
        <f>EDATE('Your Debts'!$B$19,18)</f>
        <v/>
      </c>
      <c r="C24" s="26">
        <f>'Your Debts'!$B$18</f>
        <v/>
      </c>
      <c r="D24" s="27">
        <f>ROUND((F23)*(IF('Your Debts'!$G$5=0,0,INDEX('Your Debts'!$C$5:$C$12,'Your Debts'!$G$5)/12)),2)</f>
        <v/>
      </c>
      <c r="E24" s="27">
        <f>MIN((F23)+D24,MAX(0,$C24-(0)))</f>
        <v/>
      </c>
      <c r="F24" s="27">
        <f>ROUND(MAX(0,(F23)+D24-E24),2)</f>
        <v/>
      </c>
      <c r="G24" s="27">
        <f>ROUND((I23)*(IF('Your Debts'!$G$6=0,0,INDEX('Your Debts'!$C$5:$C$12,'Your Debts'!$G$6)/12)),2)</f>
        <v/>
      </c>
      <c r="H24" s="27">
        <f>MIN((I23)+G24,MAX(0,$C24-(E24)))</f>
        <v/>
      </c>
      <c r="I24" s="27">
        <f>ROUND(MAX(0,(I23)+G24-H24),2)</f>
        <v/>
      </c>
      <c r="J24" s="27">
        <f>ROUND((L23)*(IF('Your Debts'!$G$7=0,0,INDEX('Your Debts'!$C$5:$C$12,'Your Debts'!$G$7)/12)),2)</f>
        <v/>
      </c>
      <c r="K24" s="27">
        <f>MIN((L23)+J24,MAX(0,$C24-(E24+H24)))</f>
        <v/>
      </c>
      <c r="L24" s="27">
        <f>ROUND(MAX(0,(L23)+J24-K24),2)</f>
        <v/>
      </c>
      <c r="M24" s="27">
        <f>ROUND((O23)*(IF('Your Debts'!$G$8=0,0,INDEX('Your Debts'!$C$5:$C$12,'Your Debts'!$G$8)/12)),2)</f>
        <v/>
      </c>
      <c r="N24" s="27">
        <f>MIN((O23)+M24,MAX(0,$C24-(E24+H24+K24)))</f>
        <v/>
      </c>
      <c r="O24" s="27">
        <f>ROUND(MAX(0,(O23)+M24-N24),2)</f>
        <v/>
      </c>
      <c r="P24" s="27">
        <f>ROUND((R23)*(IF('Your Debts'!$G$9=0,0,INDEX('Your Debts'!$C$5:$C$12,'Your Debts'!$G$9)/12)),2)</f>
        <v/>
      </c>
      <c r="Q24" s="27">
        <f>MIN((R23)+P24,MAX(0,$C24-(E24+H24+K24+N24)))</f>
        <v/>
      </c>
      <c r="R24" s="27">
        <f>ROUND(MAX(0,(R23)+P24-Q24),2)</f>
        <v/>
      </c>
      <c r="S24" s="27">
        <f>ROUND((U23)*(IF('Your Debts'!$G$10=0,0,INDEX('Your Debts'!$C$5:$C$12,'Your Debts'!$G$10)/12)),2)</f>
        <v/>
      </c>
      <c r="T24" s="27">
        <f>MIN((U23)+S24,MAX(0,$C24-(E24+H24+K24+N24+Q24)))</f>
        <v/>
      </c>
      <c r="U24" s="27">
        <f>ROUND(MAX(0,(U23)+S24-T24),2)</f>
        <v/>
      </c>
      <c r="V24" s="27">
        <f>ROUND((X23)*(IF('Your Debts'!$G$11=0,0,INDEX('Your Debts'!$C$5:$C$12,'Your Debts'!$G$11)/12)),2)</f>
        <v/>
      </c>
      <c r="W24" s="27">
        <f>MIN((X23)+V24,MAX(0,$C24-(E24+H24+K24+N24+Q24+T24)))</f>
        <v/>
      </c>
      <c r="X24" s="27">
        <f>ROUND(MAX(0,(X23)+V24-W24),2)</f>
        <v/>
      </c>
      <c r="Y24" s="27">
        <f>ROUND((AA23)*(IF('Your Debts'!$G$12=0,0,INDEX('Your Debts'!$C$5:$C$12,'Your Debts'!$G$12)/12)),2)</f>
        <v/>
      </c>
      <c r="Z24" s="27">
        <f>MIN((AA23)+Y24,MAX(0,$C24-(E24+H24+K24+N24+Q24+T24+W24)))</f>
        <v/>
      </c>
      <c r="AA24" s="27">
        <f>ROUND(MAX(0,(AA23)+Y24-Z24),2)</f>
        <v/>
      </c>
      <c r="AB24" s="18">
        <f>F24+I24+L24+O24+R24+U24+X24+AA24</f>
        <v/>
      </c>
      <c r="AC24" s="26">
        <f>AC23+D24+G24+J24+M24+P24+S24+V24+Y24</f>
        <v/>
      </c>
    </row>
    <row r="25">
      <c r="A25" s="24" t="n">
        <v>20</v>
      </c>
      <c r="B25" s="25">
        <f>EDATE('Your Debts'!$B$19,19)</f>
        <v/>
      </c>
      <c r="C25" s="26">
        <f>'Your Debts'!$B$18</f>
        <v/>
      </c>
      <c r="D25" s="27">
        <f>ROUND((F24)*(IF('Your Debts'!$G$5=0,0,INDEX('Your Debts'!$C$5:$C$12,'Your Debts'!$G$5)/12)),2)</f>
        <v/>
      </c>
      <c r="E25" s="27">
        <f>MIN((F24)+D25,MAX(0,$C25-(0)))</f>
        <v/>
      </c>
      <c r="F25" s="27">
        <f>ROUND(MAX(0,(F24)+D25-E25),2)</f>
        <v/>
      </c>
      <c r="G25" s="27">
        <f>ROUND((I24)*(IF('Your Debts'!$G$6=0,0,INDEX('Your Debts'!$C$5:$C$12,'Your Debts'!$G$6)/12)),2)</f>
        <v/>
      </c>
      <c r="H25" s="27">
        <f>MIN((I24)+G25,MAX(0,$C25-(E25)))</f>
        <v/>
      </c>
      <c r="I25" s="27">
        <f>ROUND(MAX(0,(I24)+G25-H25),2)</f>
        <v/>
      </c>
      <c r="J25" s="27">
        <f>ROUND((L24)*(IF('Your Debts'!$G$7=0,0,INDEX('Your Debts'!$C$5:$C$12,'Your Debts'!$G$7)/12)),2)</f>
        <v/>
      </c>
      <c r="K25" s="27">
        <f>MIN((L24)+J25,MAX(0,$C25-(E25+H25)))</f>
        <v/>
      </c>
      <c r="L25" s="27">
        <f>ROUND(MAX(0,(L24)+J25-K25),2)</f>
        <v/>
      </c>
      <c r="M25" s="27">
        <f>ROUND((O24)*(IF('Your Debts'!$G$8=0,0,INDEX('Your Debts'!$C$5:$C$12,'Your Debts'!$G$8)/12)),2)</f>
        <v/>
      </c>
      <c r="N25" s="27">
        <f>MIN((O24)+M25,MAX(0,$C25-(E25+H25+K25)))</f>
        <v/>
      </c>
      <c r="O25" s="27">
        <f>ROUND(MAX(0,(O24)+M25-N25),2)</f>
        <v/>
      </c>
      <c r="P25" s="27">
        <f>ROUND((R24)*(IF('Your Debts'!$G$9=0,0,INDEX('Your Debts'!$C$5:$C$12,'Your Debts'!$G$9)/12)),2)</f>
        <v/>
      </c>
      <c r="Q25" s="27">
        <f>MIN((R24)+P25,MAX(0,$C25-(E25+H25+K25+N25)))</f>
        <v/>
      </c>
      <c r="R25" s="27">
        <f>ROUND(MAX(0,(R24)+P25-Q25),2)</f>
        <v/>
      </c>
      <c r="S25" s="27">
        <f>ROUND((U24)*(IF('Your Debts'!$G$10=0,0,INDEX('Your Debts'!$C$5:$C$12,'Your Debts'!$G$10)/12)),2)</f>
        <v/>
      </c>
      <c r="T25" s="27">
        <f>MIN((U24)+S25,MAX(0,$C25-(E25+H25+K25+N25+Q25)))</f>
        <v/>
      </c>
      <c r="U25" s="27">
        <f>ROUND(MAX(0,(U24)+S25-T25),2)</f>
        <v/>
      </c>
      <c r="V25" s="27">
        <f>ROUND((X24)*(IF('Your Debts'!$G$11=0,0,INDEX('Your Debts'!$C$5:$C$12,'Your Debts'!$G$11)/12)),2)</f>
        <v/>
      </c>
      <c r="W25" s="27">
        <f>MIN((X24)+V25,MAX(0,$C25-(E25+H25+K25+N25+Q25+T25)))</f>
        <v/>
      </c>
      <c r="X25" s="27">
        <f>ROUND(MAX(0,(X24)+V25-W25),2)</f>
        <v/>
      </c>
      <c r="Y25" s="27">
        <f>ROUND((AA24)*(IF('Your Debts'!$G$12=0,0,INDEX('Your Debts'!$C$5:$C$12,'Your Debts'!$G$12)/12)),2)</f>
        <v/>
      </c>
      <c r="Z25" s="27">
        <f>MIN((AA24)+Y25,MAX(0,$C25-(E25+H25+K25+N25+Q25+T25+W25)))</f>
        <v/>
      </c>
      <c r="AA25" s="27">
        <f>ROUND(MAX(0,(AA24)+Y25-Z25),2)</f>
        <v/>
      </c>
      <c r="AB25" s="18">
        <f>F25+I25+L25+O25+R25+U25+X25+AA25</f>
        <v/>
      </c>
      <c r="AC25" s="26">
        <f>AC24+D25+G25+J25+M25+P25+S25+V25+Y25</f>
        <v/>
      </c>
    </row>
    <row r="26">
      <c r="A26" s="24" t="n">
        <v>21</v>
      </c>
      <c r="B26" s="25">
        <f>EDATE('Your Debts'!$B$19,20)</f>
        <v/>
      </c>
      <c r="C26" s="26">
        <f>'Your Debts'!$B$18</f>
        <v/>
      </c>
      <c r="D26" s="27">
        <f>ROUND((F25)*(IF('Your Debts'!$G$5=0,0,INDEX('Your Debts'!$C$5:$C$12,'Your Debts'!$G$5)/12)),2)</f>
        <v/>
      </c>
      <c r="E26" s="27">
        <f>MIN((F25)+D26,MAX(0,$C26-(0)))</f>
        <v/>
      </c>
      <c r="F26" s="27">
        <f>ROUND(MAX(0,(F25)+D26-E26),2)</f>
        <v/>
      </c>
      <c r="G26" s="27">
        <f>ROUND((I25)*(IF('Your Debts'!$G$6=0,0,INDEX('Your Debts'!$C$5:$C$12,'Your Debts'!$G$6)/12)),2)</f>
        <v/>
      </c>
      <c r="H26" s="27">
        <f>MIN((I25)+G26,MAX(0,$C26-(E26)))</f>
        <v/>
      </c>
      <c r="I26" s="27">
        <f>ROUND(MAX(0,(I25)+G26-H26),2)</f>
        <v/>
      </c>
      <c r="J26" s="27">
        <f>ROUND((L25)*(IF('Your Debts'!$G$7=0,0,INDEX('Your Debts'!$C$5:$C$12,'Your Debts'!$G$7)/12)),2)</f>
        <v/>
      </c>
      <c r="K26" s="27">
        <f>MIN((L25)+J26,MAX(0,$C26-(E26+H26)))</f>
        <v/>
      </c>
      <c r="L26" s="27">
        <f>ROUND(MAX(0,(L25)+J26-K26),2)</f>
        <v/>
      </c>
      <c r="M26" s="27">
        <f>ROUND((O25)*(IF('Your Debts'!$G$8=0,0,INDEX('Your Debts'!$C$5:$C$12,'Your Debts'!$G$8)/12)),2)</f>
        <v/>
      </c>
      <c r="N26" s="27">
        <f>MIN((O25)+M26,MAX(0,$C26-(E26+H26+K26)))</f>
        <v/>
      </c>
      <c r="O26" s="27">
        <f>ROUND(MAX(0,(O25)+M26-N26),2)</f>
        <v/>
      </c>
      <c r="P26" s="27">
        <f>ROUND((R25)*(IF('Your Debts'!$G$9=0,0,INDEX('Your Debts'!$C$5:$C$12,'Your Debts'!$G$9)/12)),2)</f>
        <v/>
      </c>
      <c r="Q26" s="27">
        <f>MIN((R25)+P26,MAX(0,$C26-(E26+H26+K26+N26)))</f>
        <v/>
      </c>
      <c r="R26" s="27">
        <f>ROUND(MAX(0,(R25)+P26-Q26),2)</f>
        <v/>
      </c>
      <c r="S26" s="27">
        <f>ROUND((U25)*(IF('Your Debts'!$G$10=0,0,INDEX('Your Debts'!$C$5:$C$12,'Your Debts'!$G$10)/12)),2)</f>
        <v/>
      </c>
      <c r="T26" s="27">
        <f>MIN((U25)+S26,MAX(0,$C26-(E26+H26+K26+N26+Q26)))</f>
        <v/>
      </c>
      <c r="U26" s="27">
        <f>ROUND(MAX(0,(U25)+S26-T26),2)</f>
        <v/>
      </c>
      <c r="V26" s="27">
        <f>ROUND((X25)*(IF('Your Debts'!$G$11=0,0,INDEX('Your Debts'!$C$5:$C$12,'Your Debts'!$G$11)/12)),2)</f>
        <v/>
      </c>
      <c r="W26" s="27">
        <f>MIN((X25)+V26,MAX(0,$C26-(E26+H26+K26+N26+Q26+T26)))</f>
        <v/>
      </c>
      <c r="X26" s="27">
        <f>ROUND(MAX(0,(X25)+V26-W26),2)</f>
        <v/>
      </c>
      <c r="Y26" s="27">
        <f>ROUND((AA25)*(IF('Your Debts'!$G$12=0,0,INDEX('Your Debts'!$C$5:$C$12,'Your Debts'!$G$12)/12)),2)</f>
        <v/>
      </c>
      <c r="Z26" s="27">
        <f>MIN((AA25)+Y26,MAX(0,$C26-(E26+H26+K26+N26+Q26+T26+W26)))</f>
        <v/>
      </c>
      <c r="AA26" s="27">
        <f>ROUND(MAX(0,(AA25)+Y26-Z26),2)</f>
        <v/>
      </c>
      <c r="AB26" s="18">
        <f>F26+I26+L26+O26+R26+U26+X26+AA26</f>
        <v/>
      </c>
      <c r="AC26" s="26">
        <f>AC25+D26+G26+J26+M26+P26+S26+V26+Y26</f>
        <v/>
      </c>
    </row>
    <row r="27">
      <c r="A27" s="24" t="n">
        <v>22</v>
      </c>
      <c r="B27" s="25">
        <f>EDATE('Your Debts'!$B$19,21)</f>
        <v/>
      </c>
      <c r="C27" s="26">
        <f>'Your Debts'!$B$18</f>
        <v/>
      </c>
      <c r="D27" s="27">
        <f>ROUND((F26)*(IF('Your Debts'!$G$5=0,0,INDEX('Your Debts'!$C$5:$C$12,'Your Debts'!$G$5)/12)),2)</f>
        <v/>
      </c>
      <c r="E27" s="27">
        <f>MIN((F26)+D27,MAX(0,$C27-(0)))</f>
        <v/>
      </c>
      <c r="F27" s="27">
        <f>ROUND(MAX(0,(F26)+D27-E27),2)</f>
        <v/>
      </c>
      <c r="G27" s="27">
        <f>ROUND((I26)*(IF('Your Debts'!$G$6=0,0,INDEX('Your Debts'!$C$5:$C$12,'Your Debts'!$G$6)/12)),2)</f>
        <v/>
      </c>
      <c r="H27" s="27">
        <f>MIN((I26)+G27,MAX(0,$C27-(E27)))</f>
        <v/>
      </c>
      <c r="I27" s="27">
        <f>ROUND(MAX(0,(I26)+G27-H27),2)</f>
        <v/>
      </c>
      <c r="J27" s="27">
        <f>ROUND((L26)*(IF('Your Debts'!$G$7=0,0,INDEX('Your Debts'!$C$5:$C$12,'Your Debts'!$G$7)/12)),2)</f>
        <v/>
      </c>
      <c r="K27" s="27">
        <f>MIN((L26)+J27,MAX(0,$C27-(E27+H27)))</f>
        <v/>
      </c>
      <c r="L27" s="27">
        <f>ROUND(MAX(0,(L26)+J27-K27),2)</f>
        <v/>
      </c>
      <c r="M27" s="27">
        <f>ROUND((O26)*(IF('Your Debts'!$G$8=0,0,INDEX('Your Debts'!$C$5:$C$12,'Your Debts'!$G$8)/12)),2)</f>
        <v/>
      </c>
      <c r="N27" s="27">
        <f>MIN((O26)+M27,MAX(0,$C27-(E27+H27+K27)))</f>
        <v/>
      </c>
      <c r="O27" s="27">
        <f>ROUND(MAX(0,(O26)+M27-N27),2)</f>
        <v/>
      </c>
      <c r="P27" s="27">
        <f>ROUND((R26)*(IF('Your Debts'!$G$9=0,0,INDEX('Your Debts'!$C$5:$C$12,'Your Debts'!$G$9)/12)),2)</f>
        <v/>
      </c>
      <c r="Q27" s="27">
        <f>MIN((R26)+P27,MAX(0,$C27-(E27+H27+K27+N27)))</f>
        <v/>
      </c>
      <c r="R27" s="27">
        <f>ROUND(MAX(0,(R26)+P27-Q27),2)</f>
        <v/>
      </c>
      <c r="S27" s="27">
        <f>ROUND((U26)*(IF('Your Debts'!$G$10=0,0,INDEX('Your Debts'!$C$5:$C$12,'Your Debts'!$G$10)/12)),2)</f>
        <v/>
      </c>
      <c r="T27" s="27">
        <f>MIN((U26)+S27,MAX(0,$C27-(E27+H27+K27+N27+Q27)))</f>
        <v/>
      </c>
      <c r="U27" s="27">
        <f>ROUND(MAX(0,(U26)+S27-T27),2)</f>
        <v/>
      </c>
      <c r="V27" s="27">
        <f>ROUND((X26)*(IF('Your Debts'!$G$11=0,0,INDEX('Your Debts'!$C$5:$C$12,'Your Debts'!$G$11)/12)),2)</f>
        <v/>
      </c>
      <c r="W27" s="27">
        <f>MIN((X26)+V27,MAX(0,$C27-(E27+H27+K27+N27+Q27+T27)))</f>
        <v/>
      </c>
      <c r="X27" s="27">
        <f>ROUND(MAX(0,(X26)+V27-W27),2)</f>
        <v/>
      </c>
      <c r="Y27" s="27">
        <f>ROUND((AA26)*(IF('Your Debts'!$G$12=0,0,INDEX('Your Debts'!$C$5:$C$12,'Your Debts'!$G$12)/12)),2)</f>
        <v/>
      </c>
      <c r="Z27" s="27">
        <f>MIN((AA26)+Y27,MAX(0,$C27-(E27+H27+K27+N27+Q27+T27+W27)))</f>
        <v/>
      </c>
      <c r="AA27" s="27">
        <f>ROUND(MAX(0,(AA26)+Y27-Z27),2)</f>
        <v/>
      </c>
      <c r="AB27" s="18">
        <f>F27+I27+L27+O27+R27+U27+X27+AA27</f>
        <v/>
      </c>
      <c r="AC27" s="26">
        <f>AC26+D27+G27+J27+M27+P27+S27+V27+Y27</f>
        <v/>
      </c>
    </row>
    <row r="28">
      <c r="A28" s="24" t="n">
        <v>23</v>
      </c>
      <c r="B28" s="25">
        <f>EDATE('Your Debts'!$B$19,22)</f>
        <v/>
      </c>
      <c r="C28" s="26">
        <f>'Your Debts'!$B$18</f>
        <v/>
      </c>
      <c r="D28" s="27">
        <f>ROUND((F27)*(IF('Your Debts'!$G$5=0,0,INDEX('Your Debts'!$C$5:$C$12,'Your Debts'!$G$5)/12)),2)</f>
        <v/>
      </c>
      <c r="E28" s="27">
        <f>MIN((F27)+D28,MAX(0,$C28-(0)))</f>
        <v/>
      </c>
      <c r="F28" s="27">
        <f>ROUND(MAX(0,(F27)+D28-E28),2)</f>
        <v/>
      </c>
      <c r="G28" s="27">
        <f>ROUND((I27)*(IF('Your Debts'!$G$6=0,0,INDEX('Your Debts'!$C$5:$C$12,'Your Debts'!$G$6)/12)),2)</f>
        <v/>
      </c>
      <c r="H28" s="27">
        <f>MIN((I27)+G28,MAX(0,$C28-(E28)))</f>
        <v/>
      </c>
      <c r="I28" s="27">
        <f>ROUND(MAX(0,(I27)+G28-H28),2)</f>
        <v/>
      </c>
      <c r="J28" s="27">
        <f>ROUND((L27)*(IF('Your Debts'!$G$7=0,0,INDEX('Your Debts'!$C$5:$C$12,'Your Debts'!$G$7)/12)),2)</f>
        <v/>
      </c>
      <c r="K28" s="27">
        <f>MIN((L27)+J28,MAX(0,$C28-(E28+H28)))</f>
        <v/>
      </c>
      <c r="L28" s="27">
        <f>ROUND(MAX(0,(L27)+J28-K28),2)</f>
        <v/>
      </c>
      <c r="M28" s="27">
        <f>ROUND((O27)*(IF('Your Debts'!$G$8=0,0,INDEX('Your Debts'!$C$5:$C$12,'Your Debts'!$G$8)/12)),2)</f>
        <v/>
      </c>
      <c r="N28" s="27">
        <f>MIN((O27)+M28,MAX(0,$C28-(E28+H28+K28)))</f>
        <v/>
      </c>
      <c r="O28" s="27">
        <f>ROUND(MAX(0,(O27)+M28-N28),2)</f>
        <v/>
      </c>
      <c r="P28" s="27">
        <f>ROUND((R27)*(IF('Your Debts'!$G$9=0,0,INDEX('Your Debts'!$C$5:$C$12,'Your Debts'!$G$9)/12)),2)</f>
        <v/>
      </c>
      <c r="Q28" s="27">
        <f>MIN((R27)+P28,MAX(0,$C28-(E28+H28+K28+N28)))</f>
        <v/>
      </c>
      <c r="R28" s="27">
        <f>ROUND(MAX(0,(R27)+P28-Q28),2)</f>
        <v/>
      </c>
      <c r="S28" s="27">
        <f>ROUND((U27)*(IF('Your Debts'!$G$10=0,0,INDEX('Your Debts'!$C$5:$C$12,'Your Debts'!$G$10)/12)),2)</f>
        <v/>
      </c>
      <c r="T28" s="27">
        <f>MIN((U27)+S28,MAX(0,$C28-(E28+H28+K28+N28+Q28)))</f>
        <v/>
      </c>
      <c r="U28" s="27">
        <f>ROUND(MAX(0,(U27)+S28-T28),2)</f>
        <v/>
      </c>
      <c r="V28" s="27">
        <f>ROUND((X27)*(IF('Your Debts'!$G$11=0,0,INDEX('Your Debts'!$C$5:$C$12,'Your Debts'!$G$11)/12)),2)</f>
        <v/>
      </c>
      <c r="W28" s="27">
        <f>MIN((X27)+V28,MAX(0,$C28-(E28+H28+K28+N28+Q28+T28)))</f>
        <v/>
      </c>
      <c r="X28" s="27">
        <f>ROUND(MAX(0,(X27)+V28-W28),2)</f>
        <v/>
      </c>
      <c r="Y28" s="27">
        <f>ROUND((AA27)*(IF('Your Debts'!$G$12=0,0,INDEX('Your Debts'!$C$5:$C$12,'Your Debts'!$G$12)/12)),2)</f>
        <v/>
      </c>
      <c r="Z28" s="27">
        <f>MIN((AA27)+Y28,MAX(0,$C28-(E28+H28+K28+N28+Q28+T28+W28)))</f>
        <v/>
      </c>
      <c r="AA28" s="27">
        <f>ROUND(MAX(0,(AA27)+Y28-Z28),2)</f>
        <v/>
      </c>
      <c r="AB28" s="18">
        <f>F28+I28+L28+O28+R28+U28+X28+AA28</f>
        <v/>
      </c>
      <c r="AC28" s="26">
        <f>AC27+D28+G28+J28+M28+P28+S28+V28+Y28</f>
        <v/>
      </c>
    </row>
    <row r="29">
      <c r="A29" s="24" t="n">
        <v>24</v>
      </c>
      <c r="B29" s="25">
        <f>EDATE('Your Debts'!$B$19,23)</f>
        <v/>
      </c>
      <c r="C29" s="26">
        <f>'Your Debts'!$B$18</f>
        <v/>
      </c>
      <c r="D29" s="27">
        <f>ROUND((F28)*(IF('Your Debts'!$G$5=0,0,INDEX('Your Debts'!$C$5:$C$12,'Your Debts'!$G$5)/12)),2)</f>
        <v/>
      </c>
      <c r="E29" s="27">
        <f>MIN((F28)+D29,MAX(0,$C29-(0)))</f>
        <v/>
      </c>
      <c r="F29" s="27">
        <f>ROUND(MAX(0,(F28)+D29-E29),2)</f>
        <v/>
      </c>
      <c r="G29" s="27">
        <f>ROUND((I28)*(IF('Your Debts'!$G$6=0,0,INDEX('Your Debts'!$C$5:$C$12,'Your Debts'!$G$6)/12)),2)</f>
        <v/>
      </c>
      <c r="H29" s="27">
        <f>MIN((I28)+G29,MAX(0,$C29-(E29)))</f>
        <v/>
      </c>
      <c r="I29" s="27">
        <f>ROUND(MAX(0,(I28)+G29-H29),2)</f>
        <v/>
      </c>
      <c r="J29" s="27">
        <f>ROUND((L28)*(IF('Your Debts'!$G$7=0,0,INDEX('Your Debts'!$C$5:$C$12,'Your Debts'!$G$7)/12)),2)</f>
        <v/>
      </c>
      <c r="K29" s="27">
        <f>MIN((L28)+J29,MAX(0,$C29-(E29+H29)))</f>
        <v/>
      </c>
      <c r="L29" s="27">
        <f>ROUND(MAX(0,(L28)+J29-K29),2)</f>
        <v/>
      </c>
      <c r="M29" s="27">
        <f>ROUND((O28)*(IF('Your Debts'!$G$8=0,0,INDEX('Your Debts'!$C$5:$C$12,'Your Debts'!$G$8)/12)),2)</f>
        <v/>
      </c>
      <c r="N29" s="27">
        <f>MIN((O28)+M29,MAX(0,$C29-(E29+H29+K29)))</f>
        <v/>
      </c>
      <c r="O29" s="27">
        <f>ROUND(MAX(0,(O28)+M29-N29),2)</f>
        <v/>
      </c>
      <c r="P29" s="27">
        <f>ROUND((R28)*(IF('Your Debts'!$G$9=0,0,INDEX('Your Debts'!$C$5:$C$12,'Your Debts'!$G$9)/12)),2)</f>
        <v/>
      </c>
      <c r="Q29" s="27">
        <f>MIN((R28)+P29,MAX(0,$C29-(E29+H29+K29+N29)))</f>
        <v/>
      </c>
      <c r="R29" s="27">
        <f>ROUND(MAX(0,(R28)+P29-Q29),2)</f>
        <v/>
      </c>
      <c r="S29" s="27">
        <f>ROUND((U28)*(IF('Your Debts'!$G$10=0,0,INDEX('Your Debts'!$C$5:$C$12,'Your Debts'!$G$10)/12)),2)</f>
        <v/>
      </c>
      <c r="T29" s="27">
        <f>MIN((U28)+S29,MAX(0,$C29-(E29+H29+K29+N29+Q29)))</f>
        <v/>
      </c>
      <c r="U29" s="27">
        <f>ROUND(MAX(0,(U28)+S29-T29),2)</f>
        <v/>
      </c>
      <c r="V29" s="27">
        <f>ROUND((X28)*(IF('Your Debts'!$G$11=0,0,INDEX('Your Debts'!$C$5:$C$12,'Your Debts'!$G$11)/12)),2)</f>
        <v/>
      </c>
      <c r="W29" s="27">
        <f>MIN((X28)+V29,MAX(0,$C29-(E29+H29+K29+N29+Q29+T29)))</f>
        <v/>
      </c>
      <c r="X29" s="27">
        <f>ROUND(MAX(0,(X28)+V29-W29),2)</f>
        <v/>
      </c>
      <c r="Y29" s="27">
        <f>ROUND((AA28)*(IF('Your Debts'!$G$12=0,0,INDEX('Your Debts'!$C$5:$C$12,'Your Debts'!$G$12)/12)),2)</f>
        <v/>
      </c>
      <c r="Z29" s="27">
        <f>MIN((AA28)+Y29,MAX(0,$C29-(E29+H29+K29+N29+Q29+T29+W29)))</f>
        <v/>
      </c>
      <c r="AA29" s="27">
        <f>ROUND(MAX(0,(AA28)+Y29-Z29),2)</f>
        <v/>
      </c>
      <c r="AB29" s="18">
        <f>F29+I29+L29+O29+R29+U29+X29+AA29</f>
        <v/>
      </c>
      <c r="AC29" s="26">
        <f>AC28+D29+G29+J29+M29+P29+S29+V29+Y29</f>
        <v/>
      </c>
    </row>
    <row r="30">
      <c r="A30" s="24" t="n">
        <v>25</v>
      </c>
      <c r="B30" s="25">
        <f>EDATE('Your Debts'!$B$19,24)</f>
        <v/>
      </c>
      <c r="C30" s="26">
        <f>'Your Debts'!$B$18</f>
        <v/>
      </c>
      <c r="D30" s="27">
        <f>ROUND((F29)*(IF('Your Debts'!$G$5=0,0,INDEX('Your Debts'!$C$5:$C$12,'Your Debts'!$G$5)/12)),2)</f>
        <v/>
      </c>
      <c r="E30" s="27">
        <f>MIN((F29)+D30,MAX(0,$C30-(0)))</f>
        <v/>
      </c>
      <c r="F30" s="27">
        <f>ROUND(MAX(0,(F29)+D30-E30),2)</f>
        <v/>
      </c>
      <c r="G30" s="27">
        <f>ROUND((I29)*(IF('Your Debts'!$G$6=0,0,INDEX('Your Debts'!$C$5:$C$12,'Your Debts'!$G$6)/12)),2)</f>
        <v/>
      </c>
      <c r="H30" s="27">
        <f>MIN((I29)+G30,MAX(0,$C30-(E30)))</f>
        <v/>
      </c>
      <c r="I30" s="27">
        <f>ROUND(MAX(0,(I29)+G30-H30),2)</f>
        <v/>
      </c>
      <c r="J30" s="27">
        <f>ROUND((L29)*(IF('Your Debts'!$G$7=0,0,INDEX('Your Debts'!$C$5:$C$12,'Your Debts'!$G$7)/12)),2)</f>
        <v/>
      </c>
      <c r="K30" s="27">
        <f>MIN((L29)+J30,MAX(0,$C30-(E30+H30)))</f>
        <v/>
      </c>
      <c r="L30" s="27">
        <f>ROUND(MAX(0,(L29)+J30-K30),2)</f>
        <v/>
      </c>
      <c r="M30" s="27">
        <f>ROUND((O29)*(IF('Your Debts'!$G$8=0,0,INDEX('Your Debts'!$C$5:$C$12,'Your Debts'!$G$8)/12)),2)</f>
        <v/>
      </c>
      <c r="N30" s="27">
        <f>MIN((O29)+M30,MAX(0,$C30-(E30+H30+K30)))</f>
        <v/>
      </c>
      <c r="O30" s="27">
        <f>ROUND(MAX(0,(O29)+M30-N30),2)</f>
        <v/>
      </c>
      <c r="P30" s="27">
        <f>ROUND((R29)*(IF('Your Debts'!$G$9=0,0,INDEX('Your Debts'!$C$5:$C$12,'Your Debts'!$G$9)/12)),2)</f>
        <v/>
      </c>
      <c r="Q30" s="27">
        <f>MIN((R29)+P30,MAX(0,$C30-(E30+H30+K30+N30)))</f>
        <v/>
      </c>
      <c r="R30" s="27">
        <f>ROUND(MAX(0,(R29)+P30-Q30),2)</f>
        <v/>
      </c>
      <c r="S30" s="27">
        <f>ROUND((U29)*(IF('Your Debts'!$G$10=0,0,INDEX('Your Debts'!$C$5:$C$12,'Your Debts'!$G$10)/12)),2)</f>
        <v/>
      </c>
      <c r="T30" s="27">
        <f>MIN((U29)+S30,MAX(0,$C30-(E30+H30+K30+N30+Q30)))</f>
        <v/>
      </c>
      <c r="U30" s="27">
        <f>ROUND(MAX(0,(U29)+S30-T30),2)</f>
        <v/>
      </c>
      <c r="V30" s="27">
        <f>ROUND((X29)*(IF('Your Debts'!$G$11=0,0,INDEX('Your Debts'!$C$5:$C$12,'Your Debts'!$G$11)/12)),2)</f>
        <v/>
      </c>
      <c r="W30" s="27">
        <f>MIN((X29)+V30,MAX(0,$C30-(E30+H30+K30+N30+Q30+T30)))</f>
        <v/>
      </c>
      <c r="X30" s="27">
        <f>ROUND(MAX(0,(X29)+V30-W30),2)</f>
        <v/>
      </c>
      <c r="Y30" s="27">
        <f>ROUND((AA29)*(IF('Your Debts'!$G$12=0,0,INDEX('Your Debts'!$C$5:$C$12,'Your Debts'!$G$12)/12)),2)</f>
        <v/>
      </c>
      <c r="Z30" s="27">
        <f>MIN((AA29)+Y30,MAX(0,$C30-(E30+H30+K30+N30+Q30+T30+W30)))</f>
        <v/>
      </c>
      <c r="AA30" s="27">
        <f>ROUND(MAX(0,(AA29)+Y30-Z30),2)</f>
        <v/>
      </c>
      <c r="AB30" s="18">
        <f>F30+I30+L30+O30+R30+U30+X30+AA30</f>
        <v/>
      </c>
      <c r="AC30" s="26">
        <f>AC29+D30+G30+J30+M30+P30+S30+V30+Y30</f>
        <v/>
      </c>
    </row>
    <row r="31">
      <c r="A31" s="24" t="n">
        <v>26</v>
      </c>
      <c r="B31" s="25">
        <f>EDATE('Your Debts'!$B$19,25)</f>
        <v/>
      </c>
      <c r="C31" s="26">
        <f>'Your Debts'!$B$18</f>
        <v/>
      </c>
      <c r="D31" s="27">
        <f>ROUND((F30)*(IF('Your Debts'!$G$5=0,0,INDEX('Your Debts'!$C$5:$C$12,'Your Debts'!$G$5)/12)),2)</f>
        <v/>
      </c>
      <c r="E31" s="27">
        <f>MIN((F30)+D31,MAX(0,$C31-(0)))</f>
        <v/>
      </c>
      <c r="F31" s="27">
        <f>ROUND(MAX(0,(F30)+D31-E31),2)</f>
        <v/>
      </c>
      <c r="G31" s="27">
        <f>ROUND((I30)*(IF('Your Debts'!$G$6=0,0,INDEX('Your Debts'!$C$5:$C$12,'Your Debts'!$G$6)/12)),2)</f>
        <v/>
      </c>
      <c r="H31" s="27">
        <f>MIN((I30)+G31,MAX(0,$C31-(E31)))</f>
        <v/>
      </c>
      <c r="I31" s="27">
        <f>ROUND(MAX(0,(I30)+G31-H31),2)</f>
        <v/>
      </c>
      <c r="J31" s="27">
        <f>ROUND((L30)*(IF('Your Debts'!$G$7=0,0,INDEX('Your Debts'!$C$5:$C$12,'Your Debts'!$G$7)/12)),2)</f>
        <v/>
      </c>
      <c r="K31" s="27">
        <f>MIN((L30)+J31,MAX(0,$C31-(E31+H31)))</f>
        <v/>
      </c>
      <c r="L31" s="27">
        <f>ROUND(MAX(0,(L30)+J31-K31),2)</f>
        <v/>
      </c>
      <c r="M31" s="27">
        <f>ROUND((O30)*(IF('Your Debts'!$G$8=0,0,INDEX('Your Debts'!$C$5:$C$12,'Your Debts'!$G$8)/12)),2)</f>
        <v/>
      </c>
      <c r="N31" s="27">
        <f>MIN((O30)+M31,MAX(0,$C31-(E31+H31+K31)))</f>
        <v/>
      </c>
      <c r="O31" s="27">
        <f>ROUND(MAX(0,(O30)+M31-N31),2)</f>
        <v/>
      </c>
      <c r="P31" s="27">
        <f>ROUND((R30)*(IF('Your Debts'!$G$9=0,0,INDEX('Your Debts'!$C$5:$C$12,'Your Debts'!$G$9)/12)),2)</f>
        <v/>
      </c>
      <c r="Q31" s="27">
        <f>MIN((R30)+P31,MAX(0,$C31-(E31+H31+K31+N31)))</f>
        <v/>
      </c>
      <c r="R31" s="27">
        <f>ROUND(MAX(0,(R30)+P31-Q31),2)</f>
        <v/>
      </c>
      <c r="S31" s="27">
        <f>ROUND((U30)*(IF('Your Debts'!$G$10=0,0,INDEX('Your Debts'!$C$5:$C$12,'Your Debts'!$G$10)/12)),2)</f>
        <v/>
      </c>
      <c r="T31" s="27">
        <f>MIN((U30)+S31,MAX(0,$C31-(E31+H31+K31+N31+Q31)))</f>
        <v/>
      </c>
      <c r="U31" s="27">
        <f>ROUND(MAX(0,(U30)+S31-T31),2)</f>
        <v/>
      </c>
      <c r="V31" s="27">
        <f>ROUND((X30)*(IF('Your Debts'!$G$11=0,0,INDEX('Your Debts'!$C$5:$C$12,'Your Debts'!$G$11)/12)),2)</f>
        <v/>
      </c>
      <c r="W31" s="27">
        <f>MIN((X30)+V31,MAX(0,$C31-(E31+H31+K31+N31+Q31+T31)))</f>
        <v/>
      </c>
      <c r="X31" s="27">
        <f>ROUND(MAX(0,(X30)+V31-W31),2)</f>
        <v/>
      </c>
      <c r="Y31" s="27">
        <f>ROUND((AA30)*(IF('Your Debts'!$G$12=0,0,INDEX('Your Debts'!$C$5:$C$12,'Your Debts'!$G$12)/12)),2)</f>
        <v/>
      </c>
      <c r="Z31" s="27">
        <f>MIN((AA30)+Y31,MAX(0,$C31-(E31+H31+K31+N31+Q31+T31+W31)))</f>
        <v/>
      </c>
      <c r="AA31" s="27">
        <f>ROUND(MAX(0,(AA30)+Y31-Z31),2)</f>
        <v/>
      </c>
      <c r="AB31" s="18">
        <f>F31+I31+L31+O31+R31+U31+X31+AA31</f>
        <v/>
      </c>
      <c r="AC31" s="26">
        <f>AC30+D31+G31+J31+M31+P31+S31+V31+Y31</f>
        <v/>
      </c>
    </row>
    <row r="32">
      <c r="A32" s="24" t="n">
        <v>27</v>
      </c>
      <c r="B32" s="25">
        <f>EDATE('Your Debts'!$B$19,26)</f>
        <v/>
      </c>
      <c r="C32" s="26">
        <f>'Your Debts'!$B$18</f>
        <v/>
      </c>
      <c r="D32" s="27">
        <f>ROUND((F31)*(IF('Your Debts'!$G$5=0,0,INDEX('Your Debts'!$C$5:$C$12,'Your Debts'!$G$5)/12)),2)</f>
        <v/>
      </c>
      <c r="E32" s="27">
        <f>MIN((F31)+D32,MAX(0,$C32-(0)))</f>
        <v/>
      </c>
      <c r="F32" s="27">
        <f>ROUND(MAX(0,(F31)+D32-E32),2)</f>
        <v/>
      </c>
      <c r="G32" s="27">
        <f>ROUND((I31)*(IF('Your Debts'!$G$6=0,0,INDEX('Your Debts'!$C$5:$C$12,'Your Debts'!$G$6)/12)),2)</f>
        <v/>
      </c>
      <c r="H32" s="27">
        <f>MIN((I31)+G32,MAX(0,$C32-(E32)))</f>
        <v/>
      </c>
      <c r="I32" s="27">
        <f>ROUND(MAX(0,(I31)+G32-H32),2)</f>
        <v/>
      </c>
      <c r="J32" s="27">
        <f>ROUND((L31)*(IF('Your Debts'!$G$7=0,0,INDEX('Your Debts'!$C$5:$C$12,'Your Debts'!$G$7)/12)),2)</f>
        <v/>
      </c>
      <c r="K32" s="27">
        <f>MIN((L31)+J32,MAX(0,$C32-(E32+H32)))</f>
        <v/>
      </c>
      <c r="L32" s="27">
        <f>ROUND(MAX(0,(L31)+J32-K32),2)</f>
        <v/>
      </c>
      <c r="M32" s="27">
        <f>ROUND((O31)*(IF('Your Debts'!$G$8=0,0,INDEX('Your Debts'!$C$5:$C$12,'Your Debts'!$G$8)/12)),2)</f>
        <v/>
      </c>
      <c r="N32" s="27">
        <f>MIN((O31)+M32,MAX(0,$C32-(E32+H32+K32)))</f>
        <v/>
      </c>
      <c r="O32" s="27">
        <f>ROUND(MAX(0,(O31)+M32-N32),2)</f>
        <v/>
      </c>
      <c r="P32" s="27">
        <f>ROUND((R31)*(IF('Your Debts'!$G$9=0,0,INDEX('Your Debts'!$C$5:$C$12,'Your Debts'!$G$9)/12)),2)</f>
        <v/>
      </c>
      <c r="Q32" s="27">
        <f>MIN((R31)+P32,MAX(0,$C32-(E32+H32+K32+N32)))</f>
        <v/>
      </c>
      <c r="R32" s="27">
        <f>ROUND(MAX(0,(R31)+P32-Q32),2)</f>
        <v/>
      </c>
      <c r="S32" s="27">
        <f>ROUND((U31)*(IF('Your Debts'!$G$10=0,0,INDEX('Your Debts'!$C$5:$C$12,'Your Debts'!$G$10)/12)),2)</f>
        <v/>
      </c>
      <c r="T32" s="27">
        <f>MIN((U31)+S32,MAX(0,$C32-(E32+H32+K32+N32+Q32)))</f>
        <v/>
      </c>
      <c r="U32" s="27">
        <f>ROUND(MAX(0,(U31)+S32-T32),2)</f>
        <v/>
      </c>
      <c r="V32" s="27">
        <f>ROUND((X31)*(IF('Your Debts'!$G$11=0,0,INDEX('Your Debts'!$C$5:$C$12,'Your Debts'!$G$11)/12)),2)</f>
        <v/>
      </c>
      <c r="W32" s="27">
        <f>MIN((X31)+V32,MAX(0,$C32-(E32+H32+K32+N32+Q32+T32)))</f>
        <v/>
      </c>
      <c r="X32" s="27">
        <f>ROUND(MAX(0,(X31)+V32-W32),2)</f>
        <v/>
      </c>
      <c r="Y32" s="27">
        <f>ROUND((AA31)*(IF('Your Debts'!$G$12=0,0,INDEX('Your Debts'!$C$5:$C$12,'Your Debts'!$G$12)/12)),2)</f>
        <v/>
      </c>
      <c r="Z32" s="27">
        <f>MIN((AA31)+Y32,MAX(0,$C32-(E32+H32+K32+N32+Q32+T32+W32)))</f>
        <v/>
      </c>
      <c r="AA32" s="27">
        <f>ROUND(MAX(0,(AA31)+Y32-Z32),2)</f>
        <v/>
      </c>
      <c r="AB32" s="18">
        <f>F32+I32+L32+O32+R32+U32+X32+AA32</f>
        <v/>
      </c>
      <c r="AC32" s="26">
        <f>AC31+D32+G32+J32+M32+P32+S32+V32+Y32</f>
        <v/>
      </c>
    </row>
    <row r="33">
      <c r="A33" s="24" t="n">
        <v>28</v>
      </c>
      <c r="B33" s="25">
        <f>EDATE('Your Debts'!$B$19,27)</f>
        <v/>
      </c>
      <c r="C33" s="26">
        <f>'Your Debts'!$B$18</f>
        <v/>
      </c>
      <c r="D33" s="27">
        <f>ROUND((F32)*(IF('Your Debts'!$G$5=0,0,INDEX('Your Debts'!$C$5:$C$12,'Your Debts'!$G$5)/12)),2)</f>
        <v/>
      </c>
      <c r="E33" s="27">
        <f>MIN((F32)+D33,MAX(0,$C33-(0)))</f>
        <v/>
      </c>
      <c r="F33" s="27">
        <f>ROUND(MAX(0,(F32)+D33-E33),2)</f>
        <v/>
      </c>
      <c r="G33" s="27">
        <f>ROUND((I32)*(IF('Your Debts'!$G$6=0,0,INDEX('Your Debts'!$C$5:$C$12,'Your Debts'!$G$6)/12)),2)</f>
        <v/>
      </c>
      <c r="H33" s="27">
        <f>MIN((I32)+G33,MAX(0,$C33-(E33)))</f>
        <v/>
      </c>
      <c r="I33" s="27">
        <f>ROUND(MAX(0,(I32)+G33-H33),2)</f>
        <v/>
      </c>
      <c r="J33" s="27">
        <f>ROUND((L32)*(IF('Your Debts'!$G$7=0,0,INDEX('Your Debts'!$C$5:$C$12,'Your Debts'!$G$7)/12)),2)</f>
        <v/>
      </c>
      <c r="K33" s="27">
        <f>MIN((L32)+J33,MAX(0,$C33-(E33+H33)))</f>
        <v/>
      </c>
      <c r="L33" s="27">
        <f>ROUND(MAX(0,(L32)+J33-K33),2)</f>
        <v/>
      </c>
      <c r="M33" s="27">
        <f>ROUND((O32)*(IF('Your Debts'!$G$8=0,0,INDEX('Your Debts'!$C$5:$C$12,'Your Debts'!$G$8)/12)),2)</f>
        <v/>
      </c>
      <c r="N33" s="27">
        <f>MIN((O32)+M33,MAX(0,$C33-(E33+H33+K33)))</f>
        <v/>
      </c>
      <c r="O33" s="27">
        <f>ROUND(MAX(0,(O32)+M33-N33),2)</f>
        <v/>
      </c>
      <c r="P33" s="27">
        <f>ROUND((R32)*(IF('Your Debts'!$G$9=0,0,INDEX('Your Debts'!$C$5:$C$12,'Your Debts'!$G$9)/12)),2)</f>
        <v/>
      </c>
      <c r="Q33" s="27">
        <f>MIN((R32)+P33,MAX(0,$C33-(E33+H33+K33+N33)))</f>
        <v/>
      </c>
      <c r="R33" s="27">
        <f>ROUND(MAX(0,(R32)+P33-Q33),2)</f>
        <v/>
      </c>
      <c r="S33" s="27">
        <f>ROUND((U32)*(IF('Your Debts'!$G$10=0,0,INDEX('Your Debts'!$C$5:$C$12,'Your Debts'!$G$10)/12)),2)</f>
        <v/>
      </c>
      <c r="T33" s="27">
        <f>MIN((U32)+S33,MAX(0,$C33-(E33+H33+K33+N33+Q33)))</f>
        <v/>
      </c>
      <c r="U33" s="27">
        <f>ROUND(MAX(0,(U32)+S33-T33),2)</f>
        <v/>
      </c>
      <c r="V33" s="27">
        <f>ROUND((X32)*(IF('Your Debts'!$G$11=0,0,INDEX('Your Debts'!$C$5:$C$12,'Your Debts'!$G$11)/12)),2)</f>
        <v/>
      </c>
      <c r="W33" s="27">
        <f>MIN((X32)+V33,MAX(0,$C33-(E33+H33+K33+N33+Q33+T33)))</f>
        <v/>
      </c>
      <c r="X33" s="27">
        <f>ROUND(MAX(0,(X32)+V33-W33),2)</f>
        <v/>
      </c>
      <c r="Y33" s="27">
        <f>ROUND((AA32)*(IF('Your Debts'!$G$12=0,0,INDEX('Your Debts'!$C$5:$C$12,'Your Debts'!$G$12)/12)),2)</f>
        <v/>
      </c>
      <c r="Z33" s="27">
        <f>MIN((AA32)+Y33,MAX(0,$C33-(E33+H33+K33+N33+Q33+T33+W33)))</f>
        <v/>
      </c>
      <c r="AA33" s="27">
        <f>ROUND(MAX(0,(AA32)+Y33-Z33),2)</f>
        <v/>
      </c>
      <c r="AB33" s="18">
        <f>F33+I33+L33+O33+R33+U33+X33+AA33</f>
        <v/>
      </c>
      <c r="AC33" s="26">
        <f>AC32+D33+G33+J33+M33+P33+S33+V33+Y33</f>
        <v/>
      </c>
    </row>
    <row r="34">
      <c r="A34" s="24" t="n">
        <v>29</v>
      </c>
      <c r="B34" s="25">
        <f>EDATE('Your Debts'!$B$19,28)</f>
        <v/>
      </c>
      <c r="C34" s="26">
        <f>'Your Debts'!$B$18</f>
        <v/>
      </c>
      <c r="D34" s="27">
        <f>ROUND((F33)*(IF('Your Debts'!$G$5=0,0,INDEX('Your Debts'!$C$5:$C$12,'Your Debts'!$G$5)/12)),2)</f>
        <v/>
      </c>
      <c r="E34" s="27">
        <f>MIN((F33)+D34,MAX(0,$C34-(0)))</f>
        <v/>
      </c>
      <c r="F34" s="27">
        <f>ROUND(MAX(0,(F33)+D34-E34),2)</f>
        <v/>
      </c>
      <c r="G34" s="27">
        <f>ROUND((I33)*(IF('Your Debts'!$G$6=0,0,INDEX('Your Debts'!$C$5:$C$12,'Your Debts'!$G$6)/12)),2)</f>
        <v/>
      </c>
      <c r="H34" s="27">
        <f>MIN((I33)+G34,MAX(0,$C34-(E34)))</f>
        <v/>
      </c>
      <c r="I34" s="27">
        <f>ROUND(MAX(0,(I33)+G34-H34),2)</f>
        <v/>
      </c>
      <c r="J34" s="27">
        <f>ROUND((L33)*(IF('Your Debts'!$G$7=0,0,INDEX('Your Debts'!$C$5:$C$12,'Your Debts'!$G$7)/12)),2)</f>
        <v/>
      </c>
      <c r="K34" s="27">
        <f>MIN((L33)+J34,MAX(0,$C34-(E34+H34)))</f>
        <v/>
      </c>
      <c r="L34" s="27">
        <f>ROUND(MAX(0,(L33)+J34-K34),2)</f>
        <v/>
      </c>
      <c r="M34" s="27">
        <f>ROUND((O33)*(IF('Your Debts'!$G$8=0,0,INDEX('Your Debts'!$C$5:$C$12,'Your Debts'!$G$8)/12)),2)</f>
        <v/>
      </c>
      <c r="N34" s="27">
        <f>MIN((O33)+M34,MAX(0,$C34-(E34+H34+K34)))</f>
        <v/>
      </c>
      <c r="O34" s="27">
        <f>ROUND(MAX(0,(O33)+M34-N34),2)</f>
        <v/>
      </c>
      <c r="P34" s="27">
        <f>ROUND((R33)*(IF('Your Debts'!$G$9=0,0,INDEX('Your Debts'!$C$5:$C$12,'Your Debts'!$G$9)/12)),2)</f>
        <v/>
      </c>
      <c r="Q34" s="27">
        <f>MIN((R33)+P34,MAX(0,$C34-(E34+H34+K34+N34)))</f>
        <v/>
      </c>
      <c r="R34" s="27">
        <f>ROUND(MAX(0,(R33)+P34-Q34),2)</f>
        <v/>
      </c>
      <c r="S34" s="27">
        <f>ROUND((U33)*(IF('Your Debts'!$G$10=0,0,INDEX('Your Debts'!$C$5:$C$12,'Your Debts'!$G$10)/12)),2)</f>
        <v/>
      </c>
      <c r="T34" s="27">
        <f>MIN((U33)+S34,MAX(0,$C34-(E34+H34+K34+N34+Q34)))</f>
        <v/>
      </c>
      <c r="U34" s="27">
        <f>ROUND(MAX(0,(U33)+S34-T34),2)</f>
        <v/>
      </c>
      <c r="V34" s="27">
        <f>ROUND((X33)*(IF('Your Debts'!$G$11=0,0,INDEX('Your Debts'!$C$5:$C$12,'Your Debts'!$G$11)/12)),2)</f>
        <v/>
      </c>
      <c r="W34" s="27">
        <f>MIN((X33)+V34,MAX(0,$C34-(E34+H34+K34+N34+Q34+T34)))</f>
        <v/>
      </c>
      <c r="X34" s="27">
        <f>ROUND(MAX(0,(X33)+V34-W34),2)</f>
        <v/>
      </c>
      <c r="Y34" s="27">
        <f>ROUND((AA33)*(IF('Your Debts'!$G$12=0,0,INDEX('Your Debts'!$C$5:$C$12,'Your Debts'!$G$12)/12)),2)</f>
        <v/>
      </c>
      <c r="Z34" s="27">
        <f>MIN((AA33)+Y34,MAX(0,$C34-(E34+H34+K34+N34+Q34+T34+W34)))</f>
        <v/>
      </c>
      <c r="AA34" s="27">
        <f>ROUND(MAX(0,(AA33)+Y34-Z34),2)</f>
        <v/>
      </c>
      <c r="AB34" s="18">
        <f>F34+I34+L34+O34+R34+U34+X34+AA34</f>
        <v/>
      </c>
      <c r="AC34" s="26">
        <f>AC33+D34+G34+J34+M34+P34+S34+V34+Y34</f>
        <v/>
      </c>
    </row>
    <row r="35">
      <c r="A35" s="24" t="n">
        <v>30</v>
      </c>
      <c r="B35" s="25">
        <f>EDATE('Your Debts'!$B$19,29)</f>
        <v/>
      </c>
      <c r="C35" s="26">
        <f>'Your Debts'!$B$18</f>
        <v/>
      </c>
      <c r="D35" s="27">
        <f>ROUND((F34)*(IF('Your Debts'!$G$5=0,0,INDEX('Your Debts'!$C$5:$C$12,'Your Debts'!$G$5)/12)),2)</f>
        <v/>
      </c>
      <c r="E35" s="27">
        <f>MIN((F34)+D35,MAX(0,$C35-(0)))</f>
        <v/>
      </c>
      <c r="F35" s="27">
        <f>ROUND(MAX(0,(F34)+D35-E35),2)</f>
        <v/>
      </c>
      <c r="G35" s="27">
        <f>ROUND((I34)*(IF('Your Debts'!$G$6=0,0,INDEX('Your Debts'!$C$5:$C$12,'Your Debts'!$G$6)/12)),2)</f>
        <v/>
      </c>
      <c r="H35" s="27">
        <f>MIN((I34)+G35,MAX(0,$C35-(E35)))</f>
        <v/>
      </c>
      <c r="I35" s="27">
        <f>ROUND(MAX(0,(I34)+G35-H35),2)</f>
        <v/>
      </c>
      <c r="J35" s="27">
        <f>ROUND((L34)*(IF('Your Debts'!$G$7=0,0,INDEX('Your Debts'!$C$5:$C$12,'Your Debts'!$G$7)/12)),2)</f>
        <v/>
      </c>
      <c r="K35" s="27">
        <f>MIN((L34)+J35,MAX(0,$C35-(E35+H35)))</f>
        <v/>
      </c>
      <c r="L35" s="27">
        <f>ROUND(MAX(0,(L34)+J35-K35),2)</f>
        <v/>
      </c>
      <c r="M35" s="27">
        <f>ROUND((O34)*(IF('Your Debts'!$G$8=0,0,INDEX('Your Debts'!$C$5:$C$12,'Your Debts'!$G$8)/12)),2)</f>
        <v/>
      </c>
      <c r="N35" s="27">
        <f>MIN((O34)+M35,MAX(0,$C35-(E35+H35+K35)))</f>
        <v/>
      </c>
      <c r="O35" s="27">
        <f>ROUND(MAX(0,(O34)+M35-N35),2)</f>
        <v/>
      </c>
      <c r="P35" s="27">
        <f>ROUND((R34)*(IF('Your Debts'!$G$9=0,0,INDEX('Your Debts'!$C$5:$C$12,'Your Debts'!$G$9)/12)),2)</f>
        <v/>
      </c>
      <c r="Q35" s="27">
        <f>MIN((R34)+P35,MAX(0,$C35-(E35+H35+K35+N35)))</f>
        <v/>
      </c>
      <c r="R35" s="27">
        <f>ROUND(MAX(0,(R34)+P35-Q35),2)</f>
        <v/>
      </c>
      <c r="S35" s="27">
        <f>ROUND((U34)*(IF('Your Debts'!$G$10=0,0,INDEX('Your Debts'!$C$5:$C$12,'Your Debts'!$G$10)/12)),2)</f>
        <v/>
      </c>
      <c r="T35" s="27">
        <f>MIN((U34)+S35,MAX(0,$C35-(E35+H35+K35+N35+Q35)))</f>
        <v/>
      </c>
      <c r="U35" s="27">
        <f>ROUND(MAX(0,(U34)+S35-T35),2)</f>
        <v/>
      </c>
      <c r="V35" s="27">
        <f>ROUND((X34)*(IF('Your Debts'!$G$11=0,0,INDEX('Your Debts'!$C$5:$C$12,'Your Debts'!$G$11)/12)),2)</f>
        <v/>
      </c>
      <c r="W35" s="27">
        <f>MIN((X34)+V35,MAX(0,$C35-(E35+H35+K35+N35+Q35+T35)))</f>
        <v/>
      </c>
      <c r="X35" s="27">
        <f>ROUND(MAX(0,(X34)+V35-W35),2)</f>
        <v/>
      </c>
      <c r="Y35" s="27">
        <f>ROUND((AA34)*(IF('Your Debts'!$G$12=0,0,INDEX('Your Debts'!$C$5:$C$12,'Your Debts'!$G$12)/12)),2)</f>
        <v/>
      </c>
      <c r="Z35" s="27">
        <f>MIN((AA34)+Y35,MAX(0,$C35-(E35+H35+K35+N35+Q35+T35+W35)))</f>
        <v/>
      </c>
      <c r="AA35" s="27">
        <f>ROUND(MAX(0,(AA34)+Y35-Z35),2)</f>
        <v/>
      </c>
      <c r="AB35" s="18">
        <f>F35+I35+L35+O35+R35+U35+X35+AA35</f>
        <v/>
      </c>
      <c r="AC35" s="26">
        <f>AC34+D35+G35+J35+M35+P35+S35+V35+Y35</f>
        <v/>
      </c>
    </row>
    <row r="36">
      <c r="A36" s="24" t="n">
        <v>31</v>
      </c>
      <c r="B36" s="25">
        <f>EDATE('Your Debts'!$B$19,30)</f>
        <v/>
      </c>
      <c r="C36" s="26">
        <f>'Your Debts'!$B$18</f>
        <v/>
      </c>
      <c r="D36" s="27">
        <f>ROUND((F35)*(IF('Your Debts'!$G$5=0,0,INDEX('Your Debts'!$C$5:$C$12,'Your Debts'!$G$5)/12)),2)</f>
        <v/>
      </c>
      <c r="E36" s="27">
        <f>MIN((F35)+D36,MAX(0,$C36-(0)))</f>
        <v/>
      </c>
      <c r="F36" s="27">
        <f>ROUND(MAX(0,(F35)+D36-E36),2)</f>
        <v/>
      </c>
      <c r="G36" s="27">
        <f>ROUND((I35)*(IF('Your Debts'!$G$6=0,0,INDEX('Your Debts'!$C$5:$C$12,'Your Debts'!$G$6)/12)),2)</f>
        <v/>
      </c>
      <c r="H36" s="27">
        <f>MIN((I35)+G36,MAX(0,$C36-(E36)))</f>
        <v/>
      </c>
      <c r="I36" s="27">
        <f>ROUND(MAX(0,(I35)+G36-H36),2)</f>
        <v/>
      </c>
      <c r="J36" s="27">
        <f>ROUND((L35)*(IF('Your Debts'!$G$7=0,0,INDEX('Your Debts'!$C$5:$C$12,'Your Debts'!$G$7)/12)),2)</f>
        <v/>
      </c>
      <c r="K36" s="27">
        <f>MIN((L35)+J36,MAX(0,$C36-(E36+H36)))</f>
        <v/>
      </c>
      <c r="L36" s="27">
        <f>ROUND(MAX(0,(L35)+J36-K36),2)</f>
        <v/>
      </c>
      <c r="M36" s="27">
        <f>ROUND((O35)*(IF('Your Debts'!$G$8=0,0,INDEX('Your Debts'!$C$5:$C$12,'Your Debts'!$G$8)/12)),2)</f>
        <v/>
      </c>
      <c r="N36" s="27">
        <f>MIN((O35)+M36,MAX(0,$C36-(E36+H36+K36)))</f>
        <v/>
      </c>
      <c r="O36" s="27">
        <f>ROUND(MAX(0,(O35)+M36-N36),2)</f>
        <v/>
      </c>
      <c r="P36" s="27">
        <f>ROUND((R35)*(IF('Your Debts'!$G$9=0,0,INDEX('Your Debts'!$C$5:$C$12,'Your Debts'!$G$9)/12)),2)</f>
        <v/>
      </c>
      <c r="Q36" s="27">
        <f>MIN((R35)+P36,MAX(0,$C36-(E36+H36+K36+N36)))</f>
        <v/>
      </c>
      <c r="R36" s="27">
        <f>ROUND(MAX(0,(R35)+P36-Q36),2)</f>
        <v/>
      </c>
      <c r="S36" s="27">
        <f>ROUND((U35)*(IF('Your Debts'!$G$10=0,0,INDEX('Your Debts'!$C$5:$C$12,'Your Debts'!$G$10)/12)),2)</f>
        <v/>
      </c>
      <c r="T36" s="27">
        <f>MIN((U35)+S36,MAX(0,$C36-(E36+H36+K36+N36+Q36)))</f>
        <v/>
      </c>
      <c r="U36" s="27">
        <f>ROUND(MAX(0,(U35)+S36-T36),2)</f>
        <v/>
      </c>
      <c r="V36" s="27">
        <f>ROUND((X35)*(IF('Your Debts'!$G$11=0,0,INDEX('Your Debts'!$C$5:$C$12,'Your Debts'!$G$11)/12)),2)</f>
        <v/>
      </c>
      <c r="W36" s="27">
        <f>MIN((X35)+V36,MAX(0,$C36-(E36+H36+K36+N36+Q36+T36)))</f>
        <v/>
      </c>
      <c r="X36" s="27">
        <f>ROUND(MAX(0,(X35)+V36-W36),2)</f>
        <v/>
      </c>
      <c r="Y36" s="27">
        <f>ROUND((AA35)*(IF('Your Debts'!$G$12=0,0,INDEX('Your Debts'!$C$5:$C$12,'Your Debts'!$G$12)/12)),2)</f>
        <v/>
      </c>
      <c r="Z36" s="27">
        <f>MIN((AA35)+Y36,MAX(0,$C36-(E36+H36+K36+N36+Q36+T36+W36)))</f>
        <v/>
      </c>
      <c r="AA36" s="27">
        <f>ROUND(MAX(0,(AA35)+Y36-Z36),2)</f>
        <v/>
      </c>
      <c r="AB36" s="18">
        <f>F36+I36+L36+O36+R36+U36+X36+AA36</f>
        <v/>
      </c>
      <c r="AC36" s="26">
        <f>AC35+D36+G36+J36+M36+P36+S36+V36+Y36</f>
        <v/>
      </c>
    </row>
    <row r="37">
      <c r="A37" s="24" t="n">
        <v>32</v>
      </c>
      <c r="B37" s="25">
        <f>EDATE('Your Debts'!$B$19,31)</f>
        <v/>
      </c>
      <c r="C37" s="26">
        <f>'Your Debts'!$B$18</f>
        <v/>
      </c>
      <c r="D37" s="27">
        <f>ROUND((F36)*(IF('Your Debts'!$G$5=0,0,INDEX('Your Debts'!$C$5:$C$12,'Your Debts'!$G$5)/12)),2)</f>
        <v/>
      </c>
      <c r="E37" s="27">
        <f>MIN((F36)+D37,MAX(0,$C37-(0)))</f>
        <v/>
      </c>
      <c r="F37" s="27">
        <f>ROUND(MAX(0,(F36)+D37-E37),2)</f>
        <v/>
      </c>
      <c r="G37" s="27">
        <f>ROUND((I36)*(IF('Your Debts'!$G$6=0,0,INDEX('Your Debts'!$C$5:$C$12,'Your Debts'!$G$6)/12)),2)</f>
        <v/>
      </c>
      <c r="H37" s="27">
        <f>MIN((I36)+G37,MAX(0,$C37-(E37)))</f>
        <v/>
      </c>
      <c r="I37" s="27">
        <f>ROUND(MAX(0,(I36)+G37-H37),2)</f>
        <v/>
      </c>
      <c r="J37" s="27">
        <f>ROUND((L36)*(IF('Your Debts'!$G$7=0,0,INDEX('Your Debts'!$C$5:$C$12,'Your Debts'!$G$7)/12)),2)</f>
        <v/>
      </c>
      <c r="K37" s="27">
        <f>MIN((L36)+J37,MAX(0,$C37-(E37+H37)))</f>
        <v/>
      </c>
      <c r="L37" s="27">
        <f>ROUND(MAX(0,(L36)+J37-K37),2)</f>
        <v/>
      </c>
      <c r="M37" s="27">
        <f>ROUND((O36)*(IF('Your Debts'!$G$8=0,0,INDEX('Your Debts'!$C$5:$C$12,'Your Debts'!$G$8)/12)),2)</f>
        <v/>
      </c>
      <c r="N37" s="27">
        <f>MIN((O36)+M37,MAX(0,$C37-(E37+H37+K37)))</f>
        <v/>
      </c>
      <c r="O37" s="27">
        <f>ROUND(MAX(0,(O36)+M37-N37),2)</f>
        <v/>
      </c>
      <c r="P37" s="27">
        <f>ROUND((R36)*(IF('Your Debts'!$G$9=0,0,INDEX('Your Debts'!$C$5:$C$12,'Your Debts'!$G$9)/12)),2)</f>
        <v/>
      </c>
      <c r="Q37" s="27">
        <f>MIN((R36)+P37,MAX(0,$C37-(E37+H37+K37+N37)))</f>
        <v/>
      </c>
      <c r="R37" s="27">
        <f>ROUND(MAX(0,(R36)+P37-Q37),2)</f>
        <v/>
      </c>
      <c r="S37" s="27">
        <f>ROUND((U36)*(IF('Your Debts'!$G$10=0,0,INDEX('Your Debts'!$C$5:$C$12,'Your Debts'!$G$10)/12)),2)</f>
        <v/>
      </c>
      <c r="T37" s="27">
        <f>MIN((U36)+S37,MAX(0,$C37-(E37+H37+K37+N37+Q37)))</f>
        <v/>
      </c>
      <c r="U37" s="27">
        <f>ROUND(MAX(0,(U36)+S37-T37),2)</f>
        <v/>
      </c>
      <c r="V37" s="27">
        <f>ROUND((X36)*(IF('Your Debts'!$G$11=0,0,INDEX('Your Debts'!$C$5:$C$12,'Your Debts'!$G$11)/12)),2)</f>
        <v/>
      </c>
      <c r="W37" s="27">
        <f>MIN((X36)+V37,MAX(0,$C37-(E37+H37+K37+N37+Q37+T37)))</f>
        <v/>
      </c>
      <c r="X37" s="27">
        <f>ROUND(MAX(0,(X36)+V37-W37),2)</f>
        <v/>
      </c>
      <c r="Y37" s="27">
        <f>ROUND((AA36)*(IF('Your Debts'!$G$12=0,0,INDEX('Your Debts'!$C$5:$C$12,'Your Debts'!$G$12)/12)),2)</f>
        <v/>
      </c>
      <c r="Z37" s="27">
        <f>MIN((AA36)+Y37,MAX(0,$C37-(E37+H37+K37+N37+Q37+T37+W37)))</f>
        <v/>
      </c>
      <c r="AA37" s="27">
        <f>ROUND(MAX(0,(AA36)+Y37-Z37),2)</f>
        <v/>
      </c>
      <c r="AB37" s="18">
        <f>F37+I37+L37+O37+R37+U37+X37+AA37</f>
        <v/>
      </c>
      <c r="AC37" s="26">
        <f>AC36+D37+G37+J37+M37+P37+S37+V37+Y37</f>
        <v/>
      </c>
    </row>
    <row r="38">
      <c r="A38" s="24" t="n">
        <v>33</v>
      </c>
      <c r="B38" s="25">
        <f>EDATE('Your Debts'!$B$19,32)</f>
        <v/>
      </c>
      <c r="C38" s="26">
        <f>'Your Debts'!$B$18</f>
        <v/>
      </c>
      <c r="D38" s="27">
        <f>ROUND((F37)*(IF('Your Debts'!$G$5=0,0,INDEX('Your Debts'!$C$5:$C$12,'Your Debts'!$G$5)/12)),2)</f>
        <v/>
      </c>
      <c r="E38" s="27">
        <f>MIN((F37)+D38,MAX(0,$C38-(0)))</f>
        <v/>
      </c>
      <c r="F38" s="27">
        <f>ROUND(MAX(0,(F37)+D38-E38),2)</f>
        <v/>
      </c>
      <c r="G38" s="27">
        <f>ROUND((I37)*(IF('Your Debts'!$G$6=0,0,INDEX('Your Debts'!$C$5:$C$12,'Your Debts'!$G$6)/12)),2)</f>
        <v/>
      </c>
      <c r="H38" s="27">
        <f>MIN((I37)+G38,MAX(0,$C38-(E38)))</f>
        <v/>
      </c>
      <c r="I38" s="27">
        <f>ROUND(MAX(0,(I37)+G38-H38),2)</f>
        <v/>
      </c>
      <c r="J38" s="27">
        <f>ROUND((L37)*(IF('Your Debts'!$G$7=0,0,INDEX('Your Debts'!$C$5:$C$12,'Your Debts'!$G$7)/12)),2)</f>
        <v/>
      </c>
      <c r="K38" s="27">
        <f>MIN((L37)+J38,MAX(0,$C38-(E38+H38)))</f>
        <v/>
      </c>
      <c r="L38" s="27">
        <f>ROUND(MAX(0,(L37)+J38-K38),2)</f>
        <v/>
      </c>
      <c r="M38" s="27">
        <f>ROUND((O37)*(IF('Your Debts'!$G$8=0,0,INDEX('Your Debts'!$C$5:$C$12,'Your Debts'!$G$8)/12)),2)</f>
        <v/>
      </c>
      <c r="N38" s="27">
        <f>MIN((O37)+M38,MAX(0,$C38-(E38+H38+K38)))</f>
        <v/>
      </c>
      <c r="O38" s="27">
        <f>ROUND(MAX(0,(O37)+M38-N38),2)</f>
        <v/>
      </c>
      <c r="P38" s="27">
        <f>ROUND((R37)*(IF('Your Debts'!$G$9=0,0,INDEX('Your Debts'!$C$5:$C$12,'Your Debts'!$G$9)/12)),2)</f>
        <v/>
      </c>
      <c r="Q38" s="27">
        <f>MIN((R37)+P38,MAX(0,$C38-(E38+H38+K38+N38)))</f>
        <v/>
      </c>
      <c r="R38" s="27">
        <f>ROUND(MAX(0,(R37)+P38-Q38),2)</f>
        <v/>
      </c>
      <c r="S38" s="27">
        <f>ROUND((U37)*(IF('Your Debts'!$G$10=0,0,INDEX('Your Debts'!$C$5:$C$12,'Your Debts'!$G$10)/12)),2)</f>
        <v/>
      </c>
      <c r="T38" s="27">
        <f>MIN((U37)+S38,MAX(0,$C38-(E38+H38+K38+N38+Q38)))</f>
        <v/>
      </c>
      <c r="U38" s="27">
        <f>ROUND(MAX(0,(U37)+S38-T38),2)</f>
        <v/>
      </c>
      <c r="V38" s="27">
        <f>ROUND((X37)*(IF('Your Debts'!$G$11=0,0,INDEX('Your Debts'!$C$5:$C$12,'Your Debts'!$G$11)/12)),2)</f>
        <v/>
      </c>
      <c r="W38" s="27">
        <f>MIN((X37)+V38,MAX(0,$C38-(E38+H38+K38+N38+Q38+T38)))</f>
        <v/>
      </c>
      <c r="X38" s="27">
        <f>ROUND(MAX(0,(X37)+V38-W38),2)</f>
        <v/>
      </c>
      <c r="Y38" s="27">
        <f>ROUND((AA37)*(IF('Your Debts'!$G$12=0,0,INDEX('Your Debts'!$C$5:$C$12,'Your Debts'!$G$12)/12)),2)</f>
        <v/>
      </c>
      <c r="Z38" s="27">
        <f>MIN((AA37)+Y38,MAX(0,$C38-(E38+H38+K38+N38+Q38+T38+W38)))</f>
        <v/>
      </c>
      <c r="AA38" s="27">
        <f>ROUND(MAX(0,(AA37)+Y38-Z38),2)</f>
        <v/>
      </c>
      <c r="AB38" s="18">
        <f>F38+I38+L38+O38+R38+U38+X38+AA38</f>
        <v/>
      </c>
      <c r="AC38" s="26">
        <f>AC37+D38+G38+J38+M38+P38+S38+V38+Y38</f>
        <v/>
      </c>
    </row>
    <row r="39">
      <c r="A39" s="24" t="n">
        <v>34</v>
      </c>
      <c r="B39" s="25">
        <f>EDATE('Your Debts'!$B$19,33)</f>
        <v/>
      </c>
      <c r="C39" s="26">
        <f>'Your Debts'!$B$18</f>
        <v/>
      </c>
      <c r="D39" s="27">
        <f>ROUND((F38)*(IF('Your Debts'!$G$5=0,0,INDEX('Your Debts'!$C$5:$C$12,'Your Debts'!$G$5)/12)),2)</f>
        <v/>
      </c>
      <c r="E39" s="27">
        <f>MIN((F38)+D39,MAX(0,$C39-(0)))</f>
        <v/>
      </c>
      <c r="F39" s="27">
        <f>ROUND(MAX(0,(F38)+D39-E39),2)</f>
        <v/>
      </c>
      <c r="G39" s="27">
        <f>ROUND((I38)*(IF('Your Debts'!$G$6=0,0,INDEX('Your Debts'!$C$5:$C$12,'Your Debts'!$G$6)/12)),2)</f>
        <v/>
      </c>
      <c r="H39" s="27">
        <f>MIN((I38)+G39,MAX(0,$C39-(E39)))</f>
        <v/>
      </c>
      <c r="I39" s="27">
        <f>ROUND(MAX(0,(I38)+G39-H39),2)</f>
        <v/>
      </c>
      <c r="J39" s="27">
        <f>ROUND((L38)*(IF('Your Debts'!$G$7=0,0,INDEX('Your Debts'!$C$5:$C$12,'Your Debts'!$G$7)/12)),2)</f>
        <v/>
      </c>
      <c r="K39" s="27">
        <f>MIN((L38)+J39,MAX(0,$C39-(E39+H39)))</f>
        <v/>
      </c>
      <c r="L39" s="27">
        <f>ROUND(MAX(0,(L38)+J39-K39),2)</f>
        <v/>
      </c>
      <c r="M39" s="27">
        <f>ROUND((O38)*(IF('Your Debts'!$G$8=0,0,INDEX('Your Debts'!$C$5:$C$12,'Your Debts'!$G$8)/12)),2)</f>
        <v/>
      </c>
      <c r="N39" s="27">
        <f>MIN((O38)+M39,MAX(0,$C39-(E39+H39+K39)))</f>
        <v/>
      </c>
      <c r="O39" s="27">
        <f>ROUND(MAX(0,(O38)+M39-N39),2)</f>
        <v/>
      </c>
      <c r="P39" s="27">
        <f>ROUND((R38)*(IF('Your Debts'!$G$9=0,0,INDEX('Your Debts'!$C$5:$C$12,'Your Debts'!$G$9)/12)),2)</f>
        <v/>
      </c>
      <c r="Q39" s="27">
        <f>MIN((R38)+P39,MAX(0,$C39-(E39+H39+K39+N39)))</f>
        <v/>
      </c>
      <c r="R39" s="27">
        <f>ROUND(MAX(0,(R38)+P39-Q39),2)</f>
        <v/>
      </c>
      <c r="S39" s="27">
        <f>ROUND((U38)*(IF('Your Debts'!$G$10=0,0,INDEX('Your Debts'!$C$5:$C$12,'Your Debts'!$G$10)/12)),2)</f>
        <v/>
      </c>
      <c r="T39" s="27">
        <f>MIN((U38)+S39,MAX(0,$C39-(E39+H39+K39+N39+Q39)))</f>
        <v/>
      </c>
      <c r="U39" s="27">
        <f>ROUND(MAX(0,(U38)+S39-T39),2)</f>
        <v/>
      </c>
      <c r="V39" s="27">
        <f>ROUND((X38)*(IF('Your Debts'!$G$11=0,0,INDEX('Your Debts'!$C$5:$C$12,'Your Debts'!$G$11)/12)),2)</f>
        <v/>
      </c>
      <c r="W39" s="27">
        <f>MIN((X38)+V39,MAX(0,$C39-(E39+H39+K39+N39+Q39+T39)))</f>
        <v/>
      </c>
      <c r="X39" s="27">
        <f>ROUND(MAX(0,(X38)+V39-W39),2)</f>
        <v/>
      </c>
      <c r="Y39" s="27">
        <f>ROUND((AA38)*(IF('Your Debts'!$G$12=0,0,INDEX('Your Debts'!$C$5:$C$12,'Your Debts'!$G$12)/12)),2)</f>
        <v/>
      </c>
      <c r="Z39" s="27">
        <f>MIN((AA38)+Y39,MAX(0,$C39-(E39+H39+K39+N39+Q39+T39+W39)))</f>
        <v/>
      </c>
      <c r="AA39" s="27">
        <f>ROUND(MAX(0,(AA38)+Y39-Z39),2)</f>
        <v/>
      </c>
      <c r="AB39" s="18">
        <f>F39+I39+L39+O39+R39+U39+X39+AA39</f>
        <v/>
      </c>
      <c r="AC39" s="26">
        <f>AC38+D39+G39+J39+M39+P39+S39+V39+Y39</f>
        <v/>
      </c>
    </row>
    <row r="40">
      <c r="A40" s="24" t="n">
        <v>35</v>
      </c>
      <c r="B40" s="25">
        <f>EDATE('Your Debts'!$B$19,34)</f>
        <v/>
      </c>
      <c r="C40" s="26">
        <f>'Your Debts'!$B$18</f>
        <v/>
      </c>
      <c r="D40" s="27">
        <f>ROUND((F39)*(IF('Your Debts'!$G$5=0,0,INDEX('Your Debts'!$C$5:$C$12,'Your Debts'!$G$5)/12)),2)</f>
        <v/>
      </c>
      <c r="E40" s="27">
        <f>MIN((F39)+D40,MAX(0,$C40-(0)))</f>
        <v/>
      </c>
      <c r="F40" s="27">
        <f>ROUND(MAX(0,(F39)+D40-E40),2)</f>
        <v/>
      </c>
      <c r="G40" s="27">
        <f>ROUND((I39)*(IF('Your Debts'!$G$6=0,0,INDEX('Your Debts'!$C$5:$C$12,'Your Debts'!$G$6)/12)),2)</f>
        <v/>
      </c>
      <c r="H40" s="27">
        <f>MIN((I39)+G40,MAX(0,$C40-(E40)))</f>
        <v/>
      </c>
      <c r="I40" s="27">
        <f>ROUND(MAX(0,(I39)+G40-H40),2)</f>
        <v/>
      </c>
      <c r="J40" s="27">
        <f>ROUND((L39)*(IF('Your Debts'!$G$7=0,0,INDEX('Your Debts'!$C$5:$C$12,'Your Debts'!$G$7)/12)),2)</f>
        <v/>
      </c>
      <c r="K40" s="27">
        <f>MIN((L39)+J40,MAX(0,$C40-(E40+H40)))</f>
        <v/>
      </c>
      <c r="L40" s="27">
        <f>ROUND(MAX(0,(L39)+J40-K40),2)</f>
        <v/>
      </c>
      <c r="M40" s="27">
        <f>ROUND((O39)*(IF('Your Debts'!$G$8=0,0,INDEX('Your Debts'!$C$5:$C$12,'Your Debts'!$G$8)/12)),2)</f>
        <v/>
      </c>
      <c r="N40" s="27">
        <f>MIN((O39)+M40,MAX(0,$C40-(E40+H40+K40)))</f>
        <v/>
      </c>
      <c r="O40" s="27">
        <f>ROUND(MAX(0,(O39)+M40-N40),2)</f>
        <v/>
      </c>
      <c r="P40" s="27">
        <f>ROUND((R39)*(IF('Your Debts'!$G$9=0,0,INDEX('Your Debts'!$C$5:$C$12,'Your Debts'!$G$9)/12)),2)</f>
        <v/>
      </c>
      <c r="Q40" s="27">
        <f>MIN((R39)+P40,MAX(0,$C40-(E40+H40+K40+N40)))</f>
        <v/>
      </c>
      <c r="R40" s="27">
        <f>ROUND(MAX(0,(R39)+P40-Q40),2)</f>
        <v/>
      </c>
      <c r="S40" s="27">
        <f>ROUND((U39)*(IF('Your Debts'!$G$10=0,0,INDEX('Your Debts'!$C$5:$C$12,'Your Debts'!$G$10)/12)),2)</f>
        <v/>
      </c>
      <c r="T40" s="27">
        <f>MIN((U39)+S40,MAX(0,$C40-(E40+H40+K40+N40+Q40)))</f>
        <v/>
      </c>
      <c r="U40" s="27">
        <f>ROUND(MAX(0,(U39)+S40-T40),2)</f>
        <v/>
      </c>
      <c r="V40" s="27">
        <f>ROUND((X39)*(IF('Your Debts'!$G$11=0,0,INDEX('Your Debts'!$C$5:$C$12,'Your Debts'!$G$11)/12)),2)</f>
        <v/>
      </c>
      <c r="W40" s="27">
        <f>MIN((X39)+V40,MAX(0,$C40-(E40+H40+K40+N40+Q40+T40)))</f>
        <v/>
      </c>
      <c r="X40" s="27">
        <f>ROUND(MAX(0,(X39)+V40-W40),2)</f>
        <v/>
      </c>
      <c r="Y40" s="27">
        <f>ROUND((AA39)*(IF('Your Debts'!$G$12=0,0,INDEX('Your Debts'!$C$5:$C$12,'Your Debts'!$G$12)/12)),2)</f>
        <v/>
      </c>
      <c r="Z40" s="27">
        <f>MIN((AA39)+Y40,MAX(0,$C40-(E40+H40+K40+N40+Q40+T40+W40)))</f>
        <v/>
      </c>
      <c r="AA40" s="27">
        <f>ROUND(MAX(0,(AA39)+Y40-Z40),2)</f>
        <v/>
      </c>
      <c r="AB40" s="18">
        <f>F40+I40+L40+O40+R40+U40+X40+AA40</f>
        <v/>
      </c>
      <c r="AC40" s="26">
        <f>AC39+D40+G40+J40+M40+P40+S40+V40+Y40</f>
        <v/>
      </c>
    </row>
    <row r="41">
      <c r="A41" s="24" t="n">
        <v>36</v>
      </c>
      <c r="B41" s="25">
        <f>EDATE('Your Debts'!$B$19,35)</f>
        <v/>
      </c>
      <c r="C41" s="26">
        <f>'Your Debts'!$B$18</f>
        <v/>
      </c>
      <c r="D41" s="27">
        <f>ROUND((F40)*(IF('Your Debts'!$G$5=0,0,INDEX('Your Debts'!$C$5:$C$12,'Your Debts'!$G$5)/12)),2)</f>
        <v/>
      </c>
      <c r="E41" s="27">
        <f>MIN((F40)+D41,MAX(0,$C41-(0)))</f>
        <v/>
      </c>
      <c r="F41" s="27">
        <f>ROUND(MAX(0,(F40)+D41-E41),2)</f>
        <v/>
      </c>
      <c r="G41" s="27">
        <f>ROUND((I40)*(IF('Your Debts'!$G$6=0,0,INDEX('Your Debts'!$C$5:$C$12,'Your Debts'!$G$6)/12)),2)</f>
        <v/>
      </c>
      <c r="H41" s="27">
        <f>MIN((I40)+G41,MAX(0,$C41-(E41)))</f>
        <v/>
      </c>
      <c r="I41" s="27">
        <f>ROUND(MAX(0,(I40)+G41-H41),2)</f>
        <v/>
      </c>
      <c r="J41" s="27">
        <f>ROUND((L40)*(IF('Your Debts'!$G$7=0,0,INDEX('Your Debts'!$C$5:$C$12,'Your Debts'!$G$7)/12)),2)</f>
        <v/>
      </c>
      <c r="K41" s="27">
        <f>MIN((L40)+J41,MAX(0,$C41-(E41+H41)))</f>
        <v/>
      </c>
      <c r="L41" s="27">
        <f>ROUND(MAX(0,(L40)+J41-K41),2)</f>
        <v/>
      </c>
      <c r="M41" s="27">
        <f>ROUND((O40)*(IF('Your Debts'!$G$8=0,0,INDEX('Your Debts'!$C$5:$C$12,'Your Debts'!$G$8)/12)),2)</f>
        <v/>
      </c>
      <c r="N41" s="27">
        <f>MIN((O40)+M41,MAX(0,$C41-(E41+H41+K41)))</f>
        <v/>
      </c>
      <c r="O41" s="27">
        <f>ROUND(MAX(0,(O40)+M41-N41),2)</f>
        <v/>
      </c>
      <c r="P41" s="27">
        <f>ROUND((R40)*(IF('Your Debts'!$G$9=0,0,INDEX('Your Debts'!$C$5:$C$12,'Your Debts'!$G$9)/12)),2)</f>
        <v/>
      </c>
      <c r="Q41" s="27">
        <f>MIN((R40)+P41,MAX(0,$C41-(E41+H41+K41+N41)))</f>
        <v/>
      </c>
      <c r="R41" s="27">
        <f>ROUND(MAX(0,(R40)+P41-Q41),2)</f>
        <v/>
      </c>
      <c r="S41" s="27">
        <f>ROUND((U40)*(IF('Your Debts'!$G$10=0,0,INDEX('Your Debts'!$C$5:$C$12,'Your Debts'!$G$10)/12)),2)</f>
        <v/>
      </c>
      <c r="T41" s="27">
        <f>MIN((U40)+S41,MAX(0,$C41-(E41+H41+K41+N41+Q41)))</f>
        <v/>
      </c>
      <c r="U41" s="27">
        <f>ROUND(MAX(0,(U40)+S41-T41),2)</f>
        <v/>
      </c>
      <c r="V41" s="27">
        <f>ROUND((X40)*(IF('Your Debts'!$G$11=0,0,INDEX('Your Debts'!$C$5:$C$12,'Your Debts'!$G$11)/12)),2)</f>
        <v/>
      </c>
      <c r="W41" s="27">
        <f>MIN((X40)+V41,MAX(0,$C41-(E41+H41+K41+N41+Q41+T41)))</f>
        <v/>
      </c>
      <c r="X41" s="27">
        <f>ROUND(MAX(0,(X40)+V41-W41),2)</f>
        <v/>
      </c>
      <c r="Y41" s="27">
        <f>ROUND((AA40)*(IF('Your Debts'!$G$12=0,0,INDEX('Your Debts'!$C$5:$C$12,'Your Debts'!$G$12)/12)),2)</f>
        <v/>
      </c>
      <c r="Z41" s="27">
        <f>MIN((AA40)+Y41,MAX(0,$C41-(E41+H41+K41+N41+Q41+T41+W41)))</f>
        <v/>
      </c>
      <c r="AA41" s="27">
        <f>ROUND(MAX(0,(AA40)+Y41-Z41),2)</f>
        <v/>
      </c>
      <c r="AB41" s="18">
        <f>F41+I41+L41+O41+R41+U41+X41+AA41</f>
        <v/>
      </c>
      <c r="AC41" s="26">
        <f>AC40+D41+G41+J41+M41+P41+S41+V41+Y41</f>
        <v/>
      </c>
    </row>
    <row r="42">
      <c r="A42" s="24" t="n">
        <v>37</v>
      </c>
      <c r="B42" s="25">
        <f>EDATE('Your Debts'!$B$19,36)</f>
        <v/>
      </c>
      <c r="C42" s="26">
        <f>'Your Debts'!$B$18</f>
        <v/>
      </c>
      <c r="D42" s="27">
        <f>ROUND((F41)*(IF('Your Debts'!$G$5=0,0,INDEX('Your Debts'!$C$5:$C$12,'Your Debts'!$G$5)/12)),2)</f>
        <v/>
      </c>
      <c r="E42" s="27">
        <f>MIN((F41)+D42,MAX(0,$C42-(0)))</f>
        <v/>
      </c>
      <c r="F42" s="27">
        <f>ROUND(MAX(0,(F41)+D42-E42),2)</f>
        <v/>
      </c>
      <c r="G42" s="27">
        <f>ROUND((I41)*(IF('Your Debts'!$G$6=0,0,INDEX('Your Debts'!$C$5:$C$12,'Your Debts'!$G$6)/12)),2)</f>
        <v/>
      </c>
      <c r="H42" s="27">
        <f>MIN((I41)+G42,MAX(0,$C42-(E42)))</f>
        <v/>
      </c>
      <c r="I42" s="27">
        <f>ROUND(MAX(0,(I41)+G42-H42),2)</f>
        <v/>
      </c>
      <c r="J42" s="27">
        <f>ROUND((L41)*(IF('Your Debts'!$G$7=0,0,INDEX('Your Debts'!$C$5:$C$12,'Your Debts'!$G$7)/12)),2)</f>
        <v/>
      </c>
      <c r="K42" s="27">
        <f>MIN((L41)+J42,MAX(0,$C42-(E42+H42)))</f>
        <v/>
      </c>
      <c r="L42" s="27">
        <f>ROUND(MAX(0,(L41)+J42-K42),2)</f>
        <v/>
      </c>
      <c r="M42" s="27">
        <f>ROUND((O41)*(IF('Your Debts'!$G$8=0,0,INDEX('Your Debts'!$C$5:$C$12,'Your Debts'!$G$8)/12)),2)</f>
        <v/>
      </c>
      <c r="N42" s="27">
        <f>MIN((O41)+M42,MAX(0,$C42-(E42+H42+K42)))</f>
        <v/>
      </c>
      <c r="O42" s="27">
        <f>ROUND(MAX(0,(O41)+M42-N42),2)</f>
        <v/>
      </c>
      <c r="P42" s="27">
        <f>ROUND((R41)*(IF('Your Debts'!$G$9=0,0,INDEX('Your Debts'!$C$5:$C$12,'Your Debts'!$G$9)/12)),2)</f>
        <v/>
      </c>
      <c r="Q42" s="27">
        <f>MIN((R41)+P42,MAX(0,$C42-(E42+H42+K42+N42)))</f>
        <v/>
      </c>
      <c r="R42" s="27">
        <f>ROUND(MAX(0,(R41)+P42-Q42),2)</f>
        <v/>
      </c>
      <c r="S42" s="27">
        <f>ROUND((U41)*(IF('Your Debts'!$G$10=0,0,INDEX('Your Debts'!$C$5:$C$12,'Your Debts'!$G$10)/12)),2)</f>
        <v/>
      </c>
      <c r="T42" s="27">
        <f>MIN((U41)+S42,MAX(0,$C42-(E42+H42+K42+N42+Q42)))</f>
        <v/>
      </c>
      <c r="U42" s="27">
        <f>ROUND(MAX(0,(U41)+S42-T42),2)</f>
        <v/>
      </c>
      <c r="V42" s="27">
        <f>ROUND((X41)*(IF('Your Debts'!$G$11=0,0,INDEX('Your Debts'!$C$5:$C$12,'Your Debts'!$G$11)/12)),2)</f>
        <v/>
      </c>
      <c r="W42" s="27">
        <f>MIN((X41)+V42,MAX(0,$C42-(E42+H42+K42+N42+Q42+T42)))</f>
        <v/>
      </c>
      <c r="X42" s="27">
        <f>ROUND(MAX(0,(X41)+V42-W42),2)</f>
        <v/>
      </c>
      <c r="Y42" s="27">
        <f>ROUND((AA41)*(IF('Your Debts'!$G$12=0,0,INDEX('Your Debts'!$C$5:$C$12,'Your Debts'!$G$12)/12)),2)</f>
        <v/>
      </c>
      <c r="Z42" s="27">
        <f>MIN((AA41)+Y42,MAX(0,$C42-(E42+H42+K42+N42+Q42+T42+W42)))</f>
        <v/>
      </c>
      <c r="AA42" s="27">
        <f>ROUND(MAX(0,(AA41)+Y42-Z42),2)</f>
        <v/>
      </c>
      <c r="AB42" s="18">
        <f>F42+I42+L42+O42+R42+U42+X42+AA42</f>
        <v/>
      </c>
      <c r="AC42" s="26">
        <f>AC41+D42+G42+J42+M42+P42+S42+V42+Y42</f>
        <v/>
      </c>
    </row>
    <row r="43">
      <c r="A43" s="24" t="n">
        <v>38</v>
      </c>
      <c r="B43" s="25">
        <f>EDATE('Your Debts'!$B$19,37)</f>
        <v/>
      </c>
      <c r="C43" s="26">
        <f>'Your Debts'!$B$18</f>
        <v/>
      </c>
      <c r="D43" s="27">
        <f>ROUND((F42)*(IF('Your Debts'!$G$5=0,0,INDEX('Your Debts'!$C$5:$C$12,'Your Debts'!$G$5)/12)),2)</f>
        <v/>
      </c>
      <c r="E43" s="27">
        <f>MIN((F42)+D43,MAX(0,$C43-(0)))</f>
        <v/>
      </c>
      <c r="F43" s="27">
        <f>ROUND(MAX(0,(F42)+D43-E43),2)</f>
        <v/>
      </c>
      <c r="G43" s="27">
        <f>ROUND((I42)*(IF('Your Debts'!$G$6=0,0,INDEX('Your Debts'!$C$5:$C$12,'Your Debts'!$G$6)/12)),2)</f>
        <v/>
      </c>
      <c r="H43" s="27">
        <f>MIN((I42)+G43,MAX(0,$C43-(E43)))</f>
        <v/>
      </c>
      <c r="I43" s="27">
        <f>ROUND(MAX(0,(I42)+G43-H43),2)</f>
        <v/>
      </c>
      <c r="J43" s="27">
        <f>ROUND((L42)*(IF('Your Debts'!$G$7=0,0,INDEX('Your Debts'!$C$5:$C$12,'Your Debts'!$G$7)/12)),2)</f>
        <v/>
      </c>
      <c r="K43" s="27">
        <f>MIN((L42)+J43,MAX(0,$C43-(E43+H43)))</f>
        <v/>
      </c>
      <c r="L43" s="27">
        <f>ROUND(MAX(0,(L42)+J43-K43),2)</f>
        <v/>
      </c>
      <c r="M43" s="27">
        <f>ROUND((O42)*(IF('Your Debts'!$G$8=0,0,INDEX('Your Debts'!$C$5:$C$12,'Your Debts'!$G$8)/12)),2)</f>
        <v/>
      </c>
      <c r="N43" s="27">
        <f>MIN((O42)+M43,MAX(0,$C43-(E43+H43+K43)))</f>
        <v/>
      </c>
      <c r="O43" s="27">
        <f>ROUND(MAX(0,(O42)+M43-N43),2)</f>
        <v/>
      </c>
      <c r="P43" s="27">
        <f>ROUND((R42)*(IF('Your Debts'!$G$9=0,0,INDEX('Your Debts'!$C$5:$C$12,'Your Debts'!$G$9)/12)),2)</f>
        <v/>
      </c>
      <c r="Q43" s="27">
        <f>MIN((R42)+P43,MAX(0,$C43-(E43+H43+K43+N43)))</f>
        <v/>
      </c>
      <c r="R43" s="27">
        <f>ROUND(MAX(0,(R42)+P43-Q43),2)</f>
        <v/>
      </c>
      <c r="S43" s="27">
        <f>ROUND((U42)*(IF('Your Debts'!$G$10=0,0,INDEX('Your Debts'!$C$5:$C$12,'Your Debts'!$G$10)/12)),2)</f>
        <v/>
      </c>
      <c r="T43" s="27">
        <f>MIN((U42)+S43,MAX(0,$C43-(E43+H43+K43+N43+Q43)))</f>
        <v/>
      </c>
      <c r="U43" s="27">
        <f>ROUND(MAX(0,(U42)+S43-T43),2)</f>
        <v/>
      </c>
      <c r="V43" s="27">
        <f>ROUND((X42)*(IF('Your Debts'!$G$11=0,0,INDEX('Your Debts'!$C$5:$C$12,'Your Debts'!$G$11)/12)),2)</f>
        <v/>
      </c>
      <c r="W43" s="27">
        <f>MIN((X42)+V43,MAX(0,$C43-(E43+H43+K43+N43+Q43+T43)))</f>
        <v/>
      </c>
      <c r="X43" s="27">
        <f>ROUND(MAX(0,(X42)+V43-W43),2)</f>
        <v/>
      </c>
      <c r="Y43" s="27">
        <f>ROUND((AA42)*(IF('Your Debts'!$G$12=0,0,INDEX('Your Debts'!$C$5:$C$12,'Your Debts'!$G$12)/12)),2)</f>
        <v/>
      </c>
      <c r="Z43" s="27">
        <f>MIN((AA42)+Y43,MAX(0,$C43-(E43+H43+K43+N43+Q43+T43+W43)))</f>
        <v/>
      </c>
      <c r="AA43" s="27">
        <f>ROUND(MAX(0,(AA42)+Y43-Z43),2)</f>
        <v/>
      </c>
      <c r="AB43" s="18">
        <f>F43+I43+L43+O43+R43+U43+X43+AA43</f>
        <v/>
      </c>
      <c r="AC43" s="26">
        <f>AC42+D43+G43+J43+M43+P43+S43+V43+Y43</f>
        <v/>
      </c>
    </row>
    <row r="44">
      <c r="A44" s="24" t="n">
        <v>39</v>
      </c>
      <c r="B44" s="25">
        <f>EDATE('Your Debts'!$B$19,38)</f>
        <v/>
      </c>
      <c r="C44" s="26">
        <f>'Your Debts'!$B$18</f>
        <v/>
      </c>
      <c r="D44" s="27">
        <f>ROUND((F43)*(IF('Your Debts'!$G$5=0,0,INDEX('Your Debts'!$C$5:$C$12,'Your Debts'!$G$5)/12)),2)</f>
        <v/>
      </c>
      <c r="E44" s="27">
        <f>MIN((F43)+D44,MAX(0,$C44-(0)))</f>
        <v/>
      </c>
      <c r="F44" s="27">
        <f>ROUND(MAX(0,(F43)+D44-E44),2)</f>
        <v/>
      </c>
      <c r="G44" s="27">
        <f>ROUND((I43)*(IF('Your Debts'!$G$6=0,0,INDEX('Your Debts'!$C$5:$C$12,'Your Debts'!$G$6)/12)),2)</f>
        <v/>
      </c>
      <c r="H44" s="27">
        <f>MIN((I43)+G44,MAX(0,$C44-(E44)))</f>
        <v/>
      </c>
      <c r="I44" s="27">
        <f>ROUND(MAX(0,(I43)+G44-H44),2)</f>
        <v/>
      </c>
      <c r="J44" s="27">
        <f>ROUND((L43)*(IF('Your Debts'!$G$7=0,0,INDEX('Your Debts'!$C$5:$C$12,'Your Debts'!$G$7)/12)),2)</f>
        <v/>
      </c>
      <c r="K44" s="27">
        <f>MIN((L43)+J44,MAX(0,$C44-(E44+H44)))</f>
        <v/>
      </c>
      <c r="L44" s="27">
        <f>ROUND(MAX(0,(L43)+J44-K44),2)</f>
        <v/>
      </c>
      <c r="M44" s="27">
        <f>ROUND((O43)*(IF('Your Debts'!$G$8=0,0,INDEX('Your Debts'!$C$5:$C$12,'Your Debts'!$G$8)/12)),2)</f>
        <v/>
      </c>
      <c r="N44" s="27">
        <f>MIN((O43)+M44,MAX(0,$C44-(E44+H44+K44)))</f>
        <v/>
      </c>
      <c r="O44" s="27">
        <f>ROUND(MAX(0,(O43)+M44-N44),2)</f>
        <v/>
      </c>
      <c r="P44" s="27">
        <f>ROUND((R43)*(IF('Your Debts'!$G$9=0,0,INDEX('Your Debts'!$C$5:$C$12,'Your Debts'!$G$9)/12)),2)</f>
        <v/>
      </c>
      <c r="Q44" s="27">
        <f>MIN((R43)+P44,MAX(0,$C44-(E44+H44+K44+N44)))</f>
        <v/>
      </c>
      <c r="R44" s="27">
        <f>ROUND(MAX(0,(R43)+P44-Q44),2)</f>
        <v/>
      </c>
      <c r="S44" s="27">
        <f>ROUND((U43)*(IF('Your Debts'!$G$10=0,0,INDEX('Your Debts'!$C$5:$C$12,'Your Debts'!$G$10)/12)),2)</f>
        <v/>
      </c>
      <c r="T44" s="27">
        <f>MIN((U43)+S44,MAX(0,$C44-(E44+H44+K44+N44+Q44)))</f>
        <v/>
      </c>
      <c r="U44" s="27">
        <f>ROUND(MAX(0,(U43)+S44-T44),2)</f>
        <v/>
      </c>
      <c r="V44" s="27">
        <f>ROUND((X43)*(IF('Your Debts'!$G$11=0,0,INDEX('Your Debts'!$C$5:$C$12,'Your Debts'!$G$11)/12)),2)</f>
        <v/>
      </c>
      <c r="W44" s="27">
        <f>MIN((X43)+V44,MAX(0,$C44-(E44+H44+K44+N44+Q44+T44)))</f>
        <v/>
      </c>
      <c r="X44" s="27">
        <f>ROUND(MAX(0,(X43)+V44-W44),2)</f>
        <v/>
      </c>
      <c r="Y44" s="27">
        <f>ROUND((AA43)*(IF('Your Debts'!$G$12=0,0,INDEX('Your Debts'!$C$5:$C$12,'Your Debts'!$G$12)/12)),2)</f>
        <v/>
      </c>
      <c r="Z44" s="27">
        <f>MIN((AA43)+Y44,MAX(0,$C44-(E44+H44+K44+N44+Q44+T44+W44)))</f>
        <v/>
      </c>
      <c r="AA44" s="27">
        <f>ROUND(MAX(0,(AA43)+Y44-Z44),2)</f>
        <v/>
      </c>
      <c r="AB44" s="18">
        <f>F44+I44+L44+O44+R44+U44+X44+AA44</f>
        <v/>
      </c>
      <c r="AC44" s="26">
        <f>AC43+D44+G44+J44+M44+P44+S44+V44+Y44</f>
        <v/>
      </c>
    </row>
    <row r="45">
      <c r="A45" s="24" t="n">
        <v>40</v>
      </c>
      <c r="B45" s="25">
        <f>EDATE('Your Debts'!$B$19,39)</f>
        <v/>
      </c>
      <c r="C45" s="26">
        <f>'Your Debts'!$B$18</f>
        <v/>
      </c>
      <c r="D45" s="27">
        <f>ROUND((F44)*(IF('Your Debts'!$G$5=0,0,INDEX('Your Debts'!$C$5:$C$12,'Your Debts'!$G$5)/12)),2)</f>
        <v/>
      </c>
      <c r="E45" s="27">
        <f>MIN((F44)+D45,MAX(0,$C45-(0)))</f>
        <v/>
      </c>
      <c r="F45" s="27">
        <f>ROUND(MAX(0,(F44)+D45-E45),2)</f>
        <v/>
      </c>
      <c r="G45" s="27">
        <f>ROUND((I44)*(IF('Your Debts'!$G$6=0,0,INDEX('Your Debts'!$C$5:$C$12,'Your Debts'!$G$6)/12)),2)</f>
        <v/>
      </c>
      <c r="H45" s="27">
        <f>MIN((I44)+G45,MAX(0,$C45-(E45)))</f>
        <v/>
      </c>
      <c r="I45" s="27">
        <f>ROUND(MAX(0,(I44)+G45-H45),2)</f>
        <v/>
      </c>
      <c r="J45" s="27">
        <f>ROUND((L44)*(IF('Your Debts'!$G$7=0,0,INDEX('Your Debts'!$C$5:$C$12,'Your Debts'!$G$7)/12)),2)</f>
        <v/>
      </c>
      <c r="K45" s="27">
        <f>MIN((L44)+J45,MAX(0,$C45-(E45+H45)))</f>
        <v/>
      </c>
      <c r="L45" s="27">
        <f>ROUND(MAX(0,(L44)+J45-K45),2)</f>
        <v/>
      </c>
      <c r="M45" s="27">
        <f>ROUND((O44)*(IF('Your Debts'!$G$8=0,0,INDEX('Your Debts'!$C$5:$C$12,'Your Debts'!$G$8)/12)),2)</f>
        <v/>
      </c>
      <c r="N45" s="27">
        <f>MIN((O44)+M45,MAX(0,$C45-(E45+H45+K45)))</f>
        <v/>
      </c>
      <c r="O45" s="27">
        <f>ROUND(MAX(0,(O44)+M45-N45),2)</f>
        <v/>
      </c>
      <c r="P45" s="27">
        <f>ROUND((R44)*(IF('Your Debts'!$G$9=0,0,INDEX('Your Debts'!$C$5:$C$12,'Your Debts'!$G$9)/12)),2)</f>
        <v/>
      </c>
      <c r="Q45" s="27">
        <f>MIN((R44)+P45,MAX(0,$C45-(E45+H45+K45+N45)))</f>
        <v/>
      </c>
      <c r="R45" s="27">
        <f>ROUND(MAX(0,(R44)+P45-Q45),2)</f>
        <v/>
      </c>
      <c r="S45" s="27">
        <f>ROUND((U44)*(IF('Your Debts'!$G$10=0,0,INDEX('Your Debts'!$C$5:$C$12,'Your Debts'!$G$10)/12)),2)</f>
        <v/>
      </c>
      <c r="T45" s="27">
        <f>MIN((U44)+S45,MAX(0,$C45-(E45+H45+K45+N45+Q45)))</f>
        <v/>
      </c>
      <c r="U45" s="27">
        <f>ROUND(MAX(0,(U44)+S45-T45),2)</f>
        <v/>
      </c>
      <c r="V45" s="27">
        <f>ROUND((X44)*(IF('Your Debts'!$G$11=0,0,INDEX('Your Debts'!$C$5:$C$12,'Your Debts'!$G$11)/12)),2)</f>
        <v/>
      </c>
      <c r="W45" s="27">
        <f>MIN((X44)+V45,MAX(0,$C45-(E45+H45+K45+N45+Q45+T45)))</f>
        <v/>
      </c>
      <c r="X45" s="27">
        <f>ROUND(MAX(0,(X44)+V45-W45),2)</f>
        <v/>
      </c>
      <c r="Y45" s="27">
        <f>ROUND((AA44)*(IF('Your Debts'!$G$12=0,0,INDEX('Your Debts'!$C$5:$C$12,'Your Debts'!$G$12)/12)),2)</f>
        <v/>
      </c>
      <c r="Z45" s="27">
        <f>MIN((AA44)+Y45,MAX(0,$C45-(E45+H45+K45+N45+Q45+T45+W45)))</f>
        <v/>
      </c>
      <c r="AA45" s="27">
        <f>ROUND(MAX(0,(AA44)+Y45-Z45),2)</f>
        <v/>
      </c>
      <c r="AB45" s="18">
        <f>F45+I45+L45+O45+R45+U45+X45+AA45</f>
        <v/>
      </c>
      <c r="AC45" s="26">
        <f>AC44+D45+G45+J45+M45+P45+S45+V45+Y45</f>
        <v/>
      </c>
    </row>
    <row r="46">
      <c r="A46" s="24" t="n">
        <v>41</v>
      </c>
      <c r="B46" s="25">
        <f>EDATE('Your Debts'!$B$19,40)</f>
        <v/>
      </c>
      <c r="C46" s="26">
        <f>'Your Debts'!$B$18</f>
        <v/>
      </c>
      <c r="D46" s="27">
        <f>ROUND((F45)*(IF('Your Debts'!$G$5=0,0,INDEX('Your Debts'!$C$5:$C$12,'Your Debts'!$G$5)/12)),2)</f>
        <v/>
      </c>
      <c r="E46" s="27">
        <f>MIN((F45)+D46,MAX(0,$C46-(0)))</f>
        <v/>
      </c>
      <c r="F46" s="27">
        <f>ROUND(MAX(0,(F45)+D46-E46),2)</f>
        <v/>
      </c>
      <c r="G46" s="27">
        <f>ROUND((I45)*(IF('Your Debts'!$G$6=0,0,INDEX('Your Debts'!$C$5:$C$12,'Your Debts'!$G$6)/12)),2)</f>
        <v/>
      </c>
      <c r="H46" s="27">
        <f>MIN((I45)+G46,MAX(0,$C46-(E46)))</f>
        <v/>
      </c>
      <c r="I46" s="27">
        <f>ROUND(MAX(0,(I45)+G46-H46),2)</f>
        <v/>
      </c>
      <c r="J46" s="27">
        <f>ROUND((L45)*(IF('Your Debts'!$G$7=0,0,INDEX('Your Debts'!$C$5:$C$12,'Your Debts'!$G$7)/12)),2)</f>
        <v/>
      </c>
      <c r="K46" s="27">
        <f>MIN((L45)+J46,MAX(0,$C46-(E46+H46)))</f>
        <v/>
      </c>
      <c r="L46" s="27">
        <f>ROUND(MAX(0,(L45)+J46-K46),2)</f>
        <v/>
      </c>
      <c r="M46" s="27">
        <f>ROUND((O45)*(IF('Your Debts'!$G$8=0,0,INDEX('Your Debts'!$C$5:$C$12,'Your Debts'!$G$8)/12)),2)</f>
        <v/>
      </c>
      <c r="N46" s="27">
        <f>MIN((O45)+M46,MAX(0,$C46-(E46+H46+K46)))</f>
        <v/>
      </c>
      <c r="O46" s="27">
        <f>ROUND(MAX(0,(O45)+M46-N46),2)</f>
        <v/>
      </c>
      <c r="P46" s="27">
        <f>ROUND((R45)*(IF('Your Debts'!$G$9=0,0,INDEX('Your Debts'!$C$5:$C$12,'Your Debts'!$G$9)/12)),2)</f>
        <v/>
      </c>
      <c r="Q46" s="27">
        <f>MIN((R45)+P46,MAX(0,$C46-(E46+H46+K46+N46)))</f>
        <v/>
      </c>
      <c r="R46" s="27">
        <f>ROUND(MAX(0,(R45)+P46-Q46),2)</f>
        <v/>
      </c>
      <c r="S46" s="27">
        <f>ROUND((U45)*(IF('Your Debts'!$G$10=0,0,INDEX('Your Debts'!$C$5:$C$12,'Your Debts'!$G$10)/12)),2)</f>
        <v/>
      </c>
      <c r="T46" s="27">
        <f>MIN((U45)+S46,MAX(0,$C46-(E46+H46+K46+N46+Q46)))</f>
        <v/>
      </c>
      <c r="U46" s="27">
        <f>ROUND(MAX(0,(U45)+S46-T46),2)</f>
        <v/>
      </c>
      <c r="V46" s="27">
        <f>ROUND((X45)*(IF('Your Debts'!$G$11=0,0,INDEX('Your Debts'!$C$5:$C$12,'Your Debts'!$G$11)/12)),2)</f>
        <v/>
      </c>
      <c r="W46" s="27">
        <f>MIN((X45)+V46,MAX(0,$C46-(E46+H46+K46+N46+Q46+T46)))</f>
        <v/>
      </c>
      <c r="X46" s="27">
        <f>ROUND(MAX(0,(X45)+V46-W46),2)</f>
        <v/>
      </c>
      <c r="Y46" s="27">
        <f>ROUND((AA45)*(IF('Your Debts'!$G$12=0,0,INDEX('Your Debts'!$C$5:$C$12,'Your Debts'!$G$12)/12)),2)</f>
        <v/>
      </c>
      <c r="Z46" s="27">
        <f>MIN((AA45)+Y46,MAX(0,$C46-(E46+H46+K46+N46+Q46+T46+W46)))</f>
        <v/>
      </c>
      <c r="AA46" s="27">
        <f>ROUND(MAX(0,(AA45)+Y46-Z46),2)</f>
        <v/>
      </c>
      <c r="AB46" s="18">
        <f>F46+I46+L46+O46+R46+U46+X46+AA46</f>
        <v/>
      </c>
      <c r="AC46" s="26">
        <f>AC45+D46+G46+J46+M46+P46+S46+V46+Y46</f>
        <v/>
      </c>
    </row>
    <row r="47">
      <c r="A47" s="24" t="n">
        <v>42</v>
      </c>
      <c r="B47" s="25">
        <f>EDATE('Your Debts'!$B$19,41)</f>
        <v/>
      </c>
      <c r="C47" s="26">
        <f>'Your Debts'!$B$18</f>
        <v/>
      </c>
      <c r="D47" s="27">
        <f>ROUND((F46)*(IF('Your Debts'!$G$5=0,0,INDEX('Your Debts'!$C$5:$C$12,'Your Debts'!$G$5)/12)),2)</f>
        <v/>
      </c>
      <c r="E47" s="27">
        <f>MIN((F46)+D47,MAX(0,$C47-(0)))</f>
        <v/>
      </c>
      <c r="F47" s="27">
        <f>ROUND(MAX(0,(F46)+D47-E47),2)</f>
        <v/>
      </c>
      <c r="G47" s="27">
        <f>ROUND((I46)*(IF('Your Debts'!$G$6=0,0,INDEX('Your Debts'!$C$5:$C$12,'Your Debts'!$G$6)/12)),2)</f>
        <v/>
      </c>
      <c r="H47" s="27">
        <f>MIN((I46)+G47,MAX(0,$C47-(E47)))</f>
        <v/>
      </c>
      <c r="I47" s="27">
        <f>ROUND(MAX(0,(I46)+G47-H47),2)</f>
        <v/>
      </c>
      <c r="J47" s="27">
        <f>ROUND((L46)*(IF('Your Debts'!$G$7=0,0,INDEX('Your Debts'!$C$5:$C$12,'Your Debts'!$G$7)/12)),2)</f>
        <v/>
      </c>
      <c r="K47" s="27">
        <f>MIN((L46)+J47,MAX(0,$C47-(E47+H47)))</f>
        <v/>
      </c>
      <c r="L47" s="27">
        <f>ROUND(MAX(0,(L46)+J47-K47),2)</f>
        <v/>
      </c>
      <c r="M47" s="27">
        <f>ROUND((O46)*(IF('Your Debts'!$G$8=0,0,INDEX('Your Debts'!$C$5:$C$12,'Your Debts'!$G$8)/12)),2)</f>
        <v/>
      </c>
      <c r="N47" s="27">
        <f>MIN((O46)+M47,MAX(0,$C47-(E47+H47+K47)))</f>
        <v/>
      </c>
      <c r="O47" s="27">
        <f>ROUND(MAX(0,(O46)+M47-N47),2)</f>
        <v/>
      </c>
      <c r="P47" s="27">
        <f>ROUND((R46)*(IF('Your Debts'!$G$9=0,0,INDEX('Your Debts'!$C$5:$C$12,'Your Debts'!$G$9)/12)),2)</f>
        <v/>
      </c>
      <c r="Q47" s="27">
        <f>MIN((R46)+P47,MAX(0,$C47-(E47+H47+K47+N47)))</f>
        <v/>
      </c>
      <c r="R47" s="27">
        <f>ROUND(MAX(0,(R46)+P47-Q47),2)</f>
        <v/>
      </c>
      <c r="S47" s="27">
        <f>ROUND((U46)*(IF('Your Debts'!$G$10=0,0,INDEX('Your Debts'!$C$5:$C$12,'Your Debts'!$G$10)/12)),2)</f>
        <v/>
      </c>
      <c r="T47" s="27">
        <f>MIN((U46)+S47,MAX(0,$C47-(E47+H47+K47+N47+Q47)))</f>
        <v/>
      </c>
      <c r="U47" s="27">
        <f>ROUND(MAX(0,(U46)+S47-T47),2)</f>
        <v/>
      </c>
      <c r="V47" s="27">
        <f>ROUND((X46)*(IF('Your Debts'!$G$11=0,0,INDEX('Your Debts'!$C$5:$C$12,'Your Debts'!$G$11)/12)),2)</f>
        <v/>
      </c>
      <c r="W47" s="27">
        <f>MIN((X46)+V47,MAX(0,$C47-(E47+H47+K47+N47+Q47+T47)))</f>
        <v/>
      </c>
      <c r="X47" s="27">
        <f>ROUND(MAX(0,(X46)+V47-W47),2)</f>
        <v/>
      </c>
      <c r="Y47" s="27">
        <f>ROUND((AA46)*(IF('Your Debts'!$G$12=0,0,INDEX('Your Debts'!$C$5:$C$12,'Your Debts'!$G$12)/12)),2)</f>
        <v/>
      </c>
      <c r="Z47" s="27">
        <f>MIN((AA46)+Y47,MAX(0,$C47-(E47+H47+K47+N47+Q47+T47+W47)))</f>
        <v/>
      </c>
      <c r="AA47" s="27">
        <f>ROUND(MAX(0,(AA46)+Y47-Z47),2)</f>
        <v/>
      </c>
      <c r="AB47" s="18">
        <f>F47+I47+L47+O47+R47+U47+X47+AA47</f>
        <v/>
      </c>
      <c r="AC47" s="26">
        <f>AC46+D47+G47+J47+M47+P47+S47+V47+Y47</f>
        <v/>
      </c>
    </row>
    <row r="48">
      <c r="A48" s="24" t="n">
        <v>43</v>
      </c>
      <c r="B48" s="25">
        <f>EDATE('Your Debts'!$B$19,42)</f>
        <v/>
      </c>
      <c r="C48" s="26">
        <f>'Your Debts'!$B$18</f>
        <v/>
      </c>
      <c r="D48" s="27">
        <f>ROUND((F47)*(IF('Your Debts'!$G$5=0,0,INDEX('Your Debts'!$C$5:$C$12,'Your Debts'!$G$5)/12)),2)</f>
        <v/>
      </c>
      <c r="E48" s="27">
        <f>MIN((F47)+D48,MAX(0,$C48-(0)))</f>
        <v/>
      </c>
      <c r="F48" s="27">
        <f>ROUND(MAX(0,(F47)+D48-E48),2)</f>
        <v/>
      </c>
      <c r="G48" s="27">
        <f>ROUND((I47)*(IF('Your Debts'!$G$6=0,0,INDEX('Your Debts'!$C$5:$C$12,'Your Debts'!$G$6)/12)),2)</f>
        <v/>
      </c>
      <c r="H48" s="27">
        <f>MIN((I47)+G48,MAX(0,$C48-(E48)))</f>
        <v/>
      </c>
      <c r="I48" s="27">
        <f>ROUND(MAX(0,(I47)+G48-H48),2)</f>
        <v/>
      </c>
      <c r="J48" s="27">
        <f>ROUND((L47)*(IF('Your Debts'!$G$7=0,0,INDEX('Your Debts'!$C$5:$C$12,'Your Debts'!$G$7)/12)),2)</f>
        <v/>
      </c>
      <c r="K48" s="27">
        <f>MIN((L47)+J48,MAX(0,$C48-(E48+H48)))</f>
        <v/>
      </c>
      <c r="L48" s="27">
        <f>ROUND(MAX(0,(L47)+J48-K48),2)</f>
        <v/>
      </c>
      <c r="M48" s="27">
        <f>ROUND((O47)*(IF('Your Debts'!$G$8=0,0,INDEX('Your Debts'!$C$5:$C$12,'Your Debts'!$G$8)/12)),2)</f>
        <v/>
      </c>
      <c r="N48" s="27">
        <f>MIN((O47)+M48,MAX(0,$C48-(E48+H48+K48)))</f>
        <v/>
      </c>
      <c r="O48" s="27">
        <f>ROUND(MAX(0,(O47)+M48-N48),2)</f>
        <v/>
      </c>
      <c r="P48" s="27">
        <f>ROUND((R47)*(IF('Your Debts'!$G$9=0,0,INDEX('Your Debts'!$C$5:$C$12,'Your Debts'!$G$9)/12)),2)</f>
        <v/>
      </c>
      <c r="Q48" s="27">
        <f>MIN((R47)+P48,MAX(0,$C48-(E48+H48+K48+N48)))</f>
        <v/>
      </c>
      <c r="R48" s="27">
        <f>ROUND(MAX(0,(R47)+P48-Q48),2)</f>
        <v/>
      </c>
      <c r="S48" s="27">
        <f>ROUND((U47)*(IF('Your Debts'!$G$10=0,0,INDEX('Your Debts'!$C$5:$C$12,'Your Debts'!$G$10)/12)),2)</f>
        <v/>
      </c>
      <c r="T48" s="27">
        <f>MIN((U47)+S48,MAX(0,$C48-(E48+H48+K48+N48+Q48)))</f>
        <v/>
      </c>
      <c r="U48" s="27">
        <f>ROUND(MAX(0,(U47)+S48-T48),2)</f>
        <v/>
      </c>
      <c r="V48" s="27">
        <f>ROUND((X47)*(IF('Your Debts'!$G$11=0,0,INDEX('Your Debts'!$C$5:$C$12,'Your Debts'!$G$11)/12)),2)</f>
        <v/>
      </c>
      <c r="W48" s="27">
        <f>MIN((X47)+V48,MAX(0,$C48-(E48+H48+K48+N48+Q48+T48)))</f>
        <v/>
      </c>
      <c r="X48" s="27">
        <f>ROUND(MAX(0,(X47)+V48-W48),2)</f>
        <v/>
      </c>
      <c r="Y48" s="27">
        <f>ROUND((AA47)*(IF('Your Debts'!$G$12=0,0,INDEX('Your Debts'!$C$5:$C$12,'Your Debts'!$G$12)/12)),2)</f>
        <v/>
      </c>
      <c r="Z48" s="27">
        <f>MIN((AA47)+Y48,MAX(0,$C48-(E48+H48+K48+N48+Q48+T48+W48)))</f>
        <v/>
      </c>
      <c r="AA48" s="27">
        <f>ROUND(MAX(0,(AA47)+Y48-Z48),2)</f>
        <v/>
      </c>
      <c r="AB48" s="18">
        <f>F48+I48+L48+O48+R48+U48+X48+AA48</f>
        <v/>
      </c>
      <c r="AC48" s="26">
        <f>AC47+D48+G48+J48+M48+P48+S48+V48+Y48</f>
        <v/>
      </c>
    </row>
    <row r="49">
      <c r="A49" s="24" t="n">
        <v>44</v>
      </c>
      <c r="B49" s="25">
        <f>EDATE('Your Debts'!$B$19,43)</f>
        <v/>
      </c>
      <c r="C49" s="26">
        <f>'Your Debts'!$B$18</f>
        <v/>
      </c>
      <c r="D49" s="27">
        <f>ROUND((F48)*(IF('Your Debts'!$G$5=0,0,INDEX('Your Debts'!$C$5:$C$12,'Your Debts'!$G$5)/12)),2)</f>
        <v/>
      </c>
      <c r="E49" s="27">
        <f>MIN((F48)+D49,MAX(0,$C49-(0)))</f>
        <v/>
      </c>
      <c r="F49" s="27">
        <f>ROUND(MAX(0,(F48)+D49-E49),2)</f>
        <v/>
      </c>
      <c r="G49" s="27">
        <f>ROUND((I48)*(IF('Your Debts'!$G$6=0,0,INDEX('Your Debts'!$C$5:$C$12,'Your Debts'!$G$6)/12)),2)</f>
        <v/>
      </c>
      <c r="H49" s="27">
        <f>MIN((I48)+G49,MAX(0,$C49-(E49)))</f>
        <v/>
      </c>
      <c r="I49" s="27">
        <f>ROUND(MAX(0,(I48)+G49-H49),2)</f>
        <v/>
      </c>
      <c r="J49" s="27">
        <f>ROUND((L48)*(IF('Your Debts'!$G$7=0,0,INDEX('Your Debts'!$C$5:$C$12,'Your Debts'!$G$7)/12)),2)</f>
        <v/>
      </c>
      <c r="K49" s="27">
        <f>MIN((L48)+J49,MAX(0,$C49-(E49+H49)))</f>
        <v/>
      </c>
      <c r="L49" s="27">
        <f>ROUND(MAX(0,(L48)+J49-K49),2)</f>
        <v/>
      </c>
      <c r="M49" s="27">
        <f>ROUND((O48)*(IF('Your Debts'!$G$8=0,0,INDEX('Your Debts'!$C$5:$C$12,'Your Debts'!$G$8)/12)),2)</f>
        <v/>
      </c>
      <c r="N49" s="27">
        <f>MIN((O48)+M49,MAX(0,$C49-(E49+H49+K49)))</f>
        <v/>
      </c>
      <c r="O49" s="27">
        <f>ROUND(MAX(0,(O48)+M49-N49),2)</f>
        <v/>
      </c>
      <c r="P49" s="27">
        <f>ROUND((R48)*(IF('Your Debts'!$G$9=0,0,INDEX('Your Debts'!$C$5:$C$12,'Your Debts'!$G$9)/12)),2)</f>
        <v/>
      </c>
      <c r="Q49" s="27">
        <f>MIN((R48)+P49,MAX(0,$C49-(E49+H49+K49+N49)))</f>
        <v/>
      </c>
      <c r="R49" s="27">
        <f>ROUND(MAX(0,(R48)+P49-Q49),2)</f>
        <v/>
      </c>
      <c r="S49" s="27">
        <f>ROUND((U48)*(IF('Your Debts'!$G$10=0,0,INDEX('Your Debts'!$C$5:$C$12,'Your Debts'!$G$10)/12)),2)</f>
        <v/>
      </c>
      <c r="T49" s="27">
        <f>MIN((U48)+S49,MAX(0,$C49-(E49+H49+K49+N49+Q49)))</f>
        <v/>
      </c>
      <c r="U49" s="27">
        <f>ROUND(MAX(0,(U48)+S49-T49),2)</f>
        <v/>
      </c>
      <c r="V49" s="27">
        <f>ROUND((X48)*(IF('Your Debts'!$G$11=0,0,INDEX('Your Debts'!$C$5:$C$12,'Your Debts'!$G$11)/12)),2)</f>
        <v/>
      </c>
      <c r="W49" s="27">
        <f>MIN((X48)+V49,MAX(0,$C49-(E49+H49+K49+N49+Q49+T49)))</f>
        <v/>
      </c>
      <c r="X49" s="27">
        <f>ROUND(MAX(0,(X48)+V49-W49),2)</f>
        <v/>
      </c>
      <c r="Y49" s="27">
        <f>ROUND((AA48)*(IF('Your Debts'!$G$12=0,0,INDEX('Your Debts'!$C$5:$C$12,'Your Debts'!$G$12)/12)),2)</f>
        <v/>
      </c>
      <c r="Z49" s="27">
        <f>MIN((AA48)+Y49,MAX(0,$C49-(E49+H49+K49+N49+Q49+T49+W49)))</f>
        <v/>
      </c>
      <c r="AA49" s="27">
        <f>ROUND(MAX(0,(AA48)+Y49-Z49),2)</f>
        <v/>
      </c>
      <c r="AB49" s="18">
        <f>F49+I49+L49+O49+R49+U49+X49+AA49</f>
        <v/>
      </c>
      <c r="AC49" s="26">
        <f>AC48+D49+G49+J49+M49+P49+S49+V49+Y49</f>
        <v/>
      </c>
    </row>
    <row r="50">
      <c r="A50" s="24" t="n">
        <v>45</v>
      </c>
      <c r="B50" s="25">
        <f>EDATE('Your Debts'!$B$19,44)</f>
        <v/>
      </c>
      <c r="C50" s="26">
        <f>'Your Debts'!$B$18</f>
        <v/>
      </c>
      <c r="D50" s="27">
        <f>ROUND((F49)*(IF('Your Debts'!$G$5=0,0,INDEX('Your Debts'!$C$5:$C$12,'Your Debts'!$G$5)/12)),2)</f>
        <v/>
      </c>
      <c r="E50" s="27">
        <f>MIN((F49)+D50,MAX(0,$C50-(0)))</f>
        <v/>
      </c>
      <c r="F50" s="27">
        <f>ROUND(MAX(0,(F49)+D50-E50),2)</f>
        <v/>
      </c>
      <c r="G50" s="27">
        <f>ROUND((I49)*(IF('Your Debts'!$G$6=0,0,INDEX('Your Debts'!$C$5:$C$12,'Your Debts'!$G$6)/12)),2)</f>
        <v/>
      </c>
      <c r="H50" s="27">
        <f>MIN((I49)+G50,MAX(0,$C50-(E50)))</f>
        <v/>
      </c>
      <c r="I50" s="27">
        <f>ROUND(MAX(0,(I49)+G50-H50),2)</f>
        <v/>
      </c>
      <c r="J50" s="27">
        <f>ROUND((L49)*(IF('Your Debts'!$G$7=0,0,INDEX('Your Debts'!$C$5:$C$12,'Your Debts'!$G$7)/12)),2)</f>
        <v/>
      </c>
      <c r="K50" s="27">
        <f>MIN((L49)+J50,MAX(0,$C50-(E50+H50)))</f>
        <v/>
      </c>
      <c r="L50" s="27">
        <f>ROUND(MAX(0,(L49)+J50-K50),2)</f>
        <v/>
      </c>
      <c r="M50" s="27">
        <f>ROUND((O49)*(IF('Your Debts'!$G$8=0,0,INDEX('Your Debts'!$C$5:$C$12,'Your Debts'!$G$8)/12)),2)</f>
        <v/>
      </c>
      <c r="N50" s="27">
        <f>MIN((O49)+M50,MAX(0,$C50-(E50+H50+K50)))</f>
        <v/>
      </c>
      <c r="O50" s="27">
        <f>ROUND(MAX(0,(O49)+M50-N50),2)</f>
        <v/>
      </c>
      <c r="P50" s="27">
        <f>ROUND((R49)*(IF('Your Debts'!$G$9=0,0,INDEX('Your Debts'!$C$5:$C$12,'Your Debts'!$G$9)/12)),2)</f>
        <v/>
      </c>
      <c r="Q50" s="27">
        <f>MIN((R49)+P50,MAX(0,$C50-(E50+H50+K50+N50)))</f>
        <v/>
      </c>
      <c r="R50" s="27">
        <f>ROUND(MAX(0,(R49)+P50-Q50),2)</f>
        <v/>
      </c>
      <c r="S50" s="27">
        <f>ROUND((U49)*(IF('Your Debts'!$G$10=0,0,INDEX('Your Debts'!$C$5:$C$12,'Your Debts'!$G$10)/12)),2)</f>
        <v/>
      </c>
      <c r="T50" s="27">
        <f>MIN((U49)+S50,MAX(0,$C50-(E50+H50+K50+N50+Q50)))</f>
        <v/>
      </c>
      <c r="U50" s="27">
        <f>ROUND(MAX(0,(U49)+S50-T50),2)</f>
        <v/>
      </c>
      <c r="V50" s="27">
        <f>ROUND((X49)*(IF('Your Debts'!$G$11=0,0,INDEX('Your Debts'!$C$5:$C$12,'Your Debts'!$G$11)/12)),2)</f>
        <v/>
      </c>
      <c r="W50" s="27">
        <f>MIN((X49)+V50,MAX(0,$C50-(E50+H50+K50+N50+Q50+T50)))</f>
        <v/>
      </c>
      <c r="X50" s="27">
        <f>ROUND(MAX(0,(X49)+V50-W50),2)</f>
        <v/>
      </c>
      <c r="Y50" s="27">
        <f>ROUND((AA49)*(IF('Your Debts'!$G$12=0,0,INDEX('Your Debts'!$C$5:$C$12,'Your Debts'!$G$12)/12)),2)</f>
        <v/>
      </c>
      <c r="Z50" s="27">
        <f>MIN((AA49)+Y50,MAX(0,$C50-(E50+H50+K50+N50+Q50+T50+W50)))</f>
        <v/>
      </c>
      <c r="AA50" s="27">
        <f>ROUND(MAX(0,(AA49)+Y50-Z50),2)</f>
        <v/>
      </c>
      <c r="AB50" s="18">
        <f>F50+I50+L50+O50+R50+U50+X50+AA50</f>
        <v/>
      </c>
      <c r="AC50" s="26">
        <f>AC49+D50+G50+J50+M50+P50+S50+V50+Y50</f>
        <v/>
      </c>
    </row>
    <row r="51">
      <c r="A51" s="24" t="n">
        <v>46</v>
      </c>
      <c r="B51" s="25">
        <f>EDATE('Your Debts'!$B$19,45)</f>
        <v/>
      </c>
      <c r="C51" s="26">
        <f>'Your Debts'!$B$18</f>
        <v/>
      </c>
      <c r="D51" s="27">
        <f>ROUND((F50)*(IF('Your Debts'!$G$5=0,0,INDEX('Your Debts'!$C$5:$C$12,'Your Debts'!$G$5)/12)),2)</f>
        <v/>
      </c>
      <c r="E51" s="27">
        <f>MIN((F50)+D51,MAX(0,$C51-(0)))</f>
        <v/>
      </c>
      <c r="F51" s="27">
        <f>ROUND(MAX(0,(F50)+D51-E51),2)</f>
        <v/>
      </c>
      <c r="G51" s="27">
        <f>ROUND((I50)*(IF('Your Debts'!$G$6=0,0,INDEX('Your Debts'!$C$5:$C$12,'Your Debts'!$G$6)/12)),2)</f>
        <v/>
      </c>
      <c r="H51" s="27">
        <f>MIN((I50)+G51,MAX(0,$C51-(E51)))</f>
        <v/>
      </c>
      <c r="I51" s="27">
        <f>ROUND(MAX(0,(I50)+G51-H51),2)</f>
        <v/>
      </c>
      <c r="J51" s="27">
        <f>ROUND((L50)*(IF('Your Debts'!$G$7=0,0,INDEX('Your Debts'!$C$5:$C$12,'Your Debts'!$G$7)/12)),2)</f>
        <v/>
      </c>
      <c r="K51" s="27">
        <f>MIN((L50)+J51,MAX(0,$C51-(E51+H51)))</f>
        <v/>
      </c>
      <c r="L51" s="27">
        <f>ROUND(MAX(0,(L50)+J51-K51),2)</f>
        <v/>
      </c>
      <c r="M51" s="27">
        <f>ROUND((O50)*(IF('Your Debts'!$G$8=0,0,INDEX('Your Debts'!$C$5:$C$12,'Your Debts'!$G$8)/12)),2)</f>
        <v/>
      </c>
      <c r="N51" s="27">
        <f>MIN((O50)+M51,MAX(0,$C51-(E51+H51+K51)))</f>
        <v/>
      </c>
      <c r="O51" s="27">
        <f>ROUND(MAX(0,(O50)+M51-N51),2)</f>
        <v/>
      </c>
      <c r="P51" s="27">
        <f>ROUND((R50)*(IF('Your Debts'!$G$9=0,0,INDEX('Your Debts'!$C$5:$C$12,'Your Debts'!$G$9)/12)),2)</f>
        <v/>
      </c>
      <c r="Q51" s="27">
        <f>MIN((R50)+P51,MAX(0,$C51-(E51+H51+K51+N51)))</f>
        <v/>
      </c>
      <c r="R51" s="27">
        <f>ROUND(MAX(0,(R50)+P51-Q51),2)</f>
        <v/>
      </c>
      <c r="S51" s="27">
        <f>ROUND((U50)*(IF('Your Debts'!$G$10=0,0,INDEX('Your Debts'!$C$5:$C$12,'Your Debts'!$G$10)/12)),2)</f>
        <v/>
      </c>
      <c r="T51" s="27">
        <f>MIN((U50)+S51,MAX(0,$C51-(E51+H51+K51+N51+Q51)))</f>
        <v/>
      </c>
      <c r="U51" s="27">
        <f>ROUND(MAX(0,(U50)+S51-T51),2)</f>
        <v/>
      </c>
      <c r="V51" s="27">
        <f>ROUND((X50)*(IF('Your Debts'!$G$11=0,0,INDEX('Your Debts'!$C$5:$C$12,'Your Debts'!$G$11)/12)),2)</f>
        <v/>
      </c>
      <c r="W51" s="27">
        <f>MIN((X50)+V51,MAX(0,$C51-(E51+H51+K51+N51+Q51+T51)))</f>
        <v/>
      </c>
      <c r="X51" s="27">
        <f>ROUND(MAX(0,(X50)+V51-W51),2)</f>
        <v/>
      </c>
      <c r="Y51" s="27">
        <f>ROUND((AA50)*(IF('Your Debts'!$G$12=0,0,INDEX('Your Debts'!$C$5:$C$12,'Your Debts'!$G$12)/12)),2)</f>
        <v/>
      </c>
      <c r="Z51" s="27">
        <f>MIN((AA50)+Y51,MAX(0,$C51-(E51+H51+K51+N51+Q51+T51+W51)))</f>
        <v/>
      </c>
      <c r="AA51" s="27">
        <f>ROUND(MAX(0,(AA50)+Y51-Z51),2)</f>
        <v/>
      </c>
      <c r="AB51" s="18">
        <f>F51+I51+L51+O51+R51+U51+X51+AA51</f>
        <v/>
      </c>
      <c r="AC51" s="26">
        <f>AC50+D51+G51+J51+M51+P51+S51+V51+Y51</f>
        <v/>
      </c>
    </row>
    <row r="52">
      <c r="A52" s="24" t="n">
        <v>47</v>
      </c>
      <c r="B52" s="25">
        <f>EDATE('Your Debts'!$B$19,46)</f>
        <v/>
      </c>
      <c r="C52" s="26">
        <f>'Your Debts'!$B$18</f>
        <v/>
      </c>
      <c r="D52" s="27">
        <f>ROUND((F51)*(IF('Your Debts'!$G$5=0,0,INDEX('Your Debts'!$C$5:$C$12,'Your Debts'!$G$5)/12)),2)</f>
        <v/>
      </c>
      <c r="E52" s="27">
        <f>MIN((F51)+D52,MAX(0,$C52-(0)))</f>
        <v/>
      </c>
      <c r="F52" s="27">
        <f>ROUND(MAX(0,(F51)+D52-E52),2)</f>
        <v/>
      </c>
      <c r="G52" s="27">
        <f>ROUND((I51)*(IF('Your Debts'!$G$6=0,0,INDEX('Your Debts'!$C$5:$C$12,'Your Debts'!$G$6)/12)),2)</f>
        <v/>
      </c>
      <c r="H52" s="27">
        <f>MIN((I51)+G52,MAX(0,$C52-(E52)))</f>
        <v/>
      </c>
      <c r="I52" s="27">
        <f>ROUND(MAX(0,(I51)+G52-H52),2)</f>
        <v/>
      </c>
      <c r="J52" s="27">
        <f>ROUND((L51)*(IF('Your Debts'!$G$7=0,0,INDEX('Your Debts'!$C$5:$C$12,'Your Debts'!$G$7)/12)),2)</f>
        <v/>
      </c>
      <c r="K52" s="27">
        <f>MIN((L51)+J52,MAX(0,$C52-(E52+H52)))</f>
        <v/>
      </c>
      <c r="L52" s="27">
        <f>ROUND(MAX(0,(L51)+J52-K52),2)</f>
        <v/>
      </c>
      <c r="M52" s="27">
        <f>ROUND((O51)*(IF('Your Debts'!$G$8=0,0,INDEX('Your Debts'!$C$5:$C$12,'Your Debts'!$G$8)/12)),2)</f>
        <v/>
      </c>
      <c r="N52" s="27">
        <f>MIN((O51)+M52,MAX(0,$C52-(E52+H52+K52)))</f>
        <v/>
      </c>
      <c r="O52" s="27">
        <f>ROUND(MAX(0,(O51)+M52-N52),2)</f>
        <v/>
      </c>
      <c r="P52" s="27">
        <f>ROUND((R51)*(IF('Your Debts'!$G$9=0,0,INDEX('Your Debts'!$C$5:$C$12,'Your Debts'!$G$9)/12)),2)</f>
        <v/>
      </c>
      <c r="Q52" s="27">
        <f>MIN((R51)+P52,MAX(0,$C52-(E52+H52+K52+N52)))</f>
        <v/>
      </c>
      <c r="R52" s="27">
        <f>ROUND(MAX(0,(R51)+P52-Q52),2)</f>
        <v/>
      </c>
      <c r="S52" s="27">
        <f>ROUND((U51)*(IF('Your Debts'!$G$10=0,0,INDEX('Your Debts'!$C$5:$C$12,'Your Debts'!$G$10)/12)),2)</f>
        <v/>
      </c>
      <c r="T52" s="27">
        <f>MIN((U51)+S52,MAX(0,$C52-(E52+H52+K52+N52+Q52)))</f>
        <v/>
      </c>
      <c r="U52" s="27">
        <f>ROUND(MAX(0,(U51)+S52-T52),2)</f>
        <v/>
      </c>
      <c r="V52" s="27">
        <f>ROUND((X51)*(IF('Your Debts'!$G$11=0,0,INDEX('Your Debts'!$C$5:$C$12,'Your Debts'!$G$11)/12)),2)</f>
        <v/>
      </c>
      <c r="W52" s="27">
        <f>MIN((X51)+V52,MAX(0,$C52-(E52+H52+K52+N52+Q52+T52)))</f>
        <v/>
      </c>
      <c r="X52" s="27">
        <f>ROUND(MAX(0,(X51)+V52-W52),2)</f>
        <v/>
      </c>
      <c r="Y52" s="27">
        <f>ROUND((AA51)*(IF('Your Debts'!$G$12=0,0,INDEX('Your Debts'!$C$5:$C$12,'Your Debts'!$G$12)/12)),2)</f>
        <v/>
      </c>
      <c r="Z52" s="27">
        <f>MIN((AA51)+Y52,MAX(0,$C52-(E52+H52+K52+N52+Q52+T52+W52)))</f>
        <v/>
      </c>
      <c r="AA52" s="27">
        <f>ROUND(MAX(0,(AA51)+Y52-Z52),2)</f>
        <v/>
      </c>
      <c r="AB52" s="18">
        <f>F52+I52+L52+O52+R52+U52+X52+AA52</f>
        <v/>
      </c>
      <c r="AC52" s="26">
        <f>AC51+D52+G52+J52+M52+P52+S52+V52+Y52</f>
        <v/>
      </c>
    </row>
    <row r="53">
      <c r="A53" s="24" t="n">
        <v>48</v>
      </c>
      <c r="B53" s="25">
        <f>EDATE('Your Debts'!$B$19,47)</f>
        <v/>
      </c>
      <c r="C53" s="26">
        <f>'Your Debts'!$B$18</f>
        <v/>
      </c>
      <c r="D53" s="27">
        <f>ROUND((F52)*(IF('Your Debts'!$G$5=0,0,INDEX('Your Debts'!$C$5:$C$12,'Your Debts'!$G$5)/12)),2)</f>
        <v/>
      </c>
      <c r="E53" s="27">
        <f>MIN((F52)+D53,MAX(0,$C53-(0)))</f>
        <v/>
      </c>
      <c r="F53" s="27">
        <f>ROUND(MAX(0,(F52)+D53-E53),2)</f>
        <v/>
      </c>
      <c r="G53" s="27">
        <f>ROUND((I52)*(IF('Your Debts'!$G$6=0,0,INDEX('Your Debts'!$C$5:$C$12,'Your Debts'!$G$6)/12)),2)</f>
        <v/>
      </c>
      <c r="H53" s="27">
        <f>MIN((I52)+G53,MAX(0,$C53-(E53)))</f>
        <v/>
      </c>
      <c r="I53" s="27">
        <f>ROUND(MAX(0,(I52)+G53-H53),2)</f>
        <v/>
      </c>
      <c r="J53" s="27">
        <f>ROUND((L52)*(IF('Your Debts'!$G$7=0,0,INDEX('Your Debts'!$C$5:$C$12,'Your Debts'!$G$7)/12)),2)</f>
        <v/>
      </c>
      <c r="K53" s="27">
        <f>MIN((L52)+J53,MAX(0,$C53-(E53+H53)))</f>
        <v/>
      </c>
      <c r="L53" s="27">
        <f>ROUND(MAX(0,(L52)+J53-K53),2)</f>
        <v/>
      </c>
      <c r="M53" s="27">
        <f>ROUND((O52)*(IF('Your Debts'!$G$8=0,0,INDEX('Your Debts'!$C$5:$C$12,'Your Debts'!$G$8)/12)),2)</f>
        <v/>
      </c>
      <c r="N53" s="27">
        <f>MIN((O52)+M53,MAX(0,$C53-(E53+H53+K53)))</f>
        <v/>
      </c>
      <c r="O53" s="27">
        <f>ROUND(MAX(0,(O52)+M53-N53),2)</f>
        <v/>
      </c>
      <c r="P53" s="27">
        <f>ROUND((R52)*(IF('Your Debts'!$G$9=0,0,INDEX('Your Debts'!$C$5:$C$12,'Your Debts'!$G$9)/12)),2)</f>
        <v/>
      </c>
      <c r="Q53" s="27">
        <f>MIN((R52)+P53,MAX(0,$C53-(E53+H53+K53+N53)))</f>
        <v/>
      </c>
      <c r="R53" s="27">
        <f>ROUND(MAX(0,(R52)+P53-Q53),2)</f>
        <v/>
      </c>
      <c r="S53" s="27">
        <f>ROUND((U52)*(IF('Your Debts'!$G$10=0,0,INDEX('Your Debts'!$C$5:$C$12,'Your Debts'!$G$10)/12)),2)</f>
        <v/>
      </c>
      <c r="T53" s="27">
        <f>MIN((U52)+S53,MAX(0,$C53-(E53+H53+K53+N53+Q53)))</f>
        <v/>
      </c>
      <c r="U53" s="27">
        <f>ROUND(MAX(0,(U52)+S53-T53),2)</f>
        <v/>
      </c>
      <c r="V53" s="27">
        <f>ROUND((X52)*(IF('Your Debts'!$G$11=0,0,INDEX('Your Debts'!$C$5:$C$12,'Your Debts'!$G$11)/12)),2)</f>
        <v/>
      </c>
      <c r="W53" s="27">
        <f>MIN((X52)+V53,MAX(0,$C53-(E53+H53+K53+N53+Q53+T53)))</f>
        <v/>
      </c>
      <c r="X53" s="27">
        <f>ROUND(MAX(0,(X52)+V53-W53),2)</f>
        <v/>
      </c>
      <c r="Y53" s="27">
        <f>ROUND((AA52)*(IF('Your Debts'!$G$12=0,0,INDEX('Your Debts'!$C$5:$C$12,'Your Debts'!$G$12)/12)),2)</f>
        <v/>
      </c>
      <c r="Z53" s="27">
        <f>MIN((AA52)+Y53,MAX(0,$C53-(E53+H53+K53+N53+Q53+T53+W53)))</f>
        <v/>
      </c>
      <c r="AA53" s="27">
        <f>ROUND(MAX(0,(AA52)+Y53-Z53),2)</f>
        <v/>
      </c>
      <c r="AB53" s="18">
        <f>F53+I53+L53+O53+R53+U53+X53+AA53</f>
        <v/>
      </c>
      <c r="AC53" s="26">
        <f>AC52+D53+G53+J53+M53+P53+S53+V53+Y53</f>
        <v/>
      </c>
    </row>
    <row r="54">
      <c r="A54" s="24" t="n">
        <v>49</v>
      </c>
      <c r="B54" s="25">
        <f>EDATE('Your Debts'!$B$19,48)</f>
        <v/>
      </c>
      <c r="C54" s="26">
        <f>'Your Debts'!$B$18</f>
        <v/>
      </c>
      <c r="D54" s="27">
        <f>ROUND((F53)*(IF('Your Debts'!$G$5=0,0,INDEX('Your Debts'!$C$5:$C$12,'Your Debts'!$G$5)/12)),2)</f>
        <v/>
      </c>
      <c r="E54" s="27">
        <f>MIN((F53)+D54,MAX(0,$C54-(0)))</f>
        <v/>
      </c>
      <c r="F54" s="27">
        <f>ROUND(MAX(0,(F53)+D54-E54),2)</f>
        <v/>
      </c>
      <c r="G54" s="27">
        <f>ROUND((I53)*(IF('Your Debts'!$G$6=0,0,INDEX('Your Debts'!$C$5:$C$12,'Your Debts'!$G$6)/12)),2)</f>
        <v/>
      </c>
      <c r="H54" s="27">
        <f>MIN((I53)+G54,MAX(0,$C54-(E54)))</f>
        <v/>
      </c>
      <c r="I54" s="27">
        <f>ROUND(MAX(0,(I53)+G54-H54),2)</f>
        <v/>
      </c>
      <c r="J54" s="27">
        <f>ROUND((L53)*(IF('Your Debts'!$G$7=0,0,INDEX('Your Debts'!$C$5:$C$12,'Your Debts'!$G$7)/12)),2)</f>
        <v/>
      </c>
      <c r="K54" s="27">
        <f>MIN((L53)+J54,MAX(0,$C54-(E54+H54)))</f>
        <v/>
      </c>
      <c r="L54" s="27">
        <f>ROUND(MAX(0,(L53)+J54-K54),2)</f>
        <v/>
      </c>
      <c r="M54" s="27">
        <f>ROUND((O53)*(IF('Your Debts'!$G$8=0,0,INDEX('Your Debts'!$C$5:$C$12,'Your Debts'!$G$8)/12)),2)</f>
        <v/>
      </c>
      <c r="N54" s="27">
        <f>MIN((O53)+M54,MAX(0,$C54-(E54+H54+K54)))</f>
        <v/>
      </c>
      <c r="O54" s="27">
        <f>ROUND(MAX(0,(O53)+M54-N54),2)</f>
        <v/>
      </c>
      <c r="P54" s="27">
        <f>ROUND((R53)*(IF('Your Debts'!$G$9=0,0,INDEX('Your Debts'!$C$5:$C$12,'Your Debts'!$G$9)/12)),2)</f>
        <v/>
      </c>
      <c r="Q54" s="27">
        <f>MIN((R53)+P54,MAX(0,$C54-(E54+H54+K54+N54)))</f>
        <v/>
      </c>
      <c r="R54" s="27">
        <f>ROUND(MAX(0,(R53)+P54-Q54),2)</f>
        <v/>
      </c>
      <c r="S54" s="27">
        <f>ROUND((U53)*(IF('Your Debts'!$G$10=0,0,INDEX('Your Debts'!$C$5:$C$12,'Your Debts'!$G$10)/12)),2)</f>
        <v/>
      </c>
      <c r="T54" s="27">
        <f>MIN((U53)+S54,MAX(0,$C54-(E54+H54+K54+N54+Q54)))</f>
        <v/>
      </c>
      <c r="U54" s="27">
        <f>ROUND(MAX(0,(U53)+S54-T54),2)</f>
        <v/>
      </c>
      <c r="V54" s="27">
        <f>ROUND((X53)*(IF('Your Debts'!$G$11=0,0,INDEX('Your Debts'!$C$5:$C$12,'Your Debts'!$G$11)/12)),2)</f>
        <v/>
      </c>
      <c r="W54" s="27">
        <f>MIN((X53)+V54,MAX(0,$C54-(E54+H54+K54+N54+Q54+T54)))</f>
        <v/>
      </c>
      <c r="X54" s="27">
        <f>ROUND(MAX(0,(X53)+V54-W54),2)</f>
        <v/>
      </c>
      <c r="Y54" s="27">
        <f>ROUND((AA53)*(IF('Your Debts'!$G$12=0,0,INDEX('Your Debts'!$C$5:$C$12,'Your Debts'!$G$12)/12)),2)</f>
        <v/>
      </c>
      <c r="Z54" s="27">
        <f>MIN((AA53)+Y54,MAX(0,$C54-(E54+H54+K54+N54+Q54+T54+W54)))</f>
        <v/>
      </c>
      <c r="AA54" s="27">
        <f>ROUND(MAX(0,(AA53)+Y54-Z54),2)</f>
        <v/>
      </c>
      <c r="AB54" s="18">
        <f>F54+I54+L54+O54+R54+U54+X54+AA54</f>
        <v/>
      </c>
      <c r="AC54" s="26">
        <f>AC53+D54+G54+J54+M54+P54+S54+V54+Y54</f>
        <v/>
      </c>
    </row>
    <row r="55">
      <c r="A55" s="24" t="n">
        <v>50</v>
      </c>
      <c r="B55" s="25">
        <f>EDATE('Your Debts'!$B$19,49)</f>
        <v/>
      </c>
      <c r="C55" s="26">
        <f>'Your Debts'!$B$18</f>
        <v/>
      </c>
      <c r="D55" s="27">
        <f>ROUND((F54)*(IF('Your Debts'!$G$5=0,0,INDEX('Your Debts'!$C$5:$C$12,'Your Debts'!$G$5)/12)),2)</f>
        <v/>
      </c>
      <c r="E55" s="27">
        <f>MIN((F54)+D55,MAX(0,$C55-(0)))</f>
        <v/>
      </c>
      <c r="F55" s="27">
        <f>ROUND(MAX(0,(F54)+D55-E55),2)</f>
        <v/>
      </c>
      <c r="G55" s="27">
        <f>ROUND((I54)*(IF('Your Debts'!$G$6=0,0,INDEX('Your Debts'!$C$5:$C$12,'Your Debts'!$G$6)/12)),2)</f>
        <v/>
      </c>
      <c r="H55" s="27">
        <f>MIN((I54)+G55,MAX(0,$C55-(E55)))</f>
        <v/>
      </c>
      <c r="I55" s="27">
        <f>ROUND(MAX(0,(I54)+G55-H55),2)</f>
        <v/>
      </c>
      <c r="J55" s="27">
        <f>ROUND((L54)*(IF('Your Debts'!$G$7=0,0,INDEX('Your Debts'!$C$5:$C$12,'Your Debts'!$G$7)/12)),2)</f>
        <v/>
      </c>
      <c r="K55" s="27">
        <f>MIN((L54)+J55,MAX(0,$C55-(E55+H55)))</f>
        <v/>
      </c>
      <c r="L55" s="27">
        <f>ROUND(MAX(0,(L54)+J55-K55),2)</f>
        <v/>
      </c>
      <c r="M55" s="27">
        <f>ROUND((O54)*(IF('Your Debts'!$G$8=0,0,INDEX('Your Debts'!$C$5:$C$12,'Your Debts'!$G$8)/12)),2)</f>
        <v/>
      </c>
      <c r="N55" s="27">
        <f>MIN((O54)+M55,MAX(0,$C55-(E55+H55+K55)))</f>
        <v/>
      </c>
      <c r="O55" s="27">
        <f>ROUND(MAX(0,(O54)+M55-N55),2)</f>
        <v/>
      </c>
      <c r="P55" s="27">
        <f>ROUND((R54)*(IF('Your Debts'!$G$9=0,0,INDEX('Your Debts'!$C$5:$C$12,'Your Debts'!$G$9)/12)),2)</f>
        <v/>
      </c>
      <c r="Q55" s="27">
        <f>MIN((R54)+P55,MAX(0,$C55-(E55+H55+K55+N55)))</f>
        <v/>
      </c>
      <c r="R55" s="27">
        <f>ROUND(MAX(0,(R54)+P55-Q55),2)</f>
        <v/>
      </c>
      <c r="S55" s="27">
        <f>ROUND((U54)*(IF('Your Debts'!$G$10=0,0,INDEX('Your Debts'!$C$5:$C$12,'Your Debts'!$G$10)/12)),2)</f>
        <v/>
      </c>
      <c r="T55" s="27">
        <f>MIN((U54)+S55,MAX(0,$C55-(E55+H55+K55+N55+Q55)))</f>
        <v/>
      </c>
      <c r="U55" s="27">
        <f>ROUND(MAX(0,(U54)+S55-T55),2)</f>
        <v/>
      </c>
      <c r="V55" s="27">
        <f>ROUND((X54)*(IF('Your Debts'!$G$11=0,0,INDEX('Your Debts'!$C$5:$C$12,'Your Debts'!$G$11)/12)),2)</f>
        <v/>
      </c>
      <c r="W55" s="27">
        <f>MIN((X54)+V55,MAX(0,$C55-(E55+H55+K55+N55+Q55+T55)))</f>
        <v/>
      </c>
      <c r="X55" s="27">
        <f>ROUND(MAX(0,(X54)+V55-W55),2)</f>
        <v/>
      </c>
      <c r="Y55" s="27">
        <f>ROUND((AA54)*(IF('Your Debts'!$G$12=0,0,INDEX('Your Debts'!$C$5:$C$12,'Your Debts'!$G$12)/12)),2)</f>
        <v/>
      </c>
      <c r="Z55" s="27">
        <f>MIN((AA54)+Y55,MAX(0,$C55-(E55+H55+K55+N55+Q55+T55+W55)))</f>
        <v/>
      </c>
      <c r="AA55" s="27">
        <f>ROUND(MAX(0,(AA54)+Y55-Z55),2)</f>
        <v/>
      </c>
      <c r="AB55" s="18">
        <f>F55+I55+L55+O55+R55+U55+X55+AA55</f>
        <v/>
      </c>
      <c r="AC55" s="26">
        <f>AC54+D55+G55+J55+M55+P55+S55+V55+Y55</f>
        <v/>
      </c>
    </row>
    <row r="56">
      <c r="A56" s="24" t="n">
        <v>51</v>
      </c>
      <c r="B56" s="25">
        <f>EDATE('Your Debts'!$B$19,50)</f>
        <v/>
      </c>
      <c r="C56" s="26">
        <f>'Your Debts'!$B$18</f>
        <v/>
      </c>
      <c r="D56" s="27">
        <f>ROUND((F55)*(IF('Your Debts'!$G$5=0,0,INDEX('Your Debts'!$C$5:$C$12,'Your Debts'!$G$5)/12)),2)</f>
        <v/>
      </c>
      <c r="E56" s="27">
        <f>MIN((F55)+D56,MAX(0,$C56-(0)))</f>
        <v/>
      </c>
      <c r="F56" s="27">
        <f>ROUND(MAX(0,(F55)+D56-E56),2)</f>
        <v/>
      </c>
      <c r="G56" s="27">
        <f>ROUND((I55)*(IF('Your Debts'!$G$6=0,0,INDEX('Your Debts'!$C$5:$C$12,'Your Debts'!$G$6)/12)),2)</f>
        <v/>
      </c>
      <c r="H56" s="27">
        <f>MIN((I55)+G56,MAX(0,$C56-(E56)))</f>
        <v/>
      </c>
      <c r="I56" s="27">
        <f>ROUND(MAX(0,(I55)+G56-H56),2)</f>
        <v/>
      </c>
      <c r="J56" s="27">
        <f>ROUND((L55)*(IF('Your Debts'!$G$7=0,0,INDEX('Your Debts'!$C$5:$C$12,'Your Debts'!$G$7)/12)),2)</f>
        <v/>
      </c>
      <c r="K56" s="27">
        <f>MIN((L55)+J56,MAX(0,$C56-(E56+H56)))</f>
        <v/>
      </c>
      <c r="L56" s="27">
        <f>ROUND(MAX(0,(L55)+J56-K56),2)</f>
        <v/>
      </c>
      <c r="M56" s="27">
        <f>ROUND((O55)*(IF('Your Debts'!$G$8=0,0,INDEX('Your Debts'!$C$5:$C$12,'Your Debts'!$G$8)/12)),2)</f>
        <v/>
      </c>
      <c r="N56" s="27">
        <f>MIN((O55)+M56,MAX(0,$C56-(E56+H56+K56)))</f>
        <v/>
      </c>
      <c r="O56" s="27">
        <f>ROUND(MAX(0,(O55)+M56-N56),2)</f>
        <v/>
      </c>
      <c r="P56" s="27">
        <f>ROUND((R55)*(IF('Your Debts'!$G$9=0,0,INDEX('Your Debts'!$C$5:$C$12,'Your Debts'!$G$9)/12)),2)</f>
        <v/>
      </c>
      <c r="Q56" s="27">
        <f>MIN((R55)+P56,MAX(0,$C56-(E56+H56+K56+N56)))</f>
        <v/>
      </c>
      <c r="R56" s="27">
        <f>ROUND(MAX(0,(R55)+P56-Q56),2)</f>
        <v/>
      </c>
      <c r="S56" s="27">
        <f>ROUND((U55)*(IF('Your Debts'!$G$10=0,0,INDEX('Your Debts'!$C$5:$C$12,'Your Debts'!$G$10)/12)),2)</f>
        <v/>
      </c>
      <c r="T56" s="27">
        <f>MIN((U55)+S56,MAX(0,$C56-(E56+H56+K56+N56+Q56)))</f>
        <v/>
      </c>
      <c r="U56" s="27">
        <f>ROUND(MAX(0,(U55)+S56-T56),2)</f>
        <v/>
      </c>
      <c r="V56" s="27">
        <f>ROUND((X55)*(IF('Your Debts'!$G$11=0,0,INDEX('Your Debts'!$C$5:$C$12,'Your Debts'!$G$11)/12)),2)</f>
        <v/>
      </c>
      <c r="W56" s="27">
        <f>MIN((X55)+V56,MAX(0,$C56-(E56+H56+K56+N56+Q56+T56)))</f>
        <v/>
      </c>
      <c r="X56" s="27">
        <f>ROUND(MAX(0,(X55)+V56-W56),2)</f>
        <v/>
      </c>
      <c r="Y56" s="27">
        <f>ROUND((AA55)*(IF('Your Debts'!$G$12=0,0,INDEX('Your Debts'!$C$5:$C$12,'Your Debts'!$G$12)/12)),2)</f>
        <v/>
      </c>
      <c r="Z56" s="27">
        <f>MIN((AA55)+Y56,MAX(0,$C56-(E56+H56+K56+N56+Q56+T56+W56)))</f>
        <v/>
      </c>
      <c r="AA56" s="27">
        <f>ROUND(MAX(0,(AA55)+Y56-Z56),2)</f>
        <v/>
      </c>
      <c r="AB56" s="18">
        <f>F56+I56+L56+O56+R56+U56+X56+AA56</f>
        <v/>
      </c>
      <c r="AC56" s="26">
        <f>AC55+D56+G56+J56+M56+P56+S56+V56+Y56</f>
        <v/>
      </c>
    </row>
    <row r="57">
      <c r="A57" s="24" t="n">
        <v>52</v>
      </c>
      <c r="B57" s="25">
        <f>EDATE('Your Debts'!$B$19,51)</f>
        <v/>
      </c>
      <c r="C57" s="26">
        <f>'Your Debts'!$B$18</f>
        <v/>
      </c>
      <c r="D57" s="27">
        <f>ROUND((F56)*(IF('Your Debts'!$G$5=0,0,INDEX('Your Debts'!$C$5:$C$12,'Your Debts'!$G$5)/12)),2)</f>
        <v/>
      </c>
      <c r="E57" s="27">
        <f>MIN((F56)+D57,MAX(0,$C57-(0)))</f>
        <v/>
      </c>
      <c r="F57" s="27">
        <f>ROUND(MAX(0,(F56)+D57-E57),2)</f>
        <v/>
      </c>
      <c r="G57" s="27">
        <f>ROUND((I56)*(IF('Your Debts'!$G$6=0,0,INDEX('Your Debts'!$C$5:$C$12,'Your Debts'!$G$6)/12)),2)</f>
        <v/>
      </c>
      <c r="H57" s="27">
        <f>MIN((I56)+G57,MAX(0,$C57-(E57)))</f>
        <v/>
      </c>
      <c r="I57" s="27">
        <f>ROUND(MAX(0,(I56)+G57-H57),2)</f>
        <v/>
      </c>
      <c r="J57" s="27">
        <f>ROUND((L56)*(IF('Your Debts'!$G$7=0,0,INDEX('Your Debts'!$C$5:$C$12,'Your Debts'!$G$7)/12)),2)</f>
        <v/>
      </c>
      <c r="K57" s="27">
        <f>MIN((L56)+J57,MAX(0,$C57-(E57+H57)))</f>
        <v/>
      </c>
      <c r="L57" s="27">
        <f>ROUND(MAX(0,(L56)+J57-K57),2)</f>
        <v/>
      </c>
      <c r="M57" s="27">
        <f>ROUND((O56)*(IF('Your Debts'!$G$8=0,0,INDEX('Your Debts'!$C$5:$C$12,'Your Debts'!$G$8)/12)),2)</f>
        <v/>
      </c>
      <c r="N57" s="27">
        <f>MIN((O56)+M57,MAX(0,$C57-(E57+H57+K57)))</f>
        <v/>
      </c>
      <c r="O57" s="27">
        <f>ROUND(MAX(0,(O56)+M57-N57),2)</f>
        <v/>
      </c>
      <c r="P57" s="27">
        <f>ROUND((R56)*(IF('Your Debts'!$G$9=0,0,INDEX('Your Debts'!$C$5:$C$12,'Your Debts'!$G$9)/12)),2)</f>
        <v/>
      </c>
      <c r="Q57" s="27">
        <f>MIN((R56)+P57,MAX(0,$C57-(E57+H57+K57+N57)))</f>
        <v/>
      </c>
      <c r="R57" s="27">
        <f>ROUND(MAX(0,(R56)+P57-Q57),2)</f>
        <v/>
      </c>
      <c r="S57" s="27">
        <f>ROUND((U56)*(IF('Your Debts'!$G$10=0,0,INDEX('Your Debts'!$C$5:$C$12,'Your Debts'!$G$10)/12)),2)</f>
        <v/>
      </c>
      <c r="T57" s="27">
        <f>MIN((U56)+S57,MAX(0,$C57-(E57+H57+K57+N57+Q57)))</f>
        <v/>
      </c>
      <c r="U57" s="27">
        <f>ROUND(MAX(0,(U56)+S57-T57),2)</f>
        <v/>
      </c>
      <c r="V57" s="27">
        <f>ROUND((X56)*(IF('Your Debts'!$G$11=0,0,INDEX('Your Debts'!$C$5:$C$12,'Your Debts'!$G$11)/12)),2)</f>
        <v/>
      </c>
      <c r="W57" s="27">
        <f>MIN((X56)+V57,MAX(0,$C57-(E57+H57+K57+N57+Q57+T57)))</f>
        <v/>
      </c>
      <c r="X57" s="27">
        <f>ROUND(MAX(0,(X56)+V57-W57),2)</f>
        <v/>
      </c>
      <c r="Y57" s="27">
        <f>ROUND((AA56)*(IF('Your Debts'!$G$12=0,0,INDEX('Your Debts'!$C$5:$C$12,'Your Debts'!$G$12)/12)),2)</f>
        <v/>
      </c>
      <c r="Z57" s="27">
        <f>MIN((AA56)+Y57,MAX(0,$C57-(E57+H57+K57+N57+Q57+T57+W57)))</f>
        <v/>
      </c>
      <c r="AA57" s="27">
        <f>ROUND(MAX(0,(AA56)+Y57-Z57),2)</f>
        <v/>
      </c>
      <c r="AB57" s="18">
        <f>F57+I57+L57+O57+R57+U57+X57+AA57</f>
        <v/>
      </c>
      <c r="AC57" s="26">
        <f>AC56+D57+G57+J57+M57+P57+S57+V57+Y57</f>
        <v/>
      </c>
    </row>
    <row r="58">
      <c r="A58" s="24" t="n">
        <v>53</v>
      </c>
      <c r="B58" s="25">
        <f>EDATE('Your Debts'!$B$19,52)</f>
        <v/>
      </c>
      <c r="C58" s="26">
        <f>'Your Debts'!$B$18</f>
        <v/>
      </c>
      <c r="D58" s="27">
        <f>ROUND((F57)*(IF('Your Debts'!$G$5=0,0,INDEX('Your Debts'!$C$5:$C$12,'Your Debts'!$G$5)/12)),2)</f>
        <v/>
      </c>
      <c r="E58" s="27">
        <f>MIN((F57)+D58,MAX(0,$C58-(0)))</f>
        <v/>
      </c>
      <c r="F58" s="27">
        <f>ROUND(MAX(0,(F57)+D58-E58),2)</f>
        <v/>
      </c>
      <c r="G58" s="27">
        <f>ROUND((I57)*(IF('Your Debts'!$G$6=0,0,INDEX('Your Debts'!$C$5:$C$12,'Your Debts'!$G$6)/12)),2)</f>
        <v/>
      </c>
      <c r="H58" s="27">
        <f>MIN((I57)+G58,MAX(0,$C58-(E58)))</f>
        <v/>
      </c>
      <c r="I58" s="27">
        <f>ROUND(MAX(0,(I57)+G58-H58),2)</f>
        <v/>
      </c>
      <c r="J58" s="27">
        <f>ROUND((L57)*(IF('Your Debts'!$G$7=0,0,INDEX('Your Debts'!$C$5:$C$12,'Your Debts'!$G$7)/12)),2)</f>
        <v/>
      </c>
      <c r="K58" s="27">
        <f>MIN((L57)+J58,MAX(0,$C58-(E58+H58)))</f>
        <v/>
      </c>
      <c r="L58" s="27">
        <f>ROUND(MAX(0,(L57)+J58-K58),2)</f>
        <v/>
      </c>
      <c r="M58" s="27">
        <f>ROUND((O57)*(IF('Your Debts'!$G$8=0,0,INDEX('Your Debts'!$C$5:$C$12,'Your Debts'!$G$8)/12)),2)</f>
        <v/>
      </c>
      <c r="N58" s="27">
        <f>MIN((O57)+M58,MAX(0,$C58-(E58+H58+K58)))</f>
        <v/>
      </c>
      <c r="O58" s="27">
        <f>ROUND(MAX(0,(O57)+M58-N58),2)</f>
        <v/>
      </c>
      <c r="P58" s="27">
        <f>ROUND((R57)*(IF('Your Debts'!$G$9=0,0,INDEX('Your Debts'!$C$5:$C$12,'Your Debts'!$G$9)/12)),2)</f>
        <v/>
      </c>
      <c r="Q58" s="27">
        <f>MIN((R57)+P58,MAX(0,$C58-(E58+H58+K58+N58)))</f>
        <v/>
      </c>
      <c r="R58" s="27">
        <f>ROUND(MAX(0,(R57)+P58-Q58),2)</f>
        <v/>
      </c>
      <c r="S58" s="27">
        <f>ROUND((U57)*(IF('Your Debts'!$G$10=0,0,INDEX('Your Debts'!$C$5:$C$12,'Your Debts'!$G$10)/12)),2)</f>
        <v/>
      </c>
      <c r="T58" s="27">
        <f>MIN((U57)+S58,MAX(0,$C58-(E58+H58+K58+N58+Q58)))</f>
        <v/>
      </c>
      <c r="U58" s="27">
        <f>ROUND(MAX(0,(U57)+S58-T58),2)</f>
        <v/>
      </c>
      <c r="V58" s="27">
        <f>ROUND((X57)*(IF('Your Debts'!$G$11=0,0,INDEX('Your Debts'!$C$5:$C$12,'Your Debts'!$G$11)/12)),2)</f>
        <v/>
      </c>
      <c r="W58" s="27">
        <f>MIN((X57)+V58,MAX(0,$C58-(E58+H58+K58+N58+Q58+T58)))</f>
        <v/>
      </c>
      <c r="X58" s="27">
        <f>ROUND(MAX(0,(X57)+V58-W58),2)</f>
        <v/>
      </c>
      <c r="Y58" s="27">
        <f>ROUND((AA57)*(IF('Your Debts'!$G$12=0,0,INDEX('Your Debts'!$C$5:$C$12,'Your Debts'!$G$12)/12)),2)</f>
        <v/>
      </c>
      <c r="Z58" s="27">
        <f>MIN((AA57)+Y58,MAX(0,$C58-(E58+H58+K58+N58+Q58+T58+W58)))</f>
        <v/>
      </c>
      <c r="AA58" s="27">
        <f>ROUND(MAX(0,(AA57)+Y58-Z58),2)</f>
        <v/>
      </c>
      <c r="AB58" s="18">
        <f>F58+I58+L58+O58+R58+U58+X58+AA58</f>
        <v/>
      </c>
      <c r="AC58" s="26">
        <f>AC57+D58+G58+J58+M58+P58+S58+V58+Y58</f>
        <v/>
      </c>
    </row>
    <row r="59">
      <c r="A59" s="24" t="n">
        <v>54</v>
      </c>
      <c r="B59" s="25">
        <f>EDATE('Your Debts'!$B$19,53)</f>
        <v/>
      </c>
      <c r="C59" s="26">
        <f>'Your Debts'!$B$18</f>
        <v/>
      </c>
      <c r="D59" s="27">
        <f>ROUND((F58)*(IF('Your Debts'!$G$5=0,0,INDEX('Your Debts'!$C$5:$C$12,'Your Debts'!$G$5)/12)),2)</f>
        <v/>
      </c>
      <c r="E59" s="27">
        <f>MIN((F58)+D59,MAX(0,$C59-(0)))</f>
        <v/>
      </c>
      <c r="F59" s="27">
        <f>ROUND(MAX(0,(F58)+D59-E59),2)</f>
        <v/>
      </c>
      <c r="G59" s="27">
        <f>ROUND((I58)*(IF('Your Debts'!$G$6=0,0,INDEX('Your Debts'!$C$5:$C$12,'Your Debts'!$G$6)/12)),2)</f>
        <v/>
      </c>
      <c r="H59" s="27">
        <f>MIN((I58)+G59,MAX(0,$C59-(E59)))</f>
        <v/>
      </c>
      <c r="I59" s="27">
        <f>ROUND(MAX(0,(I58)+G59-H59),2)</f>
        <v/>
      </c>
      <c r="J59" s="27">
        <f>ROUND((L58)*(IF('Your Debts'!$G$7=0,0,INDEX('Your Debts'!$C$5:$C$12,'Your Debts'!$G$7)/12)),2)</f>
        <v/>
      </c>
      <c r="K59" s="27">
        <f>MIN((L58)+J59,MAX(0,$C59-(E59+H59)))</f>
        <v/>
      </c>
      <c r="L59" s="27">
        <f>ROUND(MAX(0,(L58)+J59-K59),2)</f>
        <v/>
      </c>
      <c r="M59" s="27">
        <f>ROUND((O58)*(IF('Your Debts'!$G$8=0,0,INDEX('Your Debts'!$C$5:$C$12,'Your Debts'!$G$8)/12)),2)</f>
        <v/>
      </c>
      <c r="N59" s="27">
        <f>MIN((O58)+M59,MAX(0,$C59-(E59+H59+K59)))</f>
        <v/>
      </c>
      <c r="O59" s="27">
        <f>ROUND(MAX(0,(O58)+M59-N59),2)</f>
        <v/>
      </c>
      <c r="P59" s="27">
        <f>ROUND((R58)*(IF('Your Debts'!$G$9=0,0,INDEX('Your Debts'!$C$5:$C$12,'Your Debts'!$G$9)/12)),2)</f>
        <v/>
      </c>
      <c r="Q59" s="27">
        <f>MIN((R58)+P59,MAX(0,$C59-(E59+H59+K59+N59)))</f>
        <v/>
      </c>
      <c r="R59" s="27">
        <f>ROUND(MAX(0,(R58)+P59-Q59),2)</f>
        <v/>
      </c>
      <c r="S59" s="27">
        <f>ROUND((U58)*(IF('Your Debts'!$G$10=0,0,INDEX('Your Debts'!$C$5:$C$12,'Your Debts'!$G$10)/12)),2)</f>
        <v/>
      </c>
      <c r="T59" s="27">
        <f>MIN((U58)+S59,MAX(0,$C59-(E59+H59+K59+N59+Q59)))</f>
        <v/>
      </c>
      <c r="U59" s="27">
        <f>ROUND(MAX(0,(U58)+S59-T59),2)</f>
        <v/>
      </c>
      <c r="V59" s="27">
        <f>ROUND((X58)*(IF('Your Debts'!$G$11=0,0,INDEX('Your Debts'!$C$5:$C$12,'Your Debts'!$G$11)/12)),2)</f>
        <v/>
      </c>
      <c r="W59" s="27">
        <f>MIN((X58)+V59,MAX(0,$C59-(E59+H59+K59+N59+Q59+T59)))</f>
        <v/>
      </c>
      <c r="X59" s="27">
        <f>ROUND(MAX(0,(X58)+V59-W59),2)</f>
        <v/>
      </c>
      <c r="Y59" s="27">
        <f>ROUND((AA58)*(IF('Your Debts'!$G$12=0,0,INDEX('Your Debts'!$C$5:$C$12,'Your Debts'!$G$12)/12)),2)</f>
        <v/>
      </c>
      <c r="Z59" s="27">
        <f>MIN((AA58)+Y59,MAX(0,$C59-(E59+H59+K59+N59+Q59+T59+W59)))</f>
        <v/>
      </c>
      <c r="AA59" s="27">
        <f>ROUND(MAX(0,(AA58)+Y59-Z59),2)</f>
        <v/>
      </c>
      <c r="AB59" s="18">
        <f>F59+I59+L59+O59+R59+U59+X59+AA59</f>
        <v/>
      </c>
      <c r="AC59" s="26">
        <f>AC58+D59+G59+J59+M59+P59+S59+V59+Y59</f>
        <v/>
      </c>
    </row>
    <row r="60">
      <c r="A60" s="24" t="n">
        <v>55</v>
      </c>
      <c r="B60" s="25">
        <f>EDATE('Your Debts'!$B$19,54)</f>
        <v/>
      </c>
      <c r="C60" s="26">
        <f>'Your Debts'!$B$18</f>
        <v/>
      </c>
      <c r="D60" s="27">
        <f>ROUND((F59)*(IF('Your Debts'!$G$5=0,0,INDEX('Your Debts'!$C$5:$C$12,'Your Debts'!$G$5)/12)),2)</f>
        <v/>
      </c>
      <c r="E60" s="27">
        <f>MIN((F59)+D60,MAX(0,$C60-(0)))</f>
        <v/>
      </c>
      <c r="F60" s="27">
        <f>ROUND(MAX(0,(F59)+D60-E60),2)</f>
        <v/>
      </c>
      <c r="G60" s="27">
        <f>ROUND((I59)*(IF('Your Debts'!$G$6=0,0,INDEX('Your Debts'!$C$5:$C$12,'Your Debts'!$G$6)/12)),2)</f>
        <v/>
      </c>
      <c r="H60" s="27">
        <f>MIN((I59)+G60,MAX(0,$C60-(E60)))</f>
        <v/>
      </c>
      <c r="I60" s="27">
        <f>ROUND(MAX(0,(I59)+G60-H60),2)</f>
        <v/>
      </c>
      <c r="J60" s="27">
        <f>ROUND((L59)*(IF('Your Debts'!$G$7=0,0,INDEX('Your Debts'!$C$5:$C$12,'Your Debts'!$G$7)/12)),2)</f>
        <v/>
      </c>
      <c r="K60" s="27">
        <f>MIN((L59)+J60,MAX(0,$C60-(E60+H60)))</f>
        <v/>
      </c>
      <c r="L60" s="27">
        <f>ROUND(MAX(0,(L59)+J60-K60),2)</f>
        <v/>
      </c>
      <c r="M60" s="27">
        <f>ROUND((O59)*(IF('Your Debts'!$G$8=0,0,INDEX('Your Debts'!$C$5:$C$12,'Your Debts'!$G$8)/12)),2)</f>
        <v/>
      </c>
      <c r="N60" s="27">
        <f>MIN((O59)+M60,MAX(0,$C60-(E60+H60+K60)))</f>
        <v/>
      </c>
      <c r="O60" s="27">
        <f>ROUND(MAX(0,(O59)+M60-N60),2)</f>
        <v/>
      </c>
      <c r="P60" s="27">
        <f>ROUND((R59)*(IF('Your Debts'!$G$9=0,0,INDEX('Your Debts'!$C$5:$C$12,'Your Debts'!$G$9)/12)),2)</f>
        <v/>
      </c>
      <c r="Q60" s="27">
        <f>MIN((R59)+P60,MAX(0,$C60-(E60+H60+K60+N60)))</f>
        <v/>
      </c>
      <c r="R60" s="27">
        <f>ROUND(MAX(0,(R59)+P60-Q60),2)</f>
        <v/>
      </c>
      <c r="S60" s="27">
        <f>ROUND((U59)*(IF('Your Debts'!$G$10=0,0,INDEX('Your Debts'!$C$5:$C$12,'Your Debts'!$G$10)/12)),2)</f>
        <v/>
      </c>
      <c r="T60" s="27">
        <f>MIN((U59)+S60,MAX(0,$C60-(E60+H60+K60+N60+Q60)))</f>
        <v/>
      </c>
      <c r="U60" s="27">
        <f>ROUND(MAX(0,(U59)+S60-T60),2)</f>
        <v/>
      </c>
      <c r="V60" s="27">
        <f>ROUND((X59)*(IF('Your Debts'!$G$11=0,0,INDEX('Your Debts'!$C$5:$C$12,'Your Debts'!$G$11)/12)),2)</f>
        <v/>
      </c>
      <c r="W60" s="27">
        <f>MIN((X59)+V60,MAX(0,$C60-(E60+H60+K60+N60+Q60+T60)))</f>
        <v/>
      </c>
      <c r="X60" s="27">
        <f>ROUND(MAX(0,(X59)+V60-W60),2)</f>
        <v/>
      </c>
      <c r="Y60" s="27">
        <f>ROUND((AA59)*(IF('Your Debts'!$G$12=0,0,INDEX('Your Debts'!$C$5:$C$12,'Your Debts'!$G$12)/12)),2)</f>
        <v/>
      </c>
      <c r="Z60" s="27">
        <f>MIN((AA59)+Y60,MAX(0,$C60-(E60+H60+K60+N60+Q60+T60+W60)))</f>
        <v/>
      </c>
      <c r="AA60" s="27">
        <f>ROUND(MAX(0,(AA59)+Y60-Z60),2)</f>
        <v/>
      </c>
      <c r="AB60" s="18">
        <f>F60+I60+L60+O60+R60+U60+X60+AA60</f>
        <v/>
      </c>
      <c r="AC60" s="26">
        <f>AC59+D60+G60+J60+M60+P60+S60+V60+Y60</f>
        <v/>
      </c>
    </row>
    <row r="61">
      <c r="A61" s="24" t="n">
        <v>56</v>
      </c>
      <c r="B61" s="25">
        <f>EDATE('Your Debts'!$B$19,55)</f>
        <v/>
      </c>
      <c r="C61" s="26">
        <f>'Your Debts'!$B$18</f>
        <v/>
      </c>
      <c r="D61" s="27">
        <f>ROUND((F60)*(IF('Your Debts'!$G$5=0,0,INDEX('Your Debts'!$C$5:$C$12,'Your Debts'!$G$5)/12)),2)</f>
        <v/>
      </c>
      <c r="E61" s="27">
        <f>MIN((F60)+D61,MAX(0,$C61-(0)))</f>
        <v/>
      </c>
      <c r="F61" s="27">
        <f>ROUND(MAX(0,(F60)+D61-E61),2)</f>
        <v/>
      </c>
      <c r="G61" s="27">
        <f>ROUND((I60)*(IF('Your Debts'!$G$6=0,0,INDEX('Your Debts'!$C$5:$C$12,'Your Debts'!$G$6)/12)),2)</f>
        <v/>
      </c>
      <c r="H61" s="27">
        <f>MIN((I60)+G61,MAX(0,$C61-(E61)))</f>
        <v/>
      </c>
      <c r="I61" s="27">
        <f>ROUND(MAX(0,(I60)+G61-H61),2)</f>
        <v/>
      </c>
      <c r="J61" s="27">
        <f>ROUND((L60)*(IF('Your Debts'!$G$7=0,0,INDEX('Your Debts'!$C$5:$C$12,'Your Debts'!$G$7)/12)),2)</f>
        <v/>
      </c>
      <c r="K61" s="27">
        <f>MIN((L60)+J61,MAX(0,$C61-(E61+H61)))</f>
        <v/>
      </c>
      <c r="L61" s="27">
        <f>ROUND(MAX(0,(L60)+J61-K61),2)</f>
        <v/>
      </c>
      <c r="M61" s="27">
        <f>ROUND((O60)*(IF('Your Debts'!$G$8=0,0,INDEX('Your Debts'!$C$5:$C$12,'Your Debts'!$G$8)/12)),2)</f>
        <v/>
      </c>
      <c r="N61" s="27">
        <f>MIN((O60)+M61,MAX(0,$C61-(E61+H61+K61)))</f>
        <v/>
      </c>
      <c r="O61" s="27">
        <f>ROUND(MAX(0,(O60)+M61-N61),2)</f>
        <v/>
      </c>
      <c r="P61" s="27">
        <f>ROUND((R60)*(IF('Your Debts'!$G$9=0,0,INDEX('Your Debts'!$C$5:$C$12,'Your Debts'!$G$9)/12)),2)</f>
        <v/>
      </c>
      <c r="Q61" s="27">
        <f>MIN((R60)+P61,MAX(0,$C61-(E61+H61+K61+N61)))</f>
        <v/>
      </c>
      <c r="R61" s="27">
        <f>ROUND(MAX(0,(R60)+P61-Q61),2)</f>
        <v/>
      </c>
      <c r="S61" s="27">
        <f>ROUND((U60)*(IF('Your Debts'!$G$10=0,0,INDEX('Your Debts'!$C$5:$C$12,'Your Debts'!$G$10)/12)),2)</f>
        <v/>
      </c>
      <c r="T61" s="27">
        <f>MIN((U60)+S61,MAX(0,$C61-(E61+H61+K61+N61+Q61)))</f>
        <v/>
      </c>
      <c r="U61" s="27">
        <f>ROUND(MAX(0,(U60)+S61-T61),2)</f>
        <v/>
      </c>
      <c r="V61" s="27">
        <f>ROUND((X60)*(IF('Your Debts'!$G$11=0,0,INDEX('Your Debts'!$C$5:$C$12,'Your Debts'!$G$11)/12)),2)</f>
        <v/>
      </c>
      <c r="W61" s="27">
        <f>MIN((X60)+V61,MAX(0,$C61-(E61+H61+K61+N61+Q61+T61)))</f>
        <v/>
      </c>
      <c r="X61" s="27">
        <f>ROUND(MAX(0,(X60)+V61-W61),2)</f>
        <v/>
      </c>
      <c r="Y61" s="27">
        <f>ROUND((AA60)*(IF('Your Debts'!$G$12=0,0,INDEX('Your Debts'!$C$5:$C$12,'Your Debts'!$G$12)/12)),2)</f>
        <v/>
      </c>
      <c r="Z61" s="27">
        <f>MIN((AA60)+Y61,MAX(0,$C61-(E61+H61+K61+N61+Q61+T61+W61)))</f>
        <v/>
      </c>
      <c r="AA61" s="27">
        <f>ROUND(MAX(0,(AA60)+Y61-Z61),2)</f>
        <v/>
      </c>
      <c r="AB61" s="18">
        <f>F61+I61+L61+O61+R61+U61+X61+AA61</f>
        <v/>
      </c>
      <c r="AC61" s="26">
        <f>AC60+D61+G61+J61+M61+P61+S61+V61+Y61</f>
        <v/>
      </c>
    </row>
    <row r="62">
      <c r="A62" s="24" t="n">
        <v>57</v>
      </c>
      <c r="B62" s="25">
        <f>EDATE('Your Debts'!$B$19,56)</f>
        <v/>
      </c>
      <c r="C62" s="26">
        <f>'Your Debts'!$B$18</f>
        <v/>
      </c>
      <c r="D62" s="27">
        <f>ROUND((F61)*(IF('Your Debts'!$G$5=0,0,INDEX('Your Debts'!$C$5:$C$12,'Your Debts'!$G$5)/12)),2)</f>
        <v/>
      </c>
      <c r="E62" s="27">
        <f>MIN((F61)+D62,MAX(0,$C62-(0)))</f>
        <v/>
      </c>
      <c r="F62" s="27">
        <f>ROUND(MAX(0,(F61)+D62-E62),2)</f>
        <v/>
      </c>
      <c r="G62" s="27">
        <f>ROUND((I61)*(IF('Your Debts'!$G$6=0,0,INDEX('Your Debts'!$C$5:$C$12,'Your Debts'!$G$6)/12)),2)</f>
        <v/>
      </c>
      <c r="H62" s="27">
        <f>MIN((I61)+G62,MAX(0,$C62-(E62)))</f>
        <v/>
      </c>
      <c r="I62" s="27">
        <f>ROUND(MAX(0,(I61)+G62-H62),2)</f>
        <v/>
      </c>
      <c r="J62" s="27">
        <f>ROUND((L61)*(IF('Your Debts'!$G$7=0,0,INDEX('Your Debts'!$C$5:$C$12,'Your Debts'!$G$7)/12)),2)</f>
        <v/>
      </c>
      <c r="K62" s="27">
        <f>MIN((L61)+J62,MAX(0,$C62-(E62+H62)))</f>
        <v/>
      </c>
      <c r="L62" s="27">
        <f>ROUND(MAX(0,(L61)+J62-K62),2)</f>
        <v/>
      </c>
      <c r="M62" s="27">
        <f>ROUND((O61)*(IF('Your Debts'!$G$8=0,0,INDEX('Your Debts'!$C$5:$C$12,'Your Debts'!$G$8)/12)),2)</f>
        <v/>
      </c>
      <c r="N62" s="27">
        <f>MIN((O61)+M62,MAX(0,$C62-(E62+H62+K62)))</f>
        <v/>
      </c>
      <c r="O62" s="27">
        <f>ROUND(MAX(0,(O61)+M62-N62),2)</f>
        <v/>
      </c>
      <c r="P62" s="27">
        <f>ROUND((R61)*(IF('Your Debts'!$G$9=0,0,INDEX('Your Debts'!$C$5:$C$12,'Your Debts'!$G$9)/12)),2)</f>
        <v/>
      </c>
      <c r="Q62" s="27">
        <f>MIN((R61)+P62,MAX(0,$C62-(E62+H62+K62+N62)))</f>
        <v/>
      </c>
      <c r="R62" s="27">
        <f>ROUND(MAX(0,(R61)+P62-Q62),2)</f>
        <v/>
      </c>
      <c r="S62" s="27">
        <f>ROUND((U61)*(IF('Your Debts'!$G$10=0,0,INDEX('Your Debts'!$C$5:$C$12,'Your Debts'!$G$10)/12)),2)</f>
        <v/>
      </c>
      <c r="T62" s="27">
        <f>MIN((U61)+S62,MAX(0,$C62-(E62+H62+K62+N62+Q62)))</f>
        <v/>
      </c>
      <c r="U62" s="27">
        <f>ROUND(MAX(0,(U61)+S62-T62),2)</f>
        <v/>
      </c>
      <c r="V62" s="27">
        <f>ROUND((X61)*(IF('Your Debts'!$G$11=0,0,INDEX('Your Debts'!$C$5:$C$12,'Your Debts'!$G$11)/12)),2)</f>
        <v/>
      </c>
      <c r="W62" s="27">
        <f>MIN((X61)+V62,MAX(0,$C62-(E62+H62+K62+N62+Q62+T62)))</f>
        <v/>
      </c>
      <c r="X62" s="27">
        <f>ROUND(MAX(0,(X61)+V62-W62),2)</f>
        <v/>
      </c>
      <c r="Y62" s="27">
        <f>ROUND((AA61)*(IF('Your Debts'!$G$12=0,0,INDEX('Your Debts'!$C$5:$C$12,'Your Debts'!$G$12)/12)),2)</f>
        <v/>
      </c>
      <c r="Z62" s="27">
        <f>MIN((AA61)+Y62,MAX(0,$C62-(E62+H62+K62+N62+Q62+T62+W62)))</f>
        <v/>
      </c>
      <c r="AA62" s="27">
        <f>ROUND(MAX(0,(AA61)+Y62-Z62),2)</f>
        <v/>
      </c>
      <c r="AB62" s="18">
        <f>F62+I62+L62+O62+R62+U62+X62+AA62</f>
        <v/>
      </c>
      <c r="AC62" s="26">
        <f>AC61+D62+G62+J62+M62+P62+S62+V62+Y62</f>
        <v/>
      </c>
    </row>
    <row r="63">
      <c r="A63" s="24" t="n">
        <v>58</v>
      </c>
      <c r="B63" s="25">
        <f>EDATE('Your Debts'!$B$19,57)</f>
        <v/>
      </c>
      <c r="C63" s="26">
        <f>'Your Debts'!$B$18</f>
        <v/>
      </c>
      <c r="D63" s="27">
        <f>ROUND((F62)*(IF('Your Debts'!$G$5=0,0,INDEX('Your Debts'!$C$5:$C$12,'Your Debts'!$G$5)/12)),2)</f>
        <v/>
      </c>
      <c r="E63" s="27">
        <f>MIN((F62)+D63,MAX(0,$C63-(0)))</f>
        <v/>
      </c>
      <c r="F63" s="27">
        <f>ROUND(MAX(0,(F62)+D63-E63),2)</f>
        <v/>
      </c>
      <c r="G63" s="27">
        <f>ROUND((I62)*(IF('Your Debts'!$G$6=0,0,INDEX('Your Debts'!$C$5:$C$12,'Your Debts'!$G$6)/12)),2)</f>
        <v/>
      </c>
      <c r="H63" s="27">
        <f>MIN((I62)+G63,MAX(0,$C63-(E63)))</f>
        <v/>
      </c>
      <c r="I63" s="27">
        <f>ROUND(MAX(0,(I62)+G63-H63),2)</f>
        <v/>
      </c>
      <c r="J63" s="27">
        <f>ROUND((L62)*(IF('Your Debts'!$G$7=0,0,INDEX('Your Debts'!$C$5:$C$12,'Your Debts'!$G$7)/12)),2)</f>
        <v/>
      </c>
      <c r="K63" s="27">
        <f>MIN((L62)+J63,MAX(0,$C63-(E63+H63)))</f>
        <v/>
      </c>
      <c r="L63" s="27">
        <f>ROUND(MAX(0,(L62)+J63-K63),2)</f>
        <v/>
      </c>
      <c r="M63" s="27">
        <f>ROUND((O62)*(IF('Your Debts'!$G$8=0,0,INDEX('Your Debts'!$C$5:$C$12,'Your Debts'!$G$8)/12)),2)</f>
        <v/>
      </c>
      <c r="N63" s="27">
        <f>MIN((O62)+M63,MAX(0,$C63-(E63+H63+K63)))</f>
        <v/>
      </c>
      <c r="O63" s="27">
        <f>ROUND(MAX(0,(O62)+M63-N63),2)</f>
        <v/>
      </c>
      <c r="P63" s="27">
        <f>ROUND((R62)*(IF('Your Debts'!$G$9=0,0,INDEX('Your Debts'!$C$5:$C$12,'Your Debts'!$G$9)/12)),2)</f>
        <v/>
      </c>
      <c r="Q63" s="27">
        <f>MIN((R62)+P63,MAX(0,$C63-(E63+H63+K63+N63)))</f>
        <v/>
      </c>
      <c r="R63" s="27">
        <f>ROUND(MAX(0,(R62)+P63-Q63),2)</f>
        <v/>
      </c>
      <c r="S63" s="27">
        <f>ROUND((U62)*(IF('Your Debts'!$G$10=0,0,INDEX('Your Debts'!$C$5:$C$12,'Your Debts'!$G$10)/12)),2)</f>
        <v/>
      </c>
      <c r="T63" s="27">
        <f>MIN((U62)+S63,MAX(0,$C63-(E63+H63+K63+N63+Q63)))</f>
        <v/>
      </c>
      <c r="U63" s="27">
        <f>ROUND(MAX(0,(U62)+S63-T63),2)</f>
        <v/>
      </c>
      <c r="V63" s="27">
        <f>ROUND((X62)*(IF('Your Debts'!$G$11=0,0,INDEX('Your Debts'!$C$5:$C$12,'Your Debts'!$G$11)/12)),2)</f>
        <v/>
      </c>
      <c r="W63" s="27">
        <f>MIN((X62)+V63,MAX(0,$C63-(E63+H63+K63+N63+Q63+T63)))</f>
        <v/>
      </c>
      <c r="X63" s="27">
        <f>ROUND(MAX(0,(X62)+V63-W63),2)</f>
        <v/>
      </c>
      <c r="Y63" s="27">
        <f>ROUND((AA62)*(IF('Your Debts'!$G$12=0,0,INDEX('Your Debts'!$C$5:$C$12,'Your Debts'!$G$12)/12)),2)</f>
        <v/>
      </c>
      <c r="Z63" s="27">
        <f>MIN((AA62)+Y63,MAX(0,$C63-(E63+H63+K63+N63+Q63+T63+W63)))</f>
        <v/>
      </c>
      <c r="AA63" s="27">
        <f>ROUND(MAX(0,(AA62)+Y63-Z63),2)</f>
        <v/>
      </c>
      <c r="AB63" s="18">
        <f>F63+I63+L63+O63+R63+U63+X63+AA63</f>
        <v/>
      </c>
      <c r="AC63" s="26">
        <f>AC62+D63+G63+J63+M63+P63+S63+V63+Y63</f>
        <v/>
      </c>
    </row>
    <row r="64">
      <c r="A64" s="24" t="n">
        <v>59</v>
      </c>
      <c r="B64" s="25">
        <f>EDATE('Your Debts'!$B$19,58)</f>
        <v/>
      </c>
      <c r="C64" s="26">
        <f>'Your Debts'!$B$18</f>
        <v/>
      </c>
      <c r="D64" s="27">
        <f>ROUND((F63)*(IF('Your Debts'!$G$5=0,0,INDEX('Your Debts'!$C$5:$C$12,'Your Debts'!$G$5)/12)),2)</f>
        <v/>
      </c>
      <c r="E64" s="27">
        <f>MIN((F63)+D64,MAX(0,$C64-(0)))</f>
        <v/>
      </c>
      <c r="F64" s="27">
        <f>ROUND(MAX(0,(F63)+D64-E64),2)</f>
        <v/>
      </c>
      <c r="G64" s="27">
        <f>ROUND((I63)*(IF('Your Debts'!$G$6=0,0,INDEX('Your Debts'!$C$5:$C$12,'Your Debts'!$G$6)/12)),2)</f>
        <v/>
      </c>
      <c r="H64" s="27">
        <f>MIN((I63)+G64,MAX(0,$C64-(E64)))</f>
        <v/>
      </c>
      <c r="I64" s="27">
        <f>ROUND(MAX(0,(I63)+G64-H64),2)</f>
        <v/>
      </c>
      <c r="J64" s="27">
        <f>ROUND((L63)*(IF('Your Debts'!$G$7=0,0,INDEX('Your Debts'!$C$5:$C$12,'Your Debts'!$G$7)/12)),2)</f>
        <v/>
      </c>
      <c r="K64" s="27">
        <f>MIN((L63)+J64,MAX(0,$C64-(E64+H64)))</f>
        <v/>
      </c>
      <c r="L64" s="27">
        <f>ROUND(MAX(0,(L63)+J64-K64),2)</f>
        <v/>
      </c>
      <c r="M64" s="27">
        <f>ROUND((O63)*(IF('Your Debts'!$G$8=0,0,INDEX('Your Debts'!$C$5:$C$12,'Your Debts'!$G$8)/12)),2)</f>
        <v/>
      </c>
      <c r="N64" s="27">
        <f>MIN((O63)+M64,MAX(0,$C64-(E64+H64+K64)))</f>
        <v/>
      </c>
      <c r="O64" s="27">
        <f>ROUND(MAX(0,(O63)+M64-N64),2)</f>
        <v/>
      </c>
      <c r="P64" s="27">
        <f>ROUND((R63)*(IF('Your Debts'!$G$9=0,0,INDEX('Your Debts'!$C$5:$C$12,'Your Debts'!$G$9)/12)),2)</f>
        <v/>
      </c>
      <c r="Q64" s="27">
        <f>MIN((R63)+P64,MAX(0,$C64-(E64+H64+K64+N64)))</f>
        <v/>
      </c>
      <c r="R64" s="27">
        <f>ROUND(MAX(0,(R63)+P64-Q64),2)</f>
        <v/>
      </c>
      <c r="S64" s="27">
        <f>ROUND((U63)*(IF('Your Debts'!$G$10=0,0,INDEX('Your Debts'!$C$5:$C$12,'Your Debts'!$G$10)/12)),2)</f>
        <v/>
      </c>
      <c r="T64" s="27">
        <f>MIN((U63)+S64,MAX(0,$C64-(E64+H64+K64+N64+Q64)))</f>
        <v/>
      </c>
      <c r="U64" s="27">
        <f>ROUND(MAX(0,(U63)+S64-T64),2)</f>
        <v/>
      </c>
      <c r="V64" s="27">
        <f>ROUND((X63)*(IF('Your Debts'!$G$11=0,0,INDEX('Your Debts'!$C$5:$C$12,'Your Debts'!$G$11)/12)),2)</f>
        <v/>
      </c>
      <c r="W64" s="27">
        <f>MIN((X63)+V64,MAX(0,$C64-(E64+H64+K64+N64+Q64+T64)))</f>
        <v/>
      </c>
      <c r="X64" s="27">
        <f>ROUND(MAX(0,(X63)+V64-W64),2)</f>
        <v/>
      </c>
      <c r="Y64" s="27">
        <f>ROUND((AA63)*(IF('Your Debts'!$G$12=0,0,INDEX('Your Debts'!$C$5:$C$12,'Your Debts'!$G$12)/12)),2)</f>
        <v/>
      </c>
      <c r="Z64" s="27">
        <f>MIN((AA63)+Y64,MAX(0,$C64-(E64+H64+K64+N64+Q64+T64+W64)))</f>
        <v/>
      </c>
      <c r="AA64" s="27">
        <f>ROUND(MAX(0,(AA63)+Y64-Z64),2)</f>
        <v/>
      </c>
      <c r="AB64" s="18">
        <f>F64+I64+L64+O64+R64+U64+X64+AA64</f>
        <v/>
      </c>
      <c r="AC64" s="26">
        <f>AC63+D64+G64+J64+M64+P64+S64+V64+Y64</f>
        <v/>
      </c>
    </row>
    <row r="65">
      <c r="A65" s="24" t="n">
        <v>60</v>
      </c>
      <c r="B65" s="25">
        <f>EDATE('Your Debts'!$B$19,59)</f>
        <v/>
      </c>
      <c r="C65" s="26">
        <f>'Your Debts'!$B$18</f>
        <v/>
      </c>
      <c r="D65" s="27">
        <f>ROUND((F64)*(IF('Your Debts'!$G$5=0,0,INDEX('Your Debts'!$C$5:$C$12,'Your Debts'!$G$5)/12)),2)</f>
        <v/>
      </c>
      <c r="E65" s="27">
        <f>MIN((F64)+D65,MAX(0,$C65-(0)))</f>
        <v/>
      </c>
      <c r="F65" s="27">
        <f>ROUND(MAX(0,(F64)+D65-E65),2)</f>
        <v/>
      </c>
      <c r="G65" s="27">
        <f>ROUND((I64)*(IF('Your Debts'!$G$6=0,0,INDEX('Your Debts'!$C$5:$C$12,'Your Debts'!$G$6)/12)),2)</f>
        <v/>
      </c>
      <c r="H65" s="27">
        <f>MIN((I64)+G65,MAX(0,$C65-(E65)))</f>
        <v/>
      </c>
      <c r="I65" s="27">
        <f>ROUND(MAX(0,(I64)+G65-H65),2)</f>
        <v/>
      </c>
      <c r="J65" s="27">
        <f>ROUND((L64)*(IF('Your Debts'!$G$7=0,0,INDEX('Your Debts'!$C$5:$C$12,'Your Debts'!$G$7)/12)),2)</f>
        <v/>
      </c>
      <c r="K65" s="27">
        <f>MIN((L64)+J65,MAX(0,$C65-(E65+H65)))</f>
        <v/>
      </c>
      <c r="L65" s="27">
        <f>ROUND(MAX(0,(L64)+J65-K65),2)</f>
        <v/>
      </c>
      <c r="M65" s="27">
        <f>ROUND((O64)*(IF('Your Debts'!$G$8=0,0,INDEX('Your Debts'!$C$5:$C$12,'Your Debts'!$G$8)/12)),2)</f>
        <v/>
      </c>
      <c r="N65" s="27">
        <f>MIN((O64)+M65,MAX(0,$C65-(E65+H65+K65)))</f>
        <v/>
      </c>
      <c r="O65" s="27">
        <f>ROUND(MAX(0,(O64)+M65-N65),2)</f>
        <v/>
      </c>
      <c r="P65" s="27">
        <f>ROUND((R64)*(IF('Your Debts'!$G$9=0,0,INDEX('Your Debts'!$C$5:$C$12,'Your Debts'!$G$9)/12)),2)</f>
        <v/>
      </c>
      <c r="Q65" s="27">
        <f>MIN((R64)+P65,MAX(0,$C65-(E65+H65+K65+N65)))</f>
        <v/>
      </c>
      <c r="R65" s="27">
        <f>ROUND(MAX(0,(R64)+P65-Q65),2)</f>
        <v/>
      </c>
      <c r="S65" s="27">
        <f>ROUND((U64)*(IF('Your Debts'!$G$10=0,0,INDEX('Your Debts'!$C$5:$C$12,'Your Debts'!$G$10)/12)),2)</f>
        <v/>
      </c>
      <c r="T65" s="27">
        <f>MIN((U64)+S65,MAX(0,$C65-(E65+H65+K65+N65+Q65)))</f>
        <v/>
      </c>
      <c r="U65" s="27">
        <f>ROUND(MAX(0,(U64)+S65-T65),2)</f>
        <v/>
      </c>
      <c r="V65" s="27">
        <f>ROUND((X64)*(IF('Your Debts'!$G$11=0,0,INDEX('Your Debts'!$C$5:$C$12,'Your Debts'!$G$11)/12)),2)</f>
        <v/>
      </c>
      <c r="W65" s="27">
        <f>MIN((X64)+V65,MAX(0,$C65-(E65+H65+K65+N65+Q65+T65)))</f>
        <v/>
      </c>
      <c r="X65" s="27">
        <f>ROUND(MAX(0,(X64)+V65-W65),2)</f>
        <v/>
      </c>
      <c r="Y65" s="27">
        <f>ROUND((AA64)*(IF('Your Debts'!$G$12=0,0,INDEX('Your Debts'!$C$5:$C$12,'Your Debts'!$G$12)/12)),2)</f>
        <v/>
      </c>
      <c r="Z65" s="27">
        <f>MIN((AA64)+Y65,MAX(0,$C65-(E65+H65+K65+N65+Q65+T65+W65)))</f>
        <v/>
      </c>
      <c r="AA65" s="27">
        <f>ROUND(MAX(0,(AA64)+Y65-Z65),2)</f>
        <v/>
      </c>
      <c r="AB65" s="18">
        <f>F65+I65+L65+O65+R65+U65+X65+AA65</f>
        <v/>
      </c>
      <c r="AC65" s="26">
        <f>AC64+D65+G65+J65+M65+P65+S65+V65+Y65</f>
        <v/>
      </c>
    </row>
    <row r="66">
      <c r="A66" s="24" t="n">
        <v>61</v>
      </c>
      <c r="B66" s="25">
        <f>EDATE('Your Debts'!$B$19,60)</f>
        <v/>
      </c>
      <c r="C66" s="26">
        <f>'Your Debts'!$B$18</f>
        <v/>
      </c>
      <c r="D66" s="27">
        <f>ROUND((F65)*(IF('Your Debts'!$G$5=0,0,INDEX('Your Debts'!$C$5:$C$12,'Your Debts'!$G$5)/12)),2)</f>
        <v/>
      </c>
      <c r="E66" s="27">
        <f>MIN((F65)+D66,MAX(0,$C66-(0)))</f>
        <v/>
      </c>
      <c r="F66" s="27">
        <f>ROUND(MAX(0,(F65)+D66-E66),2)</f>
        <v/>
      </c>
      <c r="G66" s="27">
        <f>ROUND((I65)*(IF('Your Debts'!$G$6=0,0,INDEX('Your Debts'!$C$5:$C$12,'Your Debts'!$G$6)/12)),2)</f>
        <v/>
      </c>
      <c r="H66" s="27">
        <f>MIN((I65)+G66,MAX(0,$C66-(E66)))</f>
        <v/>
      </c>
      <c r="I66" s="27">
        <f>ROUND(MAX(0,(I65)+G66-H66),2)</f>
        <v/>
      </c>
      <c r="J66" s="27">
        <f>ROUND((L65)*(IF('Your Debts'!$G$7=0,0,INDEX('Your Debts'!$C$5:$C$12,'Your Debts'!$G$7)/12)),2)</f>
        <v/>
      </c>
      <c r="K66" s="27">
        <f>MIN((L65)+J66,MAX(0,$C66-(E66+H66)))</f>
        <v/>
      </c>
      <c r="L66" s="27">
        <f>ROUND(MAX(0,(L65)+J66-K66),2)</f>
        <v/>
      </c>
      <c r="M66" s="27">
        <f>ROUND((O65)*(IF('Your Debts'!$G$8=0,0,INDEX('Your Debts'!$C$5:$C$12,'Your Debts'!$G$8)/12)),2)</f>
        <v/>
      </c>
      <c r="N66" s="27">
        <f>MIN((O65)+M66,MAX(0,$C66-(E66+H66+K66)))</f>
        <v/>
      </c>
      <c r="O66" s="27">
        <f>ROUND(MAX(0,(O65)+M66-N66),2)</f>
        <v/>
      </c>
      <c r="P66" s="27">
        <f>ROUND((R65)*(IF('Your Debts'!$G$9=0,0,INDEX('Your Debts'!$C$5:$C$12,'Your Debts'!$G$9)/12)),2)</f>
        <v/>
      </c>
      <c r="Q66" s="27">
        <f>MIN((R65)+P66,MAX(0,$C66-(E66+H66+K66+N66)))</f>
        <v/>
      </c>
      <c r="R66" s="27">
        <f>ROUND(MAX(0,(R65)+P66-Q66),2)</f>
        <v/>
      </c>
      <c r="S66" s="27">
        <f>ROUND((U65)*(IF('Your Debts'!$G$10=0,0,INDEX('Your Debts'!$C$5:$C$12,'Your Debts'!$G$10)/12)),2)</f>
        <v/>
      </c>
      <c r="T66" s="27">
        <f>MIN((U65)+S66,MAX(0,$C66-(E66+H66+K66+N66+Q66)))</f>
        <v/>
      </c>
      <c r="U66" s="27">
        <f>ROUND(MAX(0,(U65)+S66-T66),2)</f>
        <v/>
      </c>
      <c r="V66" s="27">
        <f>ROUND((X65)*(IF('Your Debts'!$G$11=0,0,INDEX('Your Debts'!$C$5:$C$12,'Your Debts'!$G$11)/12)),2)</f>
        <v/>
      </c>
      <c r="W66" s="27">
        <f>MIN((X65)+V66,MAX(0,$C66-(E66+H66+K66+N66+Q66+T66)))</f>
        <v/>
      </c>
      <c r="X66" s="27">
        <f>ROUND(MAX(0,(X65)+V66-W66),2)</f>
        <v/>
      </c>
      <c r="Y66" s="27">
        <f>ROUND((AA65)*(IF('Your Debts'!$G$12=0,0,INDEX('Your Debts'!$C$5:$C$12,'Your Debts'!$G$12)/12)),2)</f>
        <v/>
      </c>
      <c r="Z66" s="27">
        <f>MIN((AA65)+Y66,MAX(0,$C66-(E66+H66+K66+N66+Q66+T66+W66)))</f>
        <v/>
      </c>
      <c r="AA66" s="27">
        <f>ROUND(MAX(0,(AA65)+Y66-Z66),2)</f>
        <v/>
      </c>
      <c r="AB66" s="18">
        <f>F66+I66+L66+O66+R66+U66+X66+AA66</f>
        <v/>
      </c>
      <c r="AC66" s="26">
        <f>AC65+D66+G66+J66+M66+P66+S66+V66+Y66</f>
        <v/>
      </c>
    </row>
    <row r="67">
      <c r="A67" s="24" t="n">
        <v>62</v>
      </c>
      <c r="B67" s="25">
        <f>EDATE('Your Debts'!$B$19,61)</f>
        <v/>
      </c>
      <c r="C67" s="26">
        <f>'Your Debts'!$B$18</f>
        <v/>
      </c>
      <c r="D67" s="27">
        <f>ROUND((F66)*(IF('Your Debts'!$G$5=0,0,INDEX('Your Debts'!$C$5:$C$12,'Your Debts'!$G$5)/12)),2)</f>
        <v/>
      </c>
      <c r="E67" s="27">
        <f>MIN((F66)+D67,MAX(0,$C67-(0)))</f>
        <v/>
      </c>
      <c r="F67" s="27">
        <f>ROUND(MAX(0,(F66)+D67-E67),2)</f>
        <v/>
      </c>
      <c r="G67" s="27">
        <f>ROUND((I66)*(IF('Your Debts'!$G$6=0,0,INDEX('Your Debts'!$C$5:$C$12,'Your Debts'!$G$6)/12)),2)</f>
        <v/>
      </c>
      <c r="H67" s="27">
        <f>MIN((I66)+G67,MAX(0,$C67-(E67)))</f>
        <v/>
      </c>
      <c r="I67" s="27">
        <f>ROUND(MAX(0,(I66)+G67-H67),2)</f>
        <v/>
      </c>
      <c r="J67" s="27">
        <f>ROUND((L66)*(IF('Your Debts'!$G$7=0,0,INDEX('Your Debts'!$C$5:$C$12,'Your Debts'!$G$7)/12)),2)</f>
        <v/>
      </c>
      <c r="K67" s="27">
        <f>MIN((L66)+J67,MAX(0,$C67-(E67+H67)))</f>
        <v/>
      </c>
      <c r="L67" s="27">
        <f>ROUND(MAX(0,(L66)+J67-K67),2)</f>
        <v/>
      </c>
      <c r="M67" s="27">
        <f>ROUND((O66)*(IF('Your Debts'!$G$8=0,0,INDEX('Your Debts'!$C$5:$C$12,'Your Debts'!$G$8)/12)),2)</f>
        <v/>
      </c>
      <c r="N67" s="27">
        <f>MIN((O66)+M67,MAX(0,$C67-(E67+H67+K67)))</f>
        <v/>
      </c>
      <c r="O67" s="27">
        <f>ROUND(MAX(0,(O66)+M67-N67),2)</f>
        <v/>
      </c>
      <c r="P67" s="27">
        <f>ROUND((R66)*(IF('Your Debts'!$G$9=0,0,INDEX('Your Debts'!$C$5:$C$12,'Your Debts'!$G$9)/12)),2)</f>
        <v/>
      </c>
      <c r="Q67" s="27">
        <f>MIN((R66)+P67,MAX(0,$C67-(E67+H67+K67+N67)))</f>
        <v/>
      </c>
      <c r="R67" s="27">
        <f>ROUND(MAX(0,(R66)+P67-Q67),2)</f>
        <v/>
      </c>
      <c r="S67" s="27">
        <f>ROUND((U66)*(IF('Your Debts'!$G$10=0,0,INDEX('Your Debts'!$C$5:$C$12,'Your Debts'!$G$10)/12)),2)</f>
        <v/>
      </c>
      <c r="T67" s="27">
        <f>MIN((U66)+S67,MAX(0,$C67-(E67+H67+K67+N67+Q67)))</f>
        <v/>
      </c>
      <c r="U67" s="27">
        <f>ROUND(MAX(0,(U66)+S67-T67),2)</f>
        <v/>
      </c>
      <c r="V67" s="27">
        <f>ROUND((X66)*(IF('Your Debts'!$G$11=0,0,INDEX('Your Debts'!$C$5:$C$12,'Your Debts'!$G$11)/12)),2)</f>
        <v/>
      </c>
      <c r="W67" s="27">
        <f>MIN((X66)+V67,MAX(0,$C67-(E67+H67+K67+N67+Q67+T67)))</f>
        <v/>
      </c>
      <c r="X67" s="27">
        <f>ROUND(MAX(0,(X66)+V67-W67),2)</f>
        <v/>
      </c>
      <c r="Y67" s="27">
        <f>ROUND((AA66)*(IF('Your Debts'!$G$12=0,0,INDEX('Your Debts'!$C$5:$C$12,'Your Debts'!$G$12)/12)),2)</f>
        <v/>
      </c>
      <c r="Z67" s="27">
        <f>MIN((AA66)+Y67,MAX(0,$C67-(E67+H67+K67+N67+Q67+T67+W67)))</f>
        <v/>
      </c>
      <c r="AA67" s="27">
        <f>ROUND(MAX(0,(AA66)+Y67-Z67),2)</f>
        <v/>
      </c>
      <c r="AB67" s="18">
        <f>F67+I67+L67+O67+R67+U67+X67+AA67</f>
        <v/>
      </c>
      <c r="AC67" s="26">
        <f>AC66+D67+G67+J67+M67+P67+S67+V67+Y67</f>
        <v/>
      </c>
    </row>
    <row r="68">
      <c r="A68" s="24" t="n">
        <v>63</v>
      </c>
      <c r="B68" s="25">
        <f>EDATE('Your Debts'!$B$19,62)</f>
        <v/>
      </c>
      <c r="C68" s="26">
        <f>'Your Debts'!$B$18</f>
        <v/>
      </c>
      <c r="D68" s="27">
        <f>ROUND((F67)*(IF('Your Debts'!$G$5=0,0,INDEX('Your Debts'!$C$5:$C$12,'Your Debts'!$G$5)/12)),2)</f>
        <v/>
      </c>
      <c r="E68" s="27">
        <f>MIN((F67)+D68,MAX(0,$C68-(0)))</f>
        <v/>
      </c>
      <c r="F68" s="27">
        <f>ROUND(MAX(0,(F67)+D68-E68),2)</f>
        <v/>
      </c>
      <c r="G68" s="27">
        <f>ROUND((I67)*(IF('Your Debts'!$G$6=0,0,INDEX('Your Debts'!$C$5:$C$12,'Your Debts'!$G$6)/12)),2)</f>
        <v/>
      </c>
      <c r="H68" s="27">
        <f>MIN((I67)+G68,MAX(0,$C68-(E68)))</f>
        <v/>
      </c>
      <c r="I68" s="27">
        <f>ROUND(MAX(0,(I67)+G68-H68),2)</f>
        <v/>
      </c>
      <c r="J68" s="27">
        <f>ROUND((L67)*(IF('Your Debts'!$G$7=0,0,INDEX('Your Debts'!$C$5:$C$12,'Your Debts'!$G$7)/12)),2)</f>
        <v/>
      </c>
      <c r="K68" s="27">
        <f>MIN((L67)+J68,MAX(0,$C68-(E68+H68)))</f>
        <v/>
      </c>
      <c r="L68" s="27">
        <f>ROUND(MAX(0,(L67)+J68-K68),2)</f>
        <v/>
      </c>
      <c r="M68" s="27">
        <f>ROUND((O67)*(IF('Your Debts'!$G$8=0,0,INDEX('Your Debts'!$C$5:$C$12,'Your Debts'!$G$8)/12)),2)</f>
        <v/>
      </c>
      <c r="N68" s="27">
        <f>MIN((O67)+M68,MAX(0,$C68-(E68+H68+K68)))</f>
        <v/>
      </c>
      <c r="O68" s="27">
        <f>ROUND(MAX(0,(O67)+M68-N68),2)</f>
        <v/>
      </c>
      <c r="P68" s="27">
        <f>ROUND((R67)*(IF('Your Debts'!$G$9=0,0,INDEX('Your Debts'!$C$5:$C$12,'Your Debts'!$G$9)/12)),2)</f>
        <v/>
      </c>
      <c r="Q68" s="27">
        <f>MIN((R67)+P68,MAX(0,$C68-(E68+H68+K68+N68)))</f>
        <v/>
      </c>
      <c r="R68" s="27">
        <f>ROUND(MAX(0,(R67)+P68-Q68),2)</f>
        <v/>
      </c>
      <c r="S68" s="27">
        <f>ROUND((U67)*(IF('Your Debts'!$G$10=0,0,INDEX('Your Debts'!$C$5:$C$12,'Your Debts'!$G$10)/12)),2)</f>
        <v/>
      </c>
      <c r="T68" s="27">
        <f>MIN((U67)+S68,MAX(0,$C68-(E68+H68+K68+N68+Q68)))</f>
        <v/>
      </c>
      <c r="U68" s="27">
        <f>ROUND(MAX(0,(U67)+S68-T68),2)</f>
        <v/>
      </c>
      <c r="V68" s="27">
        <f>ROUND((X67)*(IF('Your Debts'!$G$11=0,0,INDEX('Your Debts'!$C$5:$C$12,'Your Debts'!$G$11)/12)),2)</f>
        <v/>
      </c>
      <c r="W68" s="27">
        <f>MIN((X67)+V68,MAX(0,$C68-(E68+H68+K68+N68+Q68+T68)))</f>
        <v/>
      </c>
      <c r="X68" s="27">
        <f>ROUND(MAX(0,(X67)+V68-W68),2)</f>
        <v/>
      </c>
      <c r="Y68" s="27">
        <f>ROUND((AA67)*(IF('Your Debts'!$G$12=0,0,INDEX('Your Debts'!$C$5:$C$12,'Your Debts'!$G$12)/12)),2)</f>
        <v/>
      </c>
      <c r="Z68" s="27">
        <f>MIN((AA67)+Y68,MAX(0,$C68-(E68+H68+K68+N68+Q68+T68+W68)))</f>
        <v/>
      </c>
      <c r="AA68" s="27">
        <f>ROUND(MAX(0,(AA67)+Y68-Z68),2)</f>
        <v/>
      </c>
      <c r="AB68" s="18">
        <f>F68+I68+L68+O68+R68+U68+X68+AA68</f>
        <v/>
      </c>
      <c r="AC68" s="26">
        <f>AC67+D68+G68+J68+M68+P68+S68+V68+Y68</f>
        <v/>
      </c>
    </row>
    <row r="69">
      <c r="A69" s="24" t="n">
        <v>64</v>
      </c>
      <c r="B69" s="25">
        <f>EDATE('Your Debts'!$B$19,63)</f>
        <v/>
      </c>
      <c r="C69" s="26">
        <f>'Your Debts'!$B$18</f>
        <v/>
      </c>
      <c r="D69" s="27">
        <f>ROUND((F68)*(IF('Your Debts'!$G$5=0,0,INDEX('Your Debts'!$C$5:$C$12,'Your Debts'!$G$5)/12)),2)</f>
        <v/>
      </c>
      <c r="E69" s="27">
        <f>MIN((F68)+D69,MAX(0,$C69-(0)))</f>
        <v/>
      </c>
      <c r="F69" s="27">
        <f>ROUND(MAX(0,(F68)+D69-E69),2)</f>
        <v/>
      </c>
      <c r="G69" s="27">
        <f>ROUND((I68)*(IF('Your Debts'!$G$6=0,0,INDEX('Your Debts'!$C$5:$C$12,'Your Debts'!$G$6)/12)),2)</f>
        <v/>
      </c>
      <c r="H69" s="27">
        <f>MIN((I68)+G69,MAX(0,$C69-(E69)))</f>
        <v/>
      </c>
      <c r="I69" s="27">
        <f>ROUND(MAX(0,(I68)+G69-H69),2)</f>
        <v/>
      </c>
      <c r="J69" s="27">
        <f>ROUND((L68)*(IF('Your Debts'!$G$7=0,0,INDEX('Your Debts'!$C$5:$C$12,'Your Debts'!$G$7)/12)),2)</f>
        <v/>
      </c>
      <c r="K69" s="27">
        <f>MIN((L68)+J69,MAX(0,$C69-(E69+H69)))</f>
        <v/>
      </c>
      <c r="L69" s="27">
        <f>ROUND(MAX(0,(L68)+J69-K69),2)</f>
        <v/>
      </c>
      <c r="M69" s="27">
        <f>ROUND((O68)*(IF('Your Debts'!$G$8=0,0,INDEX('Your Debts'!$C$5:$C$12,'Your Debts'!$G$8)/12)),2)</f>
        <v/>
      </c>
      <c r="N69" s="27">
        <f>MIN((O68)+M69,MAX(0,$C69-(E69+H69+K69)))</f>
        <v/>
      </c>
      <c r="O69" s="27">
        <f>ROUND(MAX(0,(O68)+M69-N69),2)</f>
        <v/>
      </c>
      <c r="P69" s="27">
        <f>ROUND((R68)*(IF('Your Debts'!$G$9=0,0,INDEX('Your Debts'!$C$5:$C$12,'Your Debts'!$G$9)/12)),2)</f>
        <v/>
      </c>
      <c r="Q69" s="27">
        <f>MIN((R68)+P69,MAX(0,$C69-(E69+H69+K69+N69)))</f>
        <v/>
      </c>
      <c r="R69" s="27">
        <f>ROUND(MAX(0,(R68)+P69-Q69),2)</f>
        <v/>
      </c>
      <c r="S69" s="27">
        <f>ROUND((U68)*(IF('Your Debts'!$G$10=0,0,INDEX('Your Debts'!$C$5:$C$12,'Your Debts'!$G$10)/12)),2)</f>
        <v/>
      </c>
      <c r="T69" s="27">
        <f>MIN((U68)+S69,MAX(0,$C69-(E69+H69+K69+N69+Q69)))</f>
        <v/>
      </c>
      <c r="U69" s="27">
        <f>ROUND(MAX(0,(U68)+S69-T69),2)</f>
        <v/>
      </c>
      <c r="V69" s="27">
        <f>ROUND((X68)*(IF('Your Debts'!$G$11=0,0,INDEX('Your Debts'!$C$5:$C$12,'Your Debts'!$G$11)/12)),2)</f>
        <v/>
      </c>
      <c r="W69" s="27">
        <f>MIN((X68)+V69,MAX(0,$C69-(E69+H69+K69+N69+Q69+T69)))</f>
        <v/>
      </c>
      <c r="X69" s="27">
        <f>ROUND(MAX(0,(X68)+V69-W69),2)</f>
        <v/>
      </c>
      <c r="Y69" s="27">
        <f>ROUND((AA68)*(IF('Your Debts'!$G$12=0,0,INDEX('Your Debts'!$C$5:$C$12,'Your Debts'!$G$12)/12)),2)</f>
        <v/>
      </c>
      <c r="Z69" s="27">
        <f>MIN((AA68)+Y69,MAX(0,$C69-(E69+H69+K69+N69+Q69+T69+W69)))</f>
        <v/>
      </c>
      <c r="AA69" s="27">
        <f>ROUND(MAX(0,(AA68)+Y69-Z69),2)</f>
        <v/>
      </c>
      <c r="AB69" s="18">
        <f>F69+I69+L69+O69+R69+U69+X69+AA69</f>
        <v/>
      </c>
      <c r="AC69" s="26">
        <f>AC68+D69+G69+J69+M69+P69+S69+V69+Y69</f>
        <v/>
      </c>
    </row>
    <row r="70">
      <c r="A70" s="24" t="n">
        <v>65</v>
      </c>
      <c r="B70" s="25">
        <f>EDATE('Your Debts'!$B$19,64)</f>
        <v/>
      </c>
      <c r="C70" s="26">
        <f>'Your Debts'!$B$18</f>
        <v/>
      </c>
      <c r="D70" s="27">
        <f>ROUND((F69)*(IF('Your Debts'!$G$5=0,0,INDEX('Your Debts'!$C$5:$C$12,'Your Debts'!$G$5)/12)),2)</f>
        <v/>
      </c>
      <c r="E70" s="27">
        <f>MIN((F69)+D70,MAX(0,$C70-(0)))</f>
        <v/>
      </c>
      <c r="F70" s="27">
        <f>ROUND(MAX(0,(F69)+D70-E70),2)</f>
        <v/>
      </c>
      <c r="G70" s="27">
        <f>ROUND((I69)*(IF('Your Debts'!$G$6=0,0,INDEX('Your Debts'!$C$5:$C$12,'Your Debts'!$G$6)/12)),2)</f>
        <v/>
      </c>
      <c r="H70" s="27">
        <f>MIN((I69)+G70,MAX(0,$C70-(E70)))</f>
        <v/>
      </c>
      <c r="I70" s="27">
        <f>ROUND(MAX(0,(I69)+G70-H70),2)</f>
        <v/>
      </c>
      <c r="J70" s="27">
        <f>ROUND((L69)*(IF('Your Debts'!$G$7=0,0,INDEX('Your Debts'!$C$5:$C$12,'Your Debts'!$G$7)/12)),2)</f>
        <v/>
      </c>
      <c r="K70" s="27">
        <f>MIN((L69)+J70,MAX(0,$C70-(E70+H70)))</f>
        <v/>
      </c>
      <c r="L70" s="27">
        <f>ROUND(MAX(0,(L69)+J70-K70),2)</f>
        <v/>
      </c>
      <c r="M70" s="27">
        <f>ROUND((O69)*(IF('Your Debts'!$G$8=0,0,INDEX('Your Debts'!$C$5:$C$12,'Your Debts'!$G$8)/12)),2)</f>
        <v/>
      </c>
      <c r="N70" s="27">
        <f>MIN((O69)+M70,MAX(0,$C70-(E70+H70+K70)))</f>
        <v/>
      </c>
      <c r="O70" s="27">
        <f>ROUND(MAX(0,(O69)+M70-N70),2)</f>
        <v/>
      </c>
      <c r="P70" s="27">
        <f>ROUND((R69)*(IF('Your Debts'!$G$9=0,0,INDEX('Your Debts'!$C$5:$C$12,'Your Debts'!$G$9)/12)),2)</f>
        <v/>
      </c>
      <c r="Q70" s="27">
        <f>MIN((R69)+P70,MAX(0,$C70-(E70+H70+K70+N70)))</f>
        <v/>
      </c>
      <c r="R70" s="27">
        <f>ROUND(MAX(0,(R69)+P70-Q70),2)</f>
        <v/>
      </c>
      <c r="S70" s="27">
        <f>ROUND((U69)*(IF('Your Debts'!$G$10=0,0,INDEX('Your Debts'!$C$5:$C$12,'Your Debts'!$G$10)/12)),2)</f>
        <v/>
      </c>
      <c r="T70" s="27">
        <f>MIN((U69)+S70,MAX(0,$C70-(E70+H70+K70+N70+Q70)))</f>
        <v/>
      </c>
      <c r="U70" s="27">
        <f>ROUND(MAX(0,(U69)+S70-T70),2)</f>
        <v/>
      </c>
      <c r="V70" s="27">
        <f>ROUND((X69)*(IF('Your Debts'!$G$11=0,0,INDEX('Your Debts'!$C$5:$C$12,'Your Debts'!$G$11)/12)),2)</f>
        <v/>
      </c>
      <c r="W70" s="27">
        <f>MIN((X69)+V70,MAX(0,$C70-(E70+H70+K70+N70+Q70+T70)))</f>
        <v/>
      </c>
      <c r="X70" s="27">
        <f>ROUND(MAX(0,(X69)+V70-W70),2)</f>
        <v/>
      </c>
      <c r="Y70" s="27">
        <f>ROUND((AA69)*(IF('Your Debts'!$G$12=0,0,INDEX('Your Debts'!$C$5:$C$12,'Your Debts'!$G$12)/12)),2)</f>
        <v/>
      </c>
      <c r="Z70" s="27">
        <f>MIN((AA69)+Y70,MAX(0,$C70-(E70+H70+K70+N70+Q70+T70+W70)))</f>
        <v/>
      </c>
      <c r="AA70" s="27">
        <f>ROUND(MAX(0,(AA69)+Y70-Z70),2)</f>
        <v/>
      </c>
      <c r="AB70" s="18">
        <f>F70+I70+L70+O70+R70+U70+X70+AA70</f>
        <v/>
      </c>
      <c r="AC70" s="26">
        <f>AC69+D70+G70+J70+M70+P70+S70+V70+Y70</f>
        <v/>
      </c>
    </row>
    <row r="71">
      <c r="A71" s="24" t="n">
        <v>66</v>
      </c>
      <c r="B71" s="25">
        <f>EDATE('Your Debts'!$B$19,65)</f>
        <v/>
      </c>
      <c r="C71" s="26">
        <f>'Your Debts'!$B$18</f>
        <v/>
      </c>
      <c r="D71" s="27">
        <f>ROUND((F70)*(IF('Your Debts'!$G$5=0,0,INDEX('Your Debts'!$C$5:$C$12,'Your Debts'!$G$5)/12)),2)</f>
        <v/>
      </c>
      <c r="E71" s="27">
        <f>MIN((F70)+D71,MAX(0,$C71-(0)))</f>
        <v/>
      </c>
      <c r="F71" s="27">
        <f>ROUND(MAX(0,(F70)+D71-E71),2)</f>
        <v/>
      </c>
      <c r="G71" s="27">
        <f>ROUND((I70)*(IF('Your Debts'!$G$6=0,0,INDEX('Your Debts'!$C$5:$C$12,'Your Debts'!$G$6)/12)),2)</f>
        <v/>
      </c>
      <c r="H71" s="27">
        <f>MIN((I70)+G71,MAX(0,$C71-(E71)))</f>
        <v/>
      </c>
      <c r="I71" s="27">
        <f>ROUND(MAX(0,(I70)+G71-H71),2)</f>
        <v/>
      </c>
      <c r="J71" s="27">
        <f>ROUND((L70)*(IF('Your Debts'!$G$7=0,0,INDEX('Your Debts'!$C$5:$C$12,'Your Debts'!$G$7)/12)),2)</f>
        <v/>
      </c>
      <c r="K71" s="27">
        <f>MIN((L70)+J71,MAX(0,$C71-(E71+H71)))</f>
        <v/>
      </c>
      <c r="L71" s="27">
        <f>ROUND(MAX(0,(L70)+J71-K71),2)</f>
        <v/>
      </c>
      <c r="M71" s="27">
        <f>ROUND((O70)*(IF('Your Debts'!$G$8=0,0,INDEX('Your Debts'!$C$5:$C$12,'Your Debts'!$G$8)/12)),2)</f>
        <v/>
      </c>
      <c r="N71" s="27">
        <f>MIN((O70)+M71,MAX(0,$C71-(E71+H71+K71)))</f>
        <v/>
      </c>
      <c r="O71" s="27">
        <f>ROUND(MAX(0,(O70)+M71-N71),2)</f>
        <v/>
      </c>
      <c r="P71" s="27">
        <f>ROUND((R70)*(IF('Your Debts'!$G$9=0,0,INDEX('Your Debts'!$C$5:$C$12,'Your Debts'!$G$9)/12)),2)</f>
        <v/>
      </c>
      <c r="Q71" s="27">
        <f>MIN((R70)+P71,MAX(0,$C71-(E71+H71+K71+N71)))</f>
        <v/>
      </c>
      <c r="R71" s="27">
        <f>ROUND(MAX(0,(R70)+P71-Q71),2)</f>
        <v/>
      </c>
      <c r="S71" s="27">
        <f>ROUND((U70)*(IF('Your Debts'!$G$10=0,0,INDEX('Your Debts'!$C$5:$C$12,'Your Debts'!$G$10)/12)),2)</f>
        <v/>
      </c>
      <c r="T71" s="27">
        <f>MIN((U70)+S71,MAX(0,$C71-(E71+H71+K71+N71+Q71)))</f>
        <v/>
      </c>
      <c r="U71" s="27">
        <f>ROUND(MAX(0,(U70)+S71-T71),2)</f>
        <v/>
      </c>
      <c r="V71" s="27">
        <f>ROUND((X70)*(IF('Your Debts'!$G$11=0,0,INDEX('Your Debts'!$C$5:$C$12,'Your Debts'!$G$11)/12)),2)</f>
        <v/>
      </c>
      <c r="W71" s="27">
        <f>MIN((X70)+V71,MAX(0,$C71-(E71+H71+K71+N71+Q71+T71)))</f>
        <v/>
      </c>
      <c r="X71" s="27">
        <f>ROUND(MAX(0,(X70)+V71-W71),2)</f>
        <v/>
      </c>
      <c r="Y71" s="27">
        <f>ROUND((AA70)*(IF('Your Debts'!$G$12=0,0,INDEX('Your Debts'!$C$5:$C$12,'Your Debts'!$G$12)/12)),2)</f>
        <v/>
      </c>
      <c r="Z71" s="27">
        <f>MIN((AA70)+Y71,MAX(0,$C71-(E71+H71+K71+N71+Q71+T71+W71)))</f>
        <v/>
      </c>
      <c r="AA71" s="27">
        <f>ROUND(MAX(0,(AA70)+Y71-Z71),2)</f>
        <v/>
      </c>
      <c r="AB71" s="18">
        <f>F71+I71+L71+O71+R71+U71+X71+AA71</f>
        <v/>
      </c>
      <c r="AC71" s="26">
        <f>AC70+D71+G71+J71+M71+P71+S71+V71+Y71</f>
        <v/>
      </c>
    </row>
    <row r="72">
      <c r="A72" s="24" t="n">
        <v>67</v>
      </c>
      <c r="B72" s="25">
        <f>EDATE('Your Debts'!$B$19,66)</f>
        <v/>
      </c>
      <c r="C72" s="26">
        <f>'Your Debts'!$B$18</f>
        <v/>
      </c>
      <c r="D72" s="27">
        <f>ROUND((F71)*(IF('Your Debts'!$G$5=0,0,INDEX('Your Debts'!$C$5:$C$12,'Your Debts'!$G$5)/12)),2)</f>
        <v/>
      </c>
      <c r="E72" s="27">
        <f>MIN((F71)+D72,MAX(0,$C72-(0)))</f>
        <v/>
      </c>
      <c r="F72" s="27">
        <f>ROUND(MAX(0,(F71)+D72-E72),2)</f>
        <v/>
      </c>
      <c r="G72" s="27">
        <f>ROUND((I71)*(IF('Your Debts'!$G$6=0,0,INDEX('Your Debts'!$C$5:$C$12,'Your Debts'!$G$6)/12)),2)</f>
        <v/>
      </c>
      <c r="H72" s="27">
        <f>MIN((I71)+G72,MAX(0,$C72-(E72)))</f>
        <v/>
      </c>
      <c r="I72" s="27">
        <f>ROUND(MAX(0,(I71)+G72-H72),2)</f>
        <v/>
      </c>
      <c r="J72" s="27">
        <f>ROUND((L71)*(IF('Your Debts'!$G$7=0,0,INDEX('Your Debts'!$C$5:$C$12,'Your Debts'!$G$7)/12)),2)</f>
        <v/>
      </c>
      <c r="K72" s="27">
        <f>MIN((L71)+J72,MAX(0,$C72-(E72+H72)))</f>
        <v/>
      </c>
      <c r="L72" s="27">
        <f>ROUND(MAX(0,(L71)+J72-K72),2)</f>
        <v/>
      </c>
      <c r="M72" s="27">
        <f>ROUND((O71)*(IF('Your Debts'!$G$8=0,0,INDEX('Your Debts'!$C$5:$C$12,'Your Debts'!$G$8)/12)),2)</f>
        <v/>
      </c>
      <c r="N72" s="27">
        <f>MIN((O71)+M72,MAX(0,$C72-(E72+H72+K72)))</f>
        <v/>
      </c>
      <c r="O72" s="27">
        <f>ROUND(MAX(0,(O71)+M72-N72),2)</f>
        <v/>
      </c>
      <c r="P72" s="27">
        <f>ROUND((R71)*(IF('Your Debts'!$G$9=0,0,INDEX('Your Debts'!$C$5:$C$12,'Your Debts'!$G$9)/12)),2)</f>
        <v/>
      </c>
      <c r="Q72" s="27">
        <f>MIN((R71)+P72,MAX(0,$C72-(E72+H72+K72+N72)))</f>
        <v/>
      </c>
      <c r="R72" s="27">
        <f>ROUND(MAX(0,(R71)+P72-Q72),2)</f>
        <v/>
      </c>
      <c r="S72" s="27">
        <f>ROUND((U71)*(IF('Your Debts'!$G$10=0,0,INDEX('Your Debts'!$C$5:$C$12,'Your Debts'!$G$10)/12)),2)</f>
        <v/>
      </c>
      <c r="T72" s="27">
        <f>MIN((U71)+S72,MAX(0,$C72-(E72+H72+K72+N72+Q72)))</f>
        <v/>
      </c>
      <c r="U72" s="27">
        <f>ROUND(MAX(0,(U71)+S72-T72),2)</f>
        <v/>
      </c>
      <c r="V72" s="27">
        <f>ROUND((X71)*(IF('Your Debts'!$G$11=0,0,INDEX('Your Debts'!$C$5:$C$12,'Your Debts'!$G$11)/12)),2)</f>
        <v/>
      </c>
      <c r="W72" s="27">
        <f>MIN((X71)+V72,MAX(0,$C72-(E72+H72+K72+N72+Q72+T72)))</f>
        <v/>
      </c>
      <c r="X72" s="27">
        <f>ROUND(MAX(0,(X71)+V72-W72),2)</f>
        <v/>
      </c>
      <c r="Y72" s="27">
        <f>ROUND((AA71)*(IF('Your Debts'!$G$12=0,0,INDEX('Your Debts'!$C$5:$C$12,'Your Debts'!$G$12)/12)),2)</f>
        <v/>
      </c>
      <c r="Z72" s="27">
        <f>MIN((AA71)+Y72,MAX(0,$C72-(E72+H72+K72+N72+Q72+T72+W72)))</f>
        <v/>
      </c>
      <c r="AA72" s="27">
        <f>ROUND(MAX(0,(AA71)+Y72-Z72),2)</f>
        <v/>
      </c>
      <c r="AB72" s="18">
        <f>F72+I72+L72+O72+R72+U72+X72+AA72</f>
        <v/>
      </c>
      <c r="AC72" s="26">
        <f>AC71+D72+G72+J72+M72+P72+S72+V72+Y72</f>
        <v/>
      </c>
    </row>
    <row r="73">
      <c r="A73" s="24" t="n">
        <v>68</v>
      </c>
      <c r="B73" s="25">
        <f>EDATE('Your Debts'!$B$19,67)</f>
        <v/>
      </c>
      <c r="C73" s="26">
        <f>'Your Debts'!$B$18</f>
        <v/>
      </c>
      <c r="D73" s="27">
        <f>ROUND((F72)*(IF('Your Debts'!$G$5=0,0,INDEX('Your Debts'!$C$5:$C$12,'Your Debts'!$G$5)/12)),2)</f>
        <v/>
      </c>
      <c r="E73" s="27">
        <f>MIN((F72)+D73,MAX(0,$C73-(0)))</f>
        <v/>
      </c>
      <c r="F73" s="27">
        <f>ROUND(MAX(0,(F72)+D73-E73),2)</f>
        <v/>
      </c>
      <c r="G73" s="27">
        <f>ROUND((I72)*(IF('Your Debts'!$G$6=0,0,INDEX('Your Debts'!$C$5:$C$12,'Your Debts'!$G$6)/12)),2)</f>
        <v/>
      </c>
      <c r="H73" s="27">
        <f>MIN((I72)+G73,MAX(0,$C73-(E73)))</f>
        <v/>
      </c>
      <c r="I73" s="27">
        <f>ROUND(MAX(0,(I72)+G73-H73),2)</f>
        <v/>
      </c>
      <c r="J73" s="27">
        <f>ROUND((L72)*(IF('Your Debts'!$G$7=0,0,INDEX('Your Debts'!$C$5:$C$12,'Your Debts'!$G$7)/12)),2)</f>
        <v/>
      </c>
      <c r="K73" s="27">
        <f>MIN((L72)+J73,MAX(0,$C73-(E73+H73)))</f>
        <v/>
      </c>
      <c r="L73" s="27">
        <f>ROUND(MAX(0,(L72)+J73-K73),2)</f>
        <v/>
      </c>
      <c r="M73" s="27">
        <f>ROUND((O72)*(IF('Your Debts'!$G$8=0,0,INDEX('Your Debts'!$C$5:$C$12,'Your Debts'!$G$8)/12)),2)</f>
        <v/>
      </c>
      <c r="N73" s="27">
        <f>MIN((O72)+M73,MAX(0,$C73-(E73+H73+K73)))</f>
        <v/>
      </c>
      <c r="O73" s="27">
        <f>ROUND(MAX(0,(O72)+M73-N73),2)</f>
        <v/>
      </c>
      <c r="P73" s="27">
        <f>ROUND((R72)*(IF('Your Debts'!$G$9=0,0,INDEX('Your Debts'!$C$5:$C$12,'Your Debts'!$G$9)/12)),2)</f>
        <v/>
      </c>
      <c r="Q73" s="27">
        <f>MIN((R72)+P73,MAX(0,$C73-(E73+H73+K73+N73)))</f>
        <v/>
      </c>
      <c r="R73" s="27">
        <f>ROUND(MAX(0,(R72)+P73-Q73),2)</f>
        <v/>
      </c>
      <c r="S73" s="27">
        <f>ROUND((U72)*(IF('Your Debts'!$G$10=0,0,INDEX('Your Debts'!$C$5:$C$12,'Your Debts'!$G$10)/12)),2)</f>
        <v/>
      </c>
      <c r="T73" s="27">
        <f>MIN((U72)+S73,MAX(0,$C73-(E73+H73+K73+N73+Q73)))</f>
        <v/>
      </c>
      <c r="U73" s="27">
        <f>ROUND(MAX(0,(U72)+S73-T73),2)</f>
        <v/>
      </c>
      <c r="V73" s="27">
        <f>ROUND((X72)*(IF('Your Debts'!$G$11=0,0,INDEX('Your Debts'!$C$5:$C$12,'Your Debts'!$G$11)/12)),2)</f>
        <v/>
      </c>
      <c r="W73" s="27">
        <f>MIN((X72)+V73,MAX(0,$C73-(E73+H73+K73+N73+Q73+T73)))</f>
        <v/>
      </c>
      <c r="X73" s="27">
        <f>ROUND(MAX(0,(X72)+V73-W73),2)</f>
        <v/>
      </c>
      <c r="Y73" s="27">
        <f>ROUND((AA72)*(IF('Your Debts'!$G$12=0,0,INDEX('Your Debts'!$C$5:$C$12,'Your Debts'!$G$12)/12)),2)</f>
        <v/>
      </c>
      <c r="Z73" s="27">
        <f>MIN((AA72)+Y73,MAX(0,$C73-(E73+H73+K73+N73+Q73+T73+W73)))</f>
        <v/>
      </c>
      <c r="AA73" s="27">
        <f>ROUND(MAX(0,(AA72)+Y73-Z73),2)</f>
        <v/>
      </c>
      <c r="AB73" s="18">
        <f>F73+I73+L73+O73+R73+U73+X73+AA73</f>
        <v/>
      </c>
      <c r="AC73" s="26">
        <f>AC72+D73+G73+J73+M73+P73+S73+V73+Y73</f>
        <v/>
      </c>
    </row>
    <row r="74">
      <c r="A74" s="24" t="n">
        <v>69</v>
      </c>
      <c r="B74" s="25">
        <f>EDATE('Your Debts'!$B$19,68)</f>
        <v/>
      </c>
      <c r="C74" s="26">
        <f>'Your Debts'!$B$18</f>
        <v/>
      </c>
      <c r="D74" s="27">
        <f>ROUND((F73)*(IF('Your Debts'!$G$5=0,0,INDEX('Your Debts'!$C$5:$C$12,'Your Debts'!$G$5)/12)),2)</f>
        <v/>
      </c>
      <c r="E74" s="27">
        <f>MIN((F73)+D74,MAX(0,$C74-(0)))</f>
        <v/>
      </c>
      <c r="F74" s="27">
        <f>ROUND(MAX(0,(F73)+D74-E74),2)</f>
        <v/>
      </c>
      <c r="G74" s="27">
        <f>ROUND((I73)*(IF('Your Debts'!$G$6=0,0,INDEX('Your Debts'!$C$5:$C$12,'Your Debts'!$G$6)/12)),2)</f>
        <v/>
      </c>
      <c r="H74" s="27">
        <f>MIN((I73)+G74,MAX(0,$C74-(E74)))</f>
        <v/>
      </c>
      <c r="I74" s="27">
        <f>ROUND(MAX(0,(I73)+G74-H74),2)</f>
        <v/>
      </c>
      <c r="J74" s="27">
        <f>ROUND((L73)*(IF('Your Debts'!$G$7=0,0,INDEX('Your Debts'!$C$5:$C$12,'Your Debts'!$G$7)/12)),2)</f>
        <v/>
      </c>
      <c r="K74" s="27">
        <f>MIN((L73)+J74,MAX(0,$C74-(E74+H74)))</f>
        <v/>
      </c>
      <c r="L74" s="27">
        <f>ROUND(MAX(0,(L73)+J74-K74),2)</f>
        <v/>
      </c>
      <c r="M74" s="27">
        <f>ROUND((O73)*(IF('Your Debts'!$G$8=0,0,INDEX('Your Debts'!$C$5:$C$12,'Your Debts'!$G$8)/12)),2)</f>
        <v/>
      </c>
      <c r="N74" s="27">
        <f>MIN((O73)+M74,MAX(0,$C74-(E74+H74+K74)))</f>
        <v/>
      </c>
      <c r="O74" s="27">
        <f>ROUND(MAX(0,(O73)+M74-N74),2)</f>
        <v/>
      </c>
      <c r="P74" s="27">
        <f>ROUND((R73)*(IF('Your Debts'!$G$9=0,0,INDEX('Your Debts'!$C$5:$C$12,'Your Debts'!$G$9)/12)),2)</f>
        <v/>
      </c>
      <c r="Q74" s="27">
        <f>MIN((R73)+P74,MAX(0,$C74-(E74+H74+K74+N74)))</f>
        <v/>
      </c>
      <c r="R74" s="27">
        <f>ROUND(MAX(0,(R73)+P74-Q74),2)</f>
        <v/>
      </c>
      <c r="S74" s="27">
        <f>ROUND((U73)*(IF('Your Debts'!$G$10=0,0,INDEX('Your Debts'!$C$5:$C$12,'Your Debts'!$G$10)/12)),2)</f>
        <v/>
      </c>
      <c r="T74" s="27">
        <f>MIN((U73)+S74,MAX(0,$C74-(E74+H74+K74+N74+Q74)))</f>
        <v/>
      </c>
      <c r="U74" s="27">
        <f>ROUND(MAX(0,(U73)+S74-T74),2)</f>
        <v/>
      </c>
      <c r="V74" s="27">
        <f>ROUND((X73)*(IF('Your Debts'!$G$11=0,0,INDEX('Your Debts'!$C$5:$C$12,'Your Debts'!$G$11)/12)),2)</f>
        <v/>
      </c>
      <c r="W74" s="27">
        <f>MIN((X73)+V74,MAX(0,$C74-(E74+H74+K74+N74+Q74+T74)))</f>
        <v/>
      </c>
      <c r="X74" s="27">
        <f>ROUND(MAX(0,(X73)+V74-W74),2)</f>
        <v/>
      </c>
      <c r="Y74" s="27">
        <f>ROUND((AA73)*(IF('Your Debts'!$G$12=0,0,INDEX('Your Debts'!$C$5:$C$12,'Your Debts'!$G$12)/12)),2)</f>
        <v/>
      </c>
      <c r="Z74" s="27">
        <f>MIN((AA73)+Y74,MAX(0,$C74-(E74+H74+K74+N74+Q74+T74+W74)))</f>
        <v/>
      </c>
      <c r="AA74" s="27">
        <f>ROUND(MAX(0,(AA73)+Y74-Z74),2)</f>
        <v/>
      </c>
      <c r="AB74" s="18">
        <f>F74+I74+L74+O74+R74+U74+X74+AA74</f>
        <v/>
      </c>
      <c r="AC74" s="26">
        <f>AC73+D74+G74+J74+M74+P74+S74+V74+Y74</f>
        <v/>
      </c>
    </row>
    <row r="75">
      <c r="A75" s="24" t="n">
        <v>70</v>
      </c>
      <c r="B75" s="25">
        <f>EDATE('Your Debts'!$B$19,69)</f>
        <v/>
      </c>
      <c r="C75" s="26">
        <f>'Your Debts'!$B$18</f>
        <v/>
      </c>
      <c r="D75" s="27">
        <f>ROUND((F74)*(IF('Your Debts'!$G$5=0,0,INDEX('Your Debts'!$C$5:$C$12,'Your Debts'!$G$5)/12)),2)</f>
        <v/>
      </c>
      <c r="E75" s="27">
        <f>MIN((F74)+D75,MAX(0,$C75-(0)))</f>
        <v/>
      </c>
      <c r="F75" s="27">
        <f>ROUND(MAX(0,(F74)+D75-E75),2)</f>
        <v/>
      </c>
      <c r="G75" s="27">
        <f>ROUND((I74)*(IF('Your Debts'!$G$6=0,0,INDEX('Your Debts'!$C$5:$C$12,'Your Debts'!$G$6)/12)),2)</f>
        <v/>
      </c>
      <c r="H75" s="27">
        <f>MIN((I74)+G75,MAX(0,$C75-(E75)))</f>
        <v/>
      </c>
      <c r="I75" s="27">
        <f>ROUND(MAX(0,(I74)+G75-H75),2)</f>
        <v/>
      </c>
      <c r="J75" s="27">
        <f>ROUND((L74)*(IF('Your Debts'!$G$7=0,0,INDEX('Your Debts'!$C$5:$C$12,'Your Debts'!$G$7)/12)),2)</f>
        <v/>
      </c>
      <c r="K75" s="27">
        <f>MIN((L74)+J75,MAX(0,$C75-(E75+H75)))</f>
        <v/>
      </c>
      <c r="L75" s="27">
        <f>ROUND(MAX(0,(L74)+J75-K75),2)</f>
        <v/>
      </c>
      <c r="M75" s="27">
        <f>ROUND((O74)*(IF('Your Debts'!$G$8=0,0,INDEX('Your Debts'!$C$5:$C$12,'Your Debts'!$G$8)/12)),2)</f>
        <v/>
      </c>
      <c r="N75" s="27">
        <f>MIN((O74)+M75,MAX(0,$C75-(E75+H75+K75)))</f>
        <v/>
      </c>
      <c r="O75" s="27">
        <f>ROUND(MAX(0,(O74)+M75-N75),2)</f>
        <v/>
      </c>
      <c r="P75" s="27">
        <f>ROUND((R74)*(IF('Your Debts'!$G$9=0,0,INDEX('Your Debts'!$C$5:$C$12,'Your Debts'!$G$9)/12)),2)</f>
        <v/>
      </c>
      <c r="Q75" s="27">
        <f>MIN((R74)+P75,MAX(0,$C75-(E75+H75+K75+N75)))</f>
        <v/>
      </c>
      <c r="R75" s="27">
        <f>ROUND(MAX(0,(R74)+P75-Q75),2)</f>
        <v/>
      </c>
      <c r="S75" s="27">
        <f>ROUND((U74)*(IF('Your Debts'!$G$10=0,0,INDEX('Your Debts'!$C$5:$C$12,'Your Debts'!$G$10)/12)),2)</f>
        <v/>
      </c>
      <c r="T75" s="27">
        <f>MIN((U74)+S75,MAX(0,$C75-(E75+H75+K75+N75+Q75)))</f>
        <v/>
      </c>
      <c r="U75" s="27">
        <f>ROUND(MAX(0,(U74)+S75-T75),2)</f>
        <v/>
      </c>
      <c r="V75" s="27">
        <f>ROUND((X74)*(IF('Your Debts'!$G$11=0,0,INDEX('Your Debts'!$C$5:$C$12,'Your Debts'!$G$11)/12)),2)</f>
        <v/>
      </c>
      <c r="W75" s="27">
        <f>MIN((X74)+V75,MAX(0,$C75-(E75+H75+K75+N75+Q75+T75)))</f>
        <v/>
      </c>
      <c r="X75" s="27">
        <f>ROUND(MAX(0,(X74)+V75-W75),2)</f>
        <v/>
      </c>
      <c r="Y75" s="27">
        <f>ROUND((AA74)*(IF('Your Debts'!$G$12=0,0,INDEX('Your Debts'!$C$5:$C$12,'Your Debts'!$G$12)/12)),2)</f>
        <v/>
      </c>
      <c r="Z75" s="27">
        <f>MIN((AA74)+Y75,MAX(0,$C75-(E75+H75+K75+N75+Q75+T75+W75)))</f>
        <v/>
      </c>
      <c r="AA75" s="27">
        <f>ROUND(MAX(0,(AA74)+Y75-Z75),2)</f>
        <v/>
      </c>
      <c r="AB75" s="18">
        <f>F75+I75+L75+O75+R75+U75+X75+AA75</f>
        <v/>
      </c>
      <c r="AC75" s="26">
        <f>AC74+D75+G75+J75+M75+P75+S75+V75+Y75</f>
        <v/>
      </c>
    </row>
    <row r="76">
      <c r="A76" s="24" t="n">
        <v>71</v>
      </c>
      <c r="B76" s="25">
        <f>EDATE('Your Debts'!$B$19,70)</f>
        <v/>
      </c>
      <c r="C76" s="26">
        <f>'Your Debts'!$B$18</f>
        <v/>
      </c>
      <c r="D76" s="27">
        <f>ROUND((F75)*(IF('Your Debts'!$G$5=0,0,INDEX('Your Debts'!$C$5:$C$12,'Your Debts'!$G$5)/12)),2)</f>
        <v/>
      </c>
      <c r="E76" s="27">
        <f>MIN((F75)+D76,MAX(0,$C76-(0)))</f>
        <v/>
      </c>
      <c r="F76" s="27">
        <f>ROUND(MAX(0,(F75)+D76-E76),2)</f>
        <v/>
      </c>
      <c r="G76" s="27">
        <f>ROUND((I75)*(IF('Your Debts'!$G$6=0,0,INDEX('Your Debts'!$C$5:$C$12,'Your Debts'!$G$6)/12)),2)</f>
        <v/>
      </c>
      <c r="H76" s="27">
        <f>MIN((I75)+G76,MAX(0,$C76-(E76)))</f>
        <v/>
      </c>
      <c r="I76" s="27">
        <f>ROUND(MAX(0,(I75)+G76-H76),2)</f>
        <v/>
      </c>
      <c r="J76" s="27">
        <f>ROUND((L75)*(IF('Your Debts'!$G$7=0,0,INDEX('Your Debts'!$C$5:$C$12,'Your Debts'!$G$7)/12)),2)</f>
        <v/>
      </c>
      <c r="K76" s="27">
        <f>MIN((L75)+J76,MAX(0,$C76-(E76+H76)))</f>
        <v/>
      </c>
      <c r="L76" s="27">
        <f>ROUND(MAX(0,(L75)+J76-K76),2)</f>
        <v/>
      </c>
      <c r="M76" s="27">
        <f>ROUND((O75)*(IF('Your Debts'!$G$8=0,0,INDEX('Your Debts'!$C$5:$C$12,'Your Debts'!$G$8)/12)),2)</f>
        <v/>
      </c>
      <c r="N76" s="27">
        <f>MIN((O75)+M76,MAX(0,$C76-(E76+H76+K76)))</f>
        <v/>
      </c>
      <c r="O76" s="27">
        <f>ROUND(MAX(0,(O75)+M76-N76),2)</f>
        <v/>
      </c>
      <c r="P76" s="27">
        <f>ROUND((R75)*(IF('Your Debts'!$G$9=0,0,INDEX('Your Debts'!$C$5:$C$12,'Your Debts'!$G$9)/12)),2)</f>
        <v/>
      </c>
      <c r="Q76" s="27">
        <f>MIN((R75)+P76,MAX(0,$C76-(E76+H76+K76+N76)))</f>
        <v/>
      </c>
      <c r="R76" s="27">
        <f>ROUND(MAX(0,(R75)+P76-Q76),2)</f>
        <v/>
      </c>
      <c r="S76" s="27">
        <f>ROUND((U75)*(IF('Your Debts'!$G$10=0,0,INDEX('Your Debts'!$C$5:$C$12,'Your Debts'!$G$10)/12)),2)</f>
        <v/>
      </c>
      <c r="T76" s="27">
        <f>MIN((U75)+S76,MAX(0,$C76-(E76+H76+K76+N76+Q76)))</f>
        <v/>
      </c>
      <c r="U76" s="27">
        <f>ROUND(MAX(0,(U75)+S76-T76),2)</f>
        <v/>
      </c>
      <c r="V76" s="27">
        <f>ROUND((X75)*(IF('Your Debts'!$G$11=0,0,INDEX('Your Debts'!$C$5:$C$12,'Your Debts'!$G$11)/12)),2)</f>
        <v/>
      </c>
      <c r="W76" s="27">
        <f>MIN((X75)+V76,MAX(0,$C76-(E76+H76+K76+N76+Q76+T76)))</f>
        <v/>
      </c>
      <c r="X76" s="27">
        <f>ROUND(MAX(0,(X75)+V76-W76),2)</f>
        <v/>
      </c>
      <c r="Y76" s="27">
        <f>ROUND((AA75)*(IF('Your Debts'!$G$12=0,0,INDEX('Your Debts'!$C$5:$C$12,'Your Debts'!$G$12)/12)),2)</f>
        <v/>
      </c>
      <c r="Z76" s="27">
        <f>MIN((AA75)+Y76,MAX(0,$C76-(E76+H76+K76+N76+Q76+T76+W76)))</f>
        <v/>
      </c>
      <c r="AA76" s="27">
        <f>ROUND(MAX(0,(AA75)+Y76-Z76),2)</f>
        <v/>
      </c>
      <c r="AB76" s="18">
        <f>F76+I76+L76+O76+R76+U76+X76+AA76</f>
        <v/>
      </c>
      <c r="AC76" s="26">
        <f>AC75+D76+G76+J76+M76+P76+S76+V76+Y76</f>
        <v/>
      </c>
    </row>
    <row r="77">
      <c r="A77" s="24" t="n">
        <v>72</v>
      </c>
      <c r="B77" s="25">
        <f>EDATE('Your Debts'!$B$19,71)</f>
        <v/>
      </c>
      <c r="C77" s="26">
        <f>'Your Debts'!$B$18</f>
        <v/>
      </c>
      <c r="D77" s="27">
        <f>ROUND((F76)*(IF('Your Debts'!$G$5=0,0,INDEX('Your Debts'!$C$5:$C$12,'Your Debts'!$G$5)/12)),2)</f>
        <v/>
      </c>
      <c r="E77" s="27">
        <f>MIN((F76)+D77,MAX(0,$C77-(0)))</f>
        <v/>
      </c>
      <c r="F77" s="27">
        <f>ROUND(MAX(0,(F76)+D77-E77),2)</f>
        <v/>
      </c>
      <c r="G77" s="27">
        <f>ROUND((I76)*(IF('Your Debts'!$G$6=0,0,INDEX('Your Debts'!$C$5:$C$12,'Your Debts'!$G$6)/12)),2)</f>
        <v/>
      </c>
      <c r="H77" s="27">
        <f>MIN((I76)+G77,MAX(0,$C77-(E77)))</f>
        <v/>
      </c>
      <c r="I77" s="27">
        <f>ROUND(MAX(0,(I76)+G77-H77),2)</f>
        <v/>
      </c>
      <c r="J77" s="27">
        <f>ROUND((L76)*(IF('Your Debts'!$G$7=0,0,INDEX('Your Debts'!$C$5:$C$12,'Your Debts'!$G$7)/12)),2)</f>
        <v/>
      </c>
      <c r="K77" s="27">
        <f>MIN((L76)+J77,MAX(0,$C77-(E77+H77)))</f>
        <v/>
      </c>
      <c r="L77" s="27">
        <f>ROUND(MAX(0,(L76)+J77-K77),2)</f>
        <v/>
      </c>
      <c r="M77" s="27">
        <f>ROUND((O76)*(IF('Your Debts'!$G$8=0,0,INDEX('Your Debts'!$C$5:$C$12,'Your Debts'!$G$8)/12)),2)</f>
        <v/>
      </c>
      <c r="N77" s="27">
        <f>MIN((O76)+M77,MAX(0,$C77-(E77+H77+K77)))</f>
        <v/>
      </c>
      <c r="O77" s="27">
        <f>ROUND(MAX(0,(O76)+M77-N77),2)</f>
        <v/>
      </c>
      <c r="P77" s="27">
        <f>ROUND((R76)*(IF('Your Debts'!$G$9=0,0,INDEX('Your Debts'!$C$5:$C$12,'Your Debts'!$G$9)/12)),2)</f>
        <v/>
      </c>
      <c r="Q77" s="27">
        <f>MIN((R76)+P77,MAX(0,$C77-(E77+H77+K77+N77)))</f>
        <v/>
      </c>
      <c r="R77" s="27">
        <f>ROUND(MAX(0,(R76)+P77-Q77),2)</f>
        <v/>
      </c>
      <c r="S77" s="27">
        <f>ROUND((U76)*(IF('Your Debts'!$G$10=0,0,INDEX('Your Debts'!$C$5:$C$12,'Your Debts'!$G$10)/12)),2)</f>
        <v/>
      </c>
      <c r="T77" s="27">
        <f>MIN((U76)+S77,MAX(0,$C77-(E77+H77+K77+N77+Q77)))</f>
        <v/>
      </c>
      <c r="U77" s="27">
        <f>ROUND(MAX(0,(U76)+S77-T77),2)</f>
        <v/>
      </c>
      <c r="V77" s="27">
        <f>ROUND((X76)*(IF('Your Debts'!$G$11=0,0,INDEX('Your Debts'!$C$5:$C$12,'Your Debts'!$G$11)/12)),2)</f>
        <v/>
      </c>
      <c r="W77" s="27">
        <f>MIN((X76)+V77,MAX(0,$C77-(E77+H77+K77+N77+Q77+T77)))</f>
        <v/>
      </c>
      <c r="X77" s="27">
        <f>ROUND(MAX(0,(X76)+V77-W77),2)</f>
        <v/>
      </c>
      <c r="Y77" s="27">
        <f>ROUND((AA76)*(IF('Your Debts'!$G$12=0,0,INDEX('Your Debts'!$C$5:$C$12,'Your Debts'!$G$12)/12)),2)</f>
        <v/>
      </c>
      <c r="Z77" s="27">
        <f>MIN((AA76)+Y77,MAX(0,$C77-(E77+H77+K77+N77+Q77+T77+W77)))</f>
        <v/>
      </c>
      <c r="AA77" s="27">
        <f>ROUND(MAX(0,(AA76)+Y77-Z77),2)</f>
        <v/>
      </c>
      <c r="AB77" s="18">
        <f>F77+I77+L77+O77+R77+U77+X77+AA77</f>
        <v/>
      </c>
      <c r="AC77" s="26">
        <f>AC76+D77+G77+J77+M77+P77+S77+V77+Y77</f>
        <v/>
      </c>
    </row>
    <row r="78">
      <c r="A78" s="24" t="n">
        <v>73</v>
      </c>
      <c r="B78" s="25">
        <f>EDATE('Your Debts'!$B$19,72)</f>
        <v/>
      </c>
      <c r="C78" s="26">
        <f>'Your Debts'!$B$18</f>
        <v/>
      </c>
      <c r="D78" s="27">
        <f>ROUND((F77)*(IF('Your Debts'!$G$5=0,0,INDEX('Your Debts'!$C$5:$C$12,'Your Debts'!$G$5)/12)),2)</f>
        <v/>
      </c>
      <c r="E78" s="27">
        <f>MIN((F77)+D78,MAX(0,$C78-(0)))</f>
        <v/>
      </c>
      <c r="F78" s="27">
        <f>ROUND(MAX(0,(F77)+D78-E78),2)</f>
        <v/>
      </c>
      <c r="G78" s="27">
        <f>ROUND((I77)*(IF('Your Debts'!$G$6=0,0,INDEX('Your Debts'!$C$5:$C$12,'Your Debts'!$G$6)/12)),2)</f>
        <v/>
      </c>
      <c r="H78" s="27">
        <f>MIN((I77)+G78,MAX(0,$C78-(E78)))</f>
        <v/>
      </c>
      <c r="I78" s="27">
        <f>ROUND(MAX(0,(I77)+G78-H78),2)</f>
        <v/>
      </c>
      <c r="J78" s="27">
        <f>ROUND((L77)*(IF('Your Debts'!$G$7=0,0,INDEX('Your Debts'!$C$5:$C$12,'Your Debts'!$G$7)/12)),2)</f>
        <v/>
      </c>
      <c r="K78" s="27">
        <f>MIN((L77)+J78,MAX(0,$C78-(E78+H78)))</f>
        <v/>
      </c>
      <c r="L78" s="27">
        <f>ROUND(MAX(0,(L77)+J78-K78),2)</f>
        <v/>
      </c>
      <c r="M78" s="27">
        <f>ROUND((O77)*(IF('Your Debts'!$G$8=0,0,INDEX('Your Debts'!$C$5:$C$12,'Your Debts'!$G$8)/12)),2)</f>
        <v/>
      </c>
      <c r="N78" s="27">
        <f>MIN((O77)+M78,MAX(0,$C78-(E78+H78+K78)))</f>
        <v/>
      </c>
      <c r="O78" s="27">
        <f>ROUND(MAX(0,(O77)+M78-N78),2)</f>
        <v/>
      </c>
      <c r="P78" s="27">
        <f>ROUND((R77)*(IF('Your Debts'!$G$9=0,0,INDEX('Your Debts'!$C$5:$C$12,'Your Debts'!$G$9)/12)),2)</f>
        <v/>
      </c>
      <c r="Q78" s="27">
        <f>MIN((R77)+P78,MAX(0,$C78-(E78+H78+K78+N78)))</f>
        <v/>
      </c>
      <c r="R78" s="27">
        <f>ROUND(MAX(0,(R77)+P78-Q78),2)</f>
        <v/>
      </c>
      <c r="S78" s="27">
        <f>ROUND((U77)*(IF('Your Debts'!$G$10=0,0,INDEX('Your Debts'!$C$5:$C$12,'Your Debts'!$G$10)/12)),2)</f>
        <v/>
      </c>
      <c r="T78" s="27">
        <f>MIN((U77)+S78,MAX(0,$C78-(E78+H78+K78+N78+Q78)))</f>
        <v/>
      </c>
      <c r="U78" s="27">
        <f>ROUND(MAX(0,(U77)+S78-T78),2)</f>
        <v/>
      </c>
      <c r="V78" s="27">
        <f>ROUND((X77)*(IF('Your Debts'!$G$11=0,0,INDEX('Your Debts'!$C$5:$C$12,'Your Debts'!$G$11)/12)),2)</f>
        <v/>
      </c>
      <c r="W78" s="27">
        <f>MIN((X77)+V78,MAX(0,$C78-(E78+H78+K78+N78+Q78+T78)))</f>
        <v/>
      </c>
      <c r="X78" s="27">
        <f>ROUND(MAX(0,(X77)+V78-W78),2)</f>
        <v/>
      </c>
      <c r="Y78" s="27">
        <f>ROUND((AA77)*(IF('Your Debts'!$G$12=0,0,INDEX('Your Debts'!$C$5:$C$12,'Your Debts'!$G$12)/12)),2)</f>
        <v/>
      </c>
      <c r="Z78" s="27">
        <f>MIN((AA77)+Y78,MAX(0,$C78-(E78+H78+K78+N78+Q78+T78+W78)))</f>
        <v/>
      </c>
      <c r="AA78" s="27">
        <f>ROUND(MAX(0,(AA77)+Y78-Z78),2)</f>
        <v/>
      </c>
      <c r="AB78" s="18">
        <f>F78+I78+L78+O78+R78+U78+X78+AA78</f>
        <v/>
      </c>
      <c r="AC78" s="26">
        <f>AC77+D78+G78+J78+M78+P78+S78+V78+Y78</f>
        <v/>
      </c>
    </row>
    <row r="79">
      <c r="A79" s="24" t="n">
        <v>74</v>
      </c>
      <c r="B79" s="25">
        <f>EDATE('Your Debts'!$B$19,73)</f>
        <v/>
      </c>
      <c r="C79" s="26">
        <f>'Your Debts'!$B$18</f>
        <v/>
      </c>
      <c r="D79" s="27">
        <f>ROUND((F78)*(IF('Your Debts'!$G$5=0,0,INDEX('Your Debts'!$C$5:$C$12,'Your Debts'!$G$5)/12)),2)</f>
        <v/>
      </c>
      <c r="E79" s="27">
        <f>MIN((F78)+D79,MAX(0,$C79-(0)))</f>
        <v/>
      </c>
      <c r="F79" s="27">
        <f>ROUND(MAX(0,(F78)+D79-E79),2)</f>
        <v/>
      </c>
      <c r="G79" s="27">
        <f>ROUND((I78)*(IF('Your Debts'!$G$6=0,0,INDEX('Your Debts'!$C$5:$C$12,'Your Debts'!$G$6)/12)),2)</f>
        <v/>
      </c>
      <c r="H79" s="27">
        <f>MIN((I78)+G79,MAX(0,$C79-(E79)))</f>
        <v/>
      </c>
      <c r="I79" s="27">
        <f>ROUND(MAX(0,(I78)+G79-H79),2)</f>
        <v/>
      </c>
      <c r="J79" s="27">
        <f>ROUND((L78)*(IF('Your Debts'!$G$7=0,0,INDEX('Your Debts'!$C$5:$C$12,'Your Debts'!$G$7)/12)),2)</f>
        <v/>
      </c>
      <c r="K79" s="27">
        <f>MIN((L78)+J79,MAX(0,$C79-(E79+H79)))</f>
        <v/>
      </c>
      <c r="L79" s="27">
        <f>ROUND(MAX(0,(L78)+J79-K79),2)</f>
        <v/>
      </c>
      <c r="M79" s="27">
        <f>ROUND((O78)*(IF('Your Debts'!$G$8=0,0,INDEX('Your Debts'!$C$5:$C$12,'Your Debts'!$G$8)/12)),2)</f>
        <v/>
      </c>
      <c r="N79" s="27">
        <f>MIN((O78)+M79,MAX(0,$C79-(E79+H79+K79)))</f>
        <v/>
      </c>
      <c r="O79" s="27">
        <f>ROUND(MAX(0,(O78)+M79-N79),2)</f>
        <v/>
      </c>
      <c r="P79" s="27">
        <f>ROUND((R78)*(IF('Your Debts'!$G$9=0,0,INDEX('Your Debts'!$C$5:$C$12,'Your Debts'!$G$9)/12)),2)</f>
        <v/>
      </c>
      <c r="Q79" s="27">
        <f>MIN((R78)+P79,MAX(0,$C79-(E79+H79+K79+N79)))</f>
        <v/>
      </c>
      <c r="R79" s="27">
        <f>ROUND(MAX(0,(R78)+P79-Q79),2)</f>
        <v/>
      </c>
      <c r="S79" s="27">
        <f>ROUND((U78)*(IF('Your Debts'!$G$10=0,0,INDEX('Your Debts'!$C$5:$C$12,'Your Debts'!$G$10)/12)),2)</f>
        <v/>
      </c>
      <c r="T79" s="27">
        <f>MIN((U78)+S79,MAX(0,$C79-(E79+H79+K79+N79+Q79)))</f>
        <v/>
      </c>
      <c r="U79" s="27">
        <f>ROUND(MAX(0,(U78)+S79-T79),2)</f>
        <v/>
      </c>
      <c r="V79" s="27">
        <f>ROUND((X78)*(IF('Your Debts'!$G$11=0,0,INDEX('Your Debts'!$C$5:$C$12,'Your Debts'!$G$11)/12)),2)</f>
        <v/>
      </c>
      <c r="W79" s="27">
        <f>MIN((X78)+V79,MAX(0,$C79-(E79+H79+K79+N79+Q79+T79)))</f>
        <v/>
      </c>
      <c r="X79" s="27">
        <f>ROUND(MAX(0,(X78)+V79-W79),2)</f>
        <v/>
      </c>
      <c r="Y79" s="27">
        <f>ROUND((AA78)*(IF('Your Debts'!$G$12=0,0,INDEX('Your Debts'!$C$5:$C$12,'Your Debts'!$G$12)/12)),2)</f>
        <v/>
      </c>
      <c r="Z79" s="27">
        <f>MIN((AA78)+Y79,MAX(0,$C79-(E79+H79+K79+N79+Q79+T79+W79)))</f>
        <v/>
      </c>
      <c r="AA79" s="27">
        <f>ROUND(MAX(0,(AA78)+Y79-Z79),2)</f>
        <v/>
      </c>
      <c r="AB79" s="18">
        <f>F79+I79+L79+O79+R79+U79+X79+AA79</f>
        <v/>
      </c>
      <c r="AC79" s="26">
        <f>AC78+D79+G79+J79+M79+P79+S79+V79+Y79</f>
        <v/>
      </c>
    </row>
    <row r="80">
      <c r="A80" s="24" t="n">
        <v>75</v>
      </c>
      <c r="B80" s="25">
        <f>EDATE('Your Debts'!$B$19,74)</f>
        <v/>
      </c>
      <c r="C80" s="26">
        <f>'Your Debts'!$B$18</f>
        <v/>
      </c>
      <c r="D80" s="27">
        <f>ROUND((F79)*(IF('Your Debts'!$G$5=0,0,INDEX('Your Debts'!$C$5:$C$12,'Your Debts'!$G$5)/12)),2)</f>
        <v/>
      </c>
      <c r="E80" s="27">
        <f>MIN((F79)+D80,MAX(0,$C80-(0)))</f>
        <v/>
      </c>
      <c r="F80" s="27">
        <f>ROUND(MAX(0,(F79)+D80-E80),2)</f>
        <v/>
      </c>
      <c r="G80" s="27">
        <f>ROUND((I79)*(IF('Your Debts'!$G$6=0,0,INDEX('Your Debts'!$C$5:$C$12,'Your Debts'!$G$6)/12)),2)</f>
        <v/>
      </c>
      <c r="H80" s="27">
        <f>MIN((I79)+G80,MAX(0,$C80-(E80)))</f>
        <v/>
      </c>
      <c r="I80" s="27">
        <f>ROUND(MAX(0,(I79)+G80-H80),2)</f>
        <v/>
      </c>
      <c r="J80" s="27">
        <f>ROUND((L79)*(IF('Your Debts'!$G$7=0,0,INDEX('Your Debts'!$C$5:$C$12,'Your Debts'!$G$7)/12)),2)</f>
        <v/>
      </c>
      <c r="K80" s="27">
        <f>MIN((L79)+J80,MAX(0,$C80-(E80+H80)))</f>
        <v/>
      </c>
      <c r="L80" s="27">
        <f>ROUND(MAX(0,(L79)+J80-K80),2)</f>
        <v/>
      </c>
      <c r="M80" s="27">
        <f>ROUND((O79)*(IF('Your Debts'!$G$8=0,0,INDEX('Your Debts'!$C$5:$C$12,'Your Debts'!$G$8)/12)),2)</f>
        <v/>
      </c>
      <c r="N80" s="27">
        <f>MIN((O79)+M80,MAX(0,$C80-(E80+H80+K80)))</f>
        <v/>
      </c>
      <c r="O80" s="27">
        <f>ROUND(MAX(0,(O79)+M80-N80),2)</f>
        <v/>
      </c>
      <c r="P80" s="27">
        <f>ROUND((R79)*(IF('Your Debts'!$G$9=0,0,INDEX('Your Debts'!$C$5:$C$12,'Your Debts'!$G$9)/12)),2)</f>
        <v/>
      </c>
      <c r="Q80" s="27">
        <f>MIN((R79)+P80,MAX(0,$C80-(E80+H80+K80+N80)))</f>
        <v/>
      </c>
      <c r="R80" s="27">
        <f>ROUND(MAX(0,(R79)+P80-Q80),2)</f>
        <v/>
      </c>
      <c r="S80" s="27">
        <f>ROUND((U79)*(IF('Your Debts'!$G$10=0,0,INDEX('Your Debts'!$C$5:$C$12,'Your Debts'!$G$10)/12)),2)</f>
        <v/>
      </c>
      <c r="T80" s="27">
        <f>MIN((U79)+S80,MAX(0,$C80-(E80+H80+K80+N80+Q80)))</f>
        <v/>
      </c>
      <c r="U80" s="27">
        <f>ROUND(MAX(0,(U79)+S80-T80),2)</f>
        <v/>
      </c>
      <c r="V80" s="27">
        <f>ROUND((X79)*(IF('Your Debts'!$G$11=0,0,INDEX('Your Debts'!$C$5:$C$12,'Your Debts'!$G$11)/12)),2)</f>
        <v/>
      </c>
      <c r="W80" s="27">
        <f>MIN((X79)+V80,MAX(0,$C80-(E80+H80+K80+N80+Q80+T80)))</f>
        <v/>
      </c>
      <c r="X80" s="27">
        <f>ROUND(MAX(0,(X79)+V80-W80),2)</f>
        <v/>
      </c>
      <c r="Y80" s="27">
        <f>ROUND((AA79)*(IF('Your Debts'!$G$12=0,0,INDEX('Your Debts'!$C$5:$C$12,'Your Debts'!$G$12)/12)),2)</f>
        <v/>
      </c>
      <c r="Z80" s="27">
        <f>MIN((AA79)+Y80,MAX(0,$C80-(E80+H80+K80+N80+Q80+T80+W80)))</f>
        <v/>
      </c>
      <c r="AA80" s="27">
        <f>ROUND(MAX(0,(AA79)+Y80-Z80),2)</f>
        <v/>
      </c>
      <c r="AB80" s="18">
        <f>F80+I80+L80+O80+R80+U80+X80+AA80</f>
        <v/>
      </c>
      <c r="AC80" s="26">
        <f>AC79+D80+G80+J80+M80+P80+S80+V80+Y80</f>
        <v/>
      </c>
    </row>
    <row r="81">
      <c r="A81" s="24" t="n">
        <v>76</v>
      </c>
      <c r="B81" s="25">
        <f>EDATE('Your Debts'!$B$19,75)</f>
        <v/>
      </c>
      <c r="C81" s="26">
        <f>'Your Debts'!$B$18</f>
        <v/>
      </c>
      <c r="D81" s="27">
        <f>ROUND((F80)*(IF('Your Debts'!$G$5=0,0,INDEX('Your Debts'!$C$5:$C$12,'Your Debts'!$G$5)/12)),2)</f>
        <v/>
      </c>
      <c r="E81" s="27">
        <f>MIN((F80)+D81,MAX(0,$C81-(0)))</f>
        <v/>
      </c>
      <c r="F81" s="27">
        <f>ROUND(MAX(0,(F80)+D81-E81),2)</f>
        <v/>
      </c>
      <c r="G81" s="27">
        <f>ROUND((I80)*(IF('Your Debts'!$G$6=0,0,INDEX('Your Debts'!$C$5:$C$12,'Your Debts'!$G$6)/12)),2)</f>
        <v/>
      </c>
      <c r="H81" s="27">
        <f>MIN((I80)+G81,MAX(0,$C81-(E81)))</f>
        <v/>
      </c>
      <c r="I81" s="27">
        <f>ROUND(MAX(0,(I80)+G81-H81),2)</f>
        <v/>
      </c>
      <c r="J81" s="27">
        <f>ROUND((L80)*(IF('Your Debts'!$G$7=0,0,INDEX('Your Debts'!$C$5:$C$12,'Your Debts'!$G$7)/12)),2)</f>
        <v/>
      </c>
      <c r="K81" s="27">
        <f>MIN((L80)+J81,MAX(0,$C81-(E81+H81)))</f>
        <v/>
      </c>
      <c r="L81" s="27">
        <f>ROUND(MAX(0,(L80)+J81-K81),2)</f>
        <v/>
      </c>
      <c r="M81" s="27">
        <f>ROUND((O80)*(IF('Your Debts'!$G$8=0,0,INDEX('Your Debts'!$C$5:$C$12,'Your Debts'!$G$8)/12)),2)</f>
        <v/>
      </c>
      <c r="N81" s="27">
        <f>MIN((O80)+M81,MAX(0,$C81-(E81+H81+K81)))</f>
        <v/>
      </c>
      <c r="O81" s="27">
        <f>ROUND(MAX(0,(O80)+M81-N81),2)</f>
        <v/>
      </c>
      <c r="P81" s="27">
        <f>ROUND((R80)*(IF('Your Debts'!$G$9=0,0,INDEX('Your Debts'!$C$5:$C$12,'Your Debts'!$G$9)/12)),2)</f>
        <v/>
      </c>
      <c r="Q81" s="27">
        <f>MIN((R80)+P81,MAX(0,$C81-(E81+H81+K81+N81)))</f>
        <v/>
      </c>
      <c r="R81" s="27">
        <f>ROUND(MAX(0,(R80)+P81-Q81),2)</f>
        <v/>
      </c>
      <c r="S81" s="27">
        <f>ROUND((U80)*(IF('Your Debts'!$G$10=0,0,INDEX('Your Debts'!$C$5:$C$12,'Your Debts'!$G$10)/12)),2)</f>
        <v/>
      </c>
      <c r="T81" s="27">
        <f>MIN((U80)+S81,MAX(0,$C81-(E81+H81+K81+N81+Q81)))</f>
        <v/>
      </c>
      <c r="U81" s="27">
        <f>ROUND(MAX(0,(U80)+S81-T81),2)</f>
        <v/>
      </c>
      <c r="V81" s="27">
        <f>ROUND((X80)*(IF('Your Debts'!$G$11=0,0,INDEX('Your Debts'!$C$5:$C$12,'Your Debts'!$G$11)/12)),2)</f>
        <v/>
      </c>
      <c r="W81" s="27">
        <f>MIN((X80)+V81,MAX(0,$C81-(E81+H81+K81+N81+Q81+T81)))</f>
        <v/>
      </c>
      <c r="X81" s="27">
        <f>ROUND(MAX(0,(X80)+V81-W81),2)</f>
        <v/>
      </c>
      <c r="Y81" s="27">
        <f>ROUND((AA80)*(IF('Your Debts'!$G$12=0,0,INDEX('Your Debts'!$C$5:$C$12,'Your Debts'!$G$12)/12)),2)</f>
        <v/>
      </c>
      <c r="Z81" s="27">
        <f>MIN((AA80)+Y81,MAX(0,$C81-(E81+H81+K81+N81+Q81+T81+W81)))</f>
        <v/>
      </c>
      <c r="AA81" s="27">
        <f>ROUND(MAX(0,(AA80)+Y81-Z81),2)</f>
        <v/>
      </c>
      <c r="AB81" s="18">
        <f>F81+I81+L81+O81+R81+U81+X81+AA81</f>
        <v/>
      </c>
      <c r="AC81" s="26">
        <f>AC80+D81+G81+J81+M81+P81+S81+V81+Y81</f>
        <v/>
      </c>
    </row>
    <row r="82">
      <c r="A82" s="24" t="n">
        <v>77</v>
      </c>
      <c r="B82" s="25">
        <f>EDATE('Your Debts'!$B$19,76)</f>
        <v/>
      </c>
      <c r="C82" s="26">
        <f>'Your Debts'!$B$18</f>
        <v/>
      </c>
      <c r="D82" s="27">
        <f>ROUND((F81)*(IF('Your Debts'!$G$5=0,0,INDEX('Your Debts'!$C$5:$C$12,'Your Debts'!$G$5)/12)),2)</f>
        <v/>
      </c>
      <c r="E82" s="27">
        <f>MIN((F81)+D82,MAX(0,$C82-(0)))</f>
        <v/>
      </c>
      <c r="F82" s="27">
        <f>ROUND(MAX(0,(F81)+D82-E82),2)</f>
        <v/>
      </c>
      <c r="G82" s="27">
        <f>ROUND((I81)*(IF('Your Debts'!$G$6=0,0,INDEX('Your Debts'!$C$5:$C$12,'Your Debts'!$G$6)/12)),2)</f>
        <v/>
      </c>
      <c r="H82" s="27">
        <f>MIN((I81)+G82,MAX(0,$C82-(E82)))</f>
        <v/>
      </c>
      <c r="I82" s="27">
        <f>ROUND(MAX(0,(I81)+G82-H82),2)</f>
        <v/>
      </c>
      <c r="J82" s="27">
        <f>ROUND((L81)*(IF('Your Debts'!$G$7=0,0,INDEX('Your Debts'!$C$5:$C$12,'Your Debts'!$G$7)/12)),2)</f>
        <v/>
      </c>
      <c r="K82" s="27">
        <f>MIN((L81)+J82,MAX(0,$C82-(E82+H82)))</f>
        <v/>
      </c>
      <c r="L82" s="27">
        <f>ROUND(MAX(0,(L81)+J82-K82),2)</f>
        <v/>
      </c>
      <c r="M82" s="27">
        <f>ROUND((O81)*(IF('Your Debts'!$G$8=0,0,INDEX('Your Debts'!$C$5:$C$12,'Your Debts'!$G$8)/12)),2)</f>
        <v/>
      </c>
      <c r="N82" s="27">
        <f>MIN((O81)+M82,MAX(0,$C82-(E82+H82+K82)))</f>
        <v/>
      </c>
      <c r="O82" s="27">
        <f>ROUND(MAX(0,(O81)+M82-N82),2)</f>
        <v/>
      </c>
      <c r="P82" s="27">
        <f>ROUND((R81)*(IF('Your Debts'!$G$9=0,0,INDEX('Your Debts'!$C$5:$C$12,'Your Debts'!$G$9)/12)),2)</f>
        <v/>
      </c>
      <c r="Q82" s="27">
        <f>MIN((R81)+P82,MAX(0,$C82-(E82+H82+K82+N82)))</f>
        <v/>
      </c>
      <c r="R82" s="27">
        <f>ROUND(MAX(0,(R81)+P82-Q82),2)</f>
        <v/>
      </c>
      <c r="S82" s="27">
        <f>ROUND((U81)*(IF('Your Debts'!$G$10=0,0,INDEX('Your Debts'!$C$5:$C$12,'Your Debts'!$G$10)/12)),2)</f>
        <v/>
      </c>
      <c r="T82" s="27">
        <f>MIN((U81)+S82,MAX(0,$C82-(E82+H82+K82+N82+Q82)))</f>
        <v/>
      </c>
      <c r="U82" s="27">
        <f>ROUND(MAX(0,(U81)+S82-T82),2)</f>
        <v/>
      </c>
      <c r="V82" s="27">
        <f>ROUND((X81)*(IF('Your Debts'!$G$11=0,0,INDEX('Your Debts'!$C$5:$C$12,'Your Debts'!$G$11)/12)),2)</f>
        <v/>
      </c>
      <c r="W82" s="27">
        <f>MIN((X81)+V82,MAX(0,$C82-(E82+H82+K82+N82+Q82+T82)))</f>
        <v/>
      </c>
      <c r="X82" s="27">
        <f>ROUND(MAX(0,(X81)+V82-W82),2)</f>
        <v/>
      </c>
      <c r="Y82" s="27">
        <f>ROUND((AA81)*(IF('Your Debts'!$G$12=0,0,INDEX('Your Debts'!$C$5:$C$12,'Your Debts'!$G$12)/12)),2)</f>
        <v/>
      </c>
      <c r="Z82" s="27">
        <f>MIN((AA81)+Y82,MAX(0,$C82-(E82+H82+K82+N82+Q82+T82+W82)))</f>
        <v/>
      </c>
      <c r="AA82" s="27">
        <f>ROUND(MAX(0,(AA81)+Y82-Z82),2)</f>
        <v/>
      </c>
      <c r="AB82" s="18">
        <f>F82+I82+L82+O82+R82+U82+X82+AA82</f>
        <v/>
      </c>
      <c r="AC82" s="26">
        <f>AC81+D82+G82+J82+M82+P82+S82+V82+Y82</f>
        <v/>
      </c>
    </row>
    <row r="83">
      <c r="A83" s="24" t="n">
        <v>78</v>
      </c>
      <c r="B83" s="25">
        <f>EDATE('Your Debts'!$B$19,77)</f>
        <v/>
      </c>
      <c r="C83" s="26">
        <f>'Your Debts'!$B$18</f>
        <v/>
      </c>
      <c r="D83" s="27">
        <f>ROUND((F82)*(IF('Your Debts'!$G$5=0,0,INDEX('Your Debts'!$C$5:$C$12,'Your Debts'!$G$5)/12)),2)</f>
        <v/>
      </c>
      <c r="E83" s="27">
        <f>MIN((F82)+D83,MAX(0,$C83-(0)))</f>
        <v/>
      </c>
      <c r="F83" s="27">
        <f>ROUND(MAX(0,(F82)+D83-E83),2)</f>
        <v/>
      </c>
      <c r="G83" s="27">
        <f>ROUND((I82)*(IF('Your Debts'!$G$6=0,0,INDEX('Your Debts'!$C$5:$C$12,'Your Debts'!$G$6)/12)),2)</f>
        <v/>
      </c>
      <c r="H83" s="27">
        <f>MIN((I82)+G83,MAX(0,$C83-(E83)))</f>
        <v/>
      </c>
      <c r="I83" s="27">
        <f>ROUND(MAX(0,(I82)+G83-H83),2)</f>
        <v/>
      </c>
      <c r="J83" s="27">
        <f>ROUND((L82)*(IF('Your Debts'!$G$7=0,0,INDEX('Your Debts'!$C$5:$C$12,'Your Debts'!$G$7)/12)),2)</f>
        <v/>
      </c>
      <c r="K83" s="27">
        <f>MIN((L82)+J83,MAX(0,$C83-(E83+H83)))</f>
        <v/>
      </c>
      <c r="L83" s="27">
        <f>ROUND(MAX(0,(L82)+J83-K83),2)</f>
        <v/>
      </c>
      <c r="M83" s="27">
        <f>ROUND((O82)*(IF('Your Debts'!$G$8=0,0,INDEX('Your Debts'!$C$5:$C$12,'Your Debts'!$G$8)/12)),2)</f>
        <v/>
      </c>
      <c r="N83" s="27">
        <f>MIN((O82)+M83,MAX(0,$C83-(E83+H83+K83)))</f>
        <v/>
      </c>
      <c r="O83" s="27">
        <f>ROUND(MAX(0,(O82)+M83-N83),2)</f>
        <v/>
      </c>
      <c r="P83" s="27">
        <f>ROUND((R82)*(IF('Your Debts'!$G$9=0,0,INDEX('Your Debts'!$C$5:$C$12,'Your Debts'!$G$9)/12)),2)</f>
        <v/>
      </c>
      <c r="Q83" s="27">
        <f>MIN((R82)+P83,MAX(0,$C83-(E83+H83+K83+N83)))</f>
        <v/>
      </c>
      <c r="R83" s="27">
        <f>ROUND(MAX(0,(R82)+P83-Q83),2)</f>
        <v/>
      </c>
      <c r="S83" s="27">
        <f>ROUND((U82)*(IF('Your Debts'!$G$10=0,0,INDEX('Your Debts'!$C$5:$C$12,'Your Debts'!$G$10)/12)),2)</f>
        <v/>
      </c>
      <c r="T83" s="27">
        <f>MIN((U82)+S83,MAX(0,$C83-(E83+H83+K83+N83+Q83)))</f>
        <v/>
      </c>
      <c r="U83" s="27">
        <f>ROUND(MAX(0,(U82)+S83-T83),2)</f>
        <v/>
      </c>
      <c r="V83" s="27">
        <f>ROUND((X82)*(IF('Your Debts'!$G$11=0,0,INDEX('Your Debts'!$C$5:$C$12,'Your Debts'!$G$11)/12)),2)</f>
        <v/>
      </c>
      <c r="W83" s="27">
        <f>MIN((X82)+V83,MAX(0,$C83-(E83+H83+K83+N83+Q83+T83)))</f>
        <v/>
      </c>
      <c r="X83" s="27">
        <f>ROUND(MAX(0,(X82)+V83-W83),2)</f>
        <v/>
      </c>
      <c r="Y83" s="27">
        <f>ROUND((AA82)*(IF('Your Debts'!$G$12=0,0,INDEX('Your Debts'!$C$5:$C$12,'Your Debts'!$G$12)/12)),2)</f>
        <v/>
      </c>
      <c r="Z83" s="27">
        <f>MIN((AA82)+Y83,MAX(0,$C83-(E83+H83+K83+N83+Q83+T83+W83)))</f>
        <v/>
      </c>
      <c r="AA83" s="27">
        <f>ROUND(MAX(0,(AA82)+Y83-Z83),2)</f>
        <v/>
      </c>
      <c r="AB83" s="18">
        <f>F83+I83+L83+O83+R83+U83+X83+AA83</f>
        <v/>
      </c>
      <c r="AC83" s="26">
        <f>AC82+D83+G83+J83+M83+P83+S83+V83+Y83</f>
        <v/>
      </c>
    </row>
    <row r="84">
      <c r="A84" s="24" t="n">
        <v>79</v>
      </c>
      <c r="B84" s="25">
        <f>EDATE('Your Debts'!$B$19,78)</f>
        <v/>
      </c>
      <c r="C84" s="26">
        <f>'Your Debts'!$B$18</f>
        <v/>
      </c>
      <c r="D84" s="27">
        <f>ROUND((F83)*(IF('Your Debts'!$G$5=0,0,INDEX('Your Debts'!$C$5:$C$12,'Your Debts'!$G$5)/12)),2)</f>
        <v/>
      </c>
      <c r="E84" s="27">
        <f>MIN((F83)+D84,MAX(0,$C84-(0)))</f>
        <v/>
      </c>
      <c r="F84" s="27">
        <f>ROUND(MAX(0,(F83)+D84-E84),2)</f>
        <v/>
      </c>
      <c r="G84" s="27">
        <f>ROUND((I83)*(IF('Your Debts'!$G$6=0,0,INDEX('Your Debts'!$C$5:$C$12,'Your Debts'!$G$6)/12)),2)</f>
        <v/>
      </c>
      <c r="H84" s="27">
        <f>MIN((I83)+G84,MAX(0,$C84-(E84)))</f>
        <v/>
      </c>
      <c r="I84" s="27">
        <f>ROUND(MAX(0,(I83)+G84-H84),2)</f>
        <v/>
      </c>
      <c r="J84" s="27">
        <f>ROUND((L83)*(IF('Your Debts'!$G$7=0,0,INDEX('Your Debts'!$C$5:$C$12,'Your Debts'!$G$7)/12)),2)</f>
        <v/>
      </c>
      <c r="K84" s="27">
        <f>MIN((L83)+J84,MAX(0,$C84-(E84+H84)))</f>
        <v/>
      </c>
      <c r="L84" s="27">
        <f>ROUND(MAX(0,(L83)+J84-K84),2)</f>
        <v/>
      </c>
      <c r="M84" s="27">
        <f>ROUND((O83)*(IF('Your Debts'!$G$8=0,0,INDEX('Your Debts'!$C$5:$C$12,'Your Debts'!$G$8)/12)),2)</f>
        <v/>
      </c>
      <c r="N84" s="27">
        <f>MIN((O83)+M84,MAX(0,$C84-(E84+H84+K84)))</f>
        <v/>
      </c>
      <c r="O84" s="27">
        <f>ROUND(MAX(0,(O83)+M84-N84),2)</f>
        <v/>
      </c>
      <c r="P84" s="27">
        <f>ROUND((R83)*(IF('Your Debts'!$G$9=0,0,INDEX('Your Debts'!$C$5:$C$12,'Your Debts'!$G$9)/12)),2)</f>
        <v/>
      </c>
      <c r="Q84" s="27">
        <f>MIN((R83)+P84,MAX(0,$C84-(E84+H84+K84+N84)))</f>
        <v/>
      </c>
      <c r="R84" s="27">
        <f>ROUND(MAX(0,(R83)+P84-Q84),2)</f>
        <v/>
      </c>
      <c r="S84" s="27">
        <f>ROUND((U83)*(IF('Your Debts'!$G$10=0,0,INDEX('Your Debts'!$C$5:$C$12,'Your Debts'!$G$10)/12)),2)</f>
        <v/>
      </c>
      <c r="T84" s="27">
        <f>MIN((U83)+S84,MAX(0,$C84-(E84+H84+K84+N84+Q84)))</f>
        <v/>
      </c>
      <c r="U84" s="27">
        <f>ROUND(MAX(0,(U83)+S84-T84),2)</f>
        <v/>
      </c>
      <c r="V84" s="27">
        <f>ROUND((X83)*(IF('Your Debts'!$G$11=0,0,INDEX('Your Debts'!$C$5:$C$12,'Your Debts'!$G$11)/12)),2)</f>
        <v/>
      </c>
      <c r="W84" s="27">
        <f>MIN((X83)+V84,MAX(0,$C84-(E84+H84+K84+N84+Q84+T84)))</f>
        <v/>
      </c>
      <c r="X84" s="27">
        <f>ROUND(MAX(0,(X83)+V84-W84),2)</f>
        <v/>
      </c>
      <c r="Y84" s="27">
        <f>ROUND((AA83)*(IF('Your Debts'!$G$12=0,0,INDEX('Your Debts'!$C$5:$C$12,'Your Debts'!$G$12)/12)),2)</f>
        <v/>
      </c>
      <c r="Z84" s="27">
        <f>MIN((AA83)+Y84,MAX(0,$C84-(E84+H84+K84+N84+Q84+T84+W84)))</f>
        <v/>
      </c>
      <c r="AA84" s="27">
        <f>ROUND(MAX(0,(AA83)+Y84-Z84),2)</f>
        <v/>
      </c>
      <c r="AB84" s="18">
        <f>F84+I84+L84+O84+R84+U84+X84+AA84</f>
        <v/>
      </c>
      <c r="AC84" s="26">
        <f>AC83+D84+G84+J84+M84+P84+S84+V84+Y84</f>
        <v/>
      </c>
    </row>
    <row r="85">
      <c r="A85" s="24" t="n">
        <v>80</v>
      </c>
      <c r="B85" s="25">
        <f>EDATE('Your Debts'!$B$19,79)</f>
        <v/>
      </c>
      <c r="C85" s="26">
        <f>'Your Debts'!$B$18</f>
        <v/>
      </c>
      <c r="D85" s="27">
        <f>ROUND((F84)*(IF('Your Debts'!$G$5=0,0,INDEX('Your Debts'!$C$5:$C$12,'Your Debts'!$G$5)/12)),2)</f>
        <v/>
      </c>
      <c r="E85" s="27">
        <f>MIN((F84)+D85,MAX(0,$C85-(0)))</f>
        <v/>
      </c>
      <c r="F85" s="27">
        <f>ROUND(MAX(0,(F84)+D85-E85),2)</f>
        <v/>
      </c>
      <c r="G85" s="27">
        <f>ROUND((I84)*(IF('Your Debts'!$G$6=0,0,INDEX('Your Debts'!$C$5:$C$12,'Your Debts'!$G$6)/12)),2)</f>
        <v/>
      </c>
      <c r="H85" s="27">
        <f>MIN((I84)+G85,MAX(0,$C85-(E85)))</f>
        <v/>
      </c>
      <c r="I85" s="27">
        <f>ROUND(MAX(0,(I84)+G85-H85),2)</f>
        <v/>
      </c>
      <c r="J85" s="27">
        <f>ROUND((L84)*(IF('Your Debts'!$G$7=0,0,INDEX('Your Debts'!$C$5:$C$12,'Your Debts'!$G$7)/12)),2)</f>
        <v/>
      </c>
      <c r="K85" s="27">
        <f>MIN((L84)+J85,MAX(0,$C85-(E85+H85)))</f>
        <v/>
      </c>
      <c r="L85" s="27">
        <f>ROUND(MAX(0,(L84)+J85-K85),2)</f>
        <v/>
      </c>
      <c r="M85" s="27">
        <f>ROUND((O84)*(IF('Your Debts'!$G$8=0,0,INDEX('Your Debts'!$C$5:$C$12,'Your Debts'!$G$8)/12)),2)</f>
        <v/>
      </c>
      <c r="N85" s="27">
        <f>MIN((O84)+M85,MAX(0,$C85-(E85+H85+K85)))</f>
        <v/>
      </c>
      <c r="O85" s="27">
        <f>ROUND(MAX(0,(O84)+M85-N85),2)</f>
        <v/>
      </c>
      <c r="P85" s="27">
        <f>ROUND((R84)*(IF('Your Debts'!$G$9=0,0,INDEX('Your Debts'!$C$5:$C$12,'Your Debts'!$G$9)/12)),2)</f>
        <v/>
      </c>
      <c r="Q85" s="27">
        <f>MIN((R84)+P85,MAX(0,$C85-(E85+H85+K85+N85)))</f>
        <v/>
      </c>
      <c r="R85" s="27">
        <f>ROUND(MAX(0,(R84)+P85-Q85),2)</f>
        <v/>
      </c>
      <c r="S85" s="27">
        <f>ROUND((U84)*(IF('Your Debts'!$G$10=0,0,INDEX('Your Debts'!$C$5:$C$12,'Your Debts'!$G$10)/12)),2)</f>
        <v/>
      </c>
      <c r="T85" s="27">
        <f>MIN((U84)+S85,MAX(0,$C85-(E85+H85+K85+N85+Q85)))</f>
        <v/>
      </c>
      <c r="U85" s="27">
        <f>ROUND(MAX(0,(U84)+S85-T85),2)</f>
        <v/>
      </c>
      <c r="V85" s="27">
        <f>ROUND((X84)*(IF('Your Debts'!$G$11=0,0,INDEX('Your Debts'!$C$5:$C$12,'Your Debts'!$G$11)/12)),2)</f>
        <v/>
      </c>
      <c r="W85" s="27">
        <f>MIN((X84)+V85,MAX(0,$C85-(E85+H85+K85+N85+Q85+T85)))</f>
        <v/>
      </c>
      <c r="X85" s="27">
        <f>ROUND(MAX(0,(X84)+V85-W85),2)</f>
        <v/>
      </c>
      <c r="Y85" s="27">
        <f>ROUND((AA84)*(IF('Your Debts'!$G$12=0,0,INDEX('Your Debts'!$C$5:$C$12,'Your Debts'!$G$12)/12)),2)</f>
        <v/>
      </c>
      <c r="Z85" s="27">
        <f>MIN((AA84)+Y85,MAX(0,$C85-(E85+H85+K85+N85+Q85+T85+W85)))</f>
        <v/>
      </c>
      <c r="AA85" s="27">
        <f>ROUND(MAX(0,(AA84)+Y85-Z85),2)</f>
        <v/>
      </c>
      <c r="AB85" s="18">
        <f>F85+I85+L85+O85+R85+U85+X85+AA85</f>
        <v/>
      </c>
      <c r="AC85" s="26">
        <f>AC84+D85+G85+J85+M85+P85+S85+V85+Y85</f>
        <v/>
      </c>
    </row>
    <row r="86">
      <c r="A86" s="24" t="n">
        <v>81</v>
      </c>
      <c r="B86" s="25">
        <f>EDATE('Your Debts'!$B$19,80)</f>
        <v/>
      </c>
      <c r="C86" s="26">
        <f>'Your Debts'!$B$18</f>
        <v/>
      </c>
      <c r="D86" s="27">
        <f>ROUND((F85)*(IF('Your Debts'!$G$5=0,0,INDEX('Your Debts'!$C$5:$C$12,'Your Debts'!$G$5)/12)),2)</f>
        <v/>
      </c>
      <c r="E86" s="27">
        <f>MIN((F85)+D86,MAX(0,$C86-(0)))</f>
        <v/>
      </c>
      <c r="F86" s="27">
        <f>ROUND(MAX(0,(F85)+D86-E86),2)</f>
        <v/>
      </c>
      <c r="G86" s="27">
        <f>ROUND((I85)*(IF('Your Debts'!$G$6=0,0,INDEX('Your Debts'!$C$5:$C$12,'Your Debts'!$G$6)/12)),2)</f>
        <v/>
      </c>
      <c r="H86" s="27">
        <f>MIN((I85)+G86,MAX(0,$C86-(E86)))</f>
        <v/>
      </c>
      <c r="I86" s="27">
        <f>ROUND(MAX(0,(I85)+G86-H86),2)</f>
        <v/>
      </c>
      <c r="J86" s="27">
        <f>ROUND((L85)*(IF('Your Debts'!$G$7=0,0,INDEX('Your Debts'!$C$5:$C$12,'Your Debts'!$G$7)/12)),2)</f>
        <v/>
      </c>
      <c r="K86" s="27">
        <f>MIN((L85)+J86,MAX(0,$C86-(E86+H86)))</f>
        <v/>
      </c>
      <c r="L86" s="27">
        <f>ROUND(MAX(0,(L85)+J86-K86),2)</f>
        <v/>
      </c>
      <c r="M86" s="27">
        <f>ROUND((O85)*(IF('Your Debts'!$G$8=0,0,INDEX('Your Debts'!$C$5:$C$12,'Your Debts'!$G$8)/12)),2)</f>
        <v/>
      </c>
      <c r="N86" s="27">
        <f>MIN((O85)+M86,MAX(0,$C86-(E86+H86+K86)))</f>
        <v/>
      </c>
      <c r="O86" s="27">
        <f>ROUND(MAX(0,(O85)+M86-N86),2)</f>
        <v/>
      </c>
      <c r="P86" s="27">
        <f>ROUND((R85)*(IF('Your Debts'!$G$9=0,0,INDEX('Your Debts'!$C$5:$C$12,'Your Debts'!$G$9)/12)),2)</f>
        <v/>
      </c>
      <c r="Q86" s="27">
        <f>MIN((R85)+P86,MAX(0,$C86-(E86+H86+K86+N86)))</f>
        <v/>
      </c>
      <c r="R86" s="27">
        <f>ROUND(MAX(0,(R85)+P86-Q86),2)</f>
        <v/>
      </c>
      <c r="S86" s="27">
        <f>ROUND((U85)*(IF('Your Debts'!$G$10=0,0,INDEX('Your Debts'!$C$5:$C$12,'Your Debts'!$G$10)/12)),2)</f>
        <v/>
      </c>
      <c r="T86" s="27">
        <f>MIN((U85)+S86,MAX(0,$C86-(E86+H86+K86+N86+Q86)))</f>
        <v/>
      </c>
      <c r="U86" s="27">
        <f>ROUND(MAX(0,(U85)+S86-T86),2)</f>
        <v/>
      </c>
      <c r="V86" s="27">
        <f>ROUND((X85)*(IF('Your Debts'!$G$11=0,0,INDEX('Your Debts'!$C$5:$C$12,'Your Debts'!$G$11)/12)),2)</f>
        <v/>
      </c>
      <c r="W86" s="27">
        <f>MIN((X85)+V86,MAX(0,$C86-(E86+H86+K86+N86+Q86+T86)))</f>
        <v/>
      </c>
      <c r="X86" s="27">
        <f>ROUND(MAX(0,(X85)+V86-W86),2)</f>
        <v/>
      </c>
      <c r="Y86" s="27">
        <f>ROUND((AA85)*(IF('Your Debts'!$G$12=0,0,INDEX('Your Debts'!$C$5:$C$12,'Your Debts'!$G$12)/12)),2)</f>
        <v/>
      </c>
      <c r="Z86" s="27">
        <f>MIN((AA85)+Y86,MAX(0,$C86-(E86+H86+K86+N86+Q86+T86+W86)))</f>
        <v/>
      </c>
      <c r="AA86" s="27">
        <f>ROUND(MAX(0,(AA85)+Y86-Z86),2)</f>
        <v/>
      </c>
      <c r="AB86" s="18">
        <f>F86+I86+L86+O86+R86+U86+X86+AA86</f>
        <v/>
      </c>
      <c r="AC86" s="26">
        <f>AC85+D86+G86+J86+M86+P86+S86+V86+Y86</f>
        <v/>
      </c>
    </row>
    <row r="87">
      <c r="A87" s="24" t="n">
        <v>82</v>
      </c>
      <c r="B87" s="25">
        <f>EDATE('Your Debts'!$B$19,81)</f>
        <v/>
      </c>
      <c r="C87" s="26">
        <f>'Your Debts'!$B$18</f>
        <v/>
      </c>
      <c r="D87" s="27">
        <f>ROUND((F86)*(IF('Your Debts'!$G$5=0,0,INDEX('Your Debts'!$C$5:$C$12,'Your Debts'!$G$5)/12)),2)</f>
        <v/>
      </c>
      <c r="E87" s="27">
        <f>MIN((F86)+D87,MAX(0,$C87-(0)))</f>
        <v/>
      </c>
      <c r="F87" s="27">
        <f>ROUND(MAX(0,(F86)+D87-E87),2)</f>
        <v/>
      </c>
      <c r="G87" s="27">
        <f>ROUND((I86)*(IF('Your Debts'!$G$6=0,0,INDEX('Your Debts'!$C$5:$C$12,'Your Debts'!$G$6)/12)),2)</f>
        <v/>
      </c>
      <c r="H87" s="27">
        <f>MIN((I86)+G87,MAX(0,$C87-(E87)))</f>
        <v/>
      </c>
      <c r="I87" s="27">
        <f>ROUND(MAX(0,(I86)+G87-H87),2)</f>
        <v/>
      </c>
      <c r="J87" s="27">
        <f>ROUND((L86)*(IF('Your Debts'!$G$7=0,0,INDEX('Your Debts'!$C$5:$C$12,'Your Debts'!$G$7)/12)),2)</f>
        <v/>
      </c>
      <c r="K87" s="27">
        <f>MIN((L86)+J87,MAX(0,$C87-(E87+H87)))</f>
        <v/>
      </c>
      <c r="L87" s="27">
        <f>ROUND(MAX(0,(L86)+J87-K87),2)</f>
        <v/>
      </c>
      <c r="M87" s="27">
        <f>ROUND((O86)*(IF('Your Debts'!$G$8=0,0,INDEX('Your Debts'!$C$5:$C$12,'Your Debts'!$G$8)/12)),2)</f>
        <v/>
      </c>
      <c r="N87" s="27">
        <f>MIN((O86)+M87,MAX(0,$C87-(E87+H87+K87)))</f>
        <v/>
      </c>
      <c r="O87" s="27">
        <f>ROUND(MAX(0,(O86)+M87-N87),2)</f>
        <v/>
      </c>
      <c r="P87" s="27">
        <f>ROUND((R86)*(IF('Your Debts'!$G$9=0,0,INDEX('Your Debts'!$C$5:$C$12,'Your Debts'!$G$9)/12)),2)</f>
        <v/>
      </c>
      <c r="Q87" s="27">
        <f>MIN((R86)+P87,MAX(0,$C87-(E87+H87+K87+N87)))</f>
        <v/>
      </c>
      <c r="R87" s="27">
        <f>ROUND(MAX(0,(R86)+P87-Q87),2)</f>
        <v/>
      </c>
      <c r="S87" s="27">
        <f>ROUND((U86)*(IF('Your Debts'!$G$10=0,0,INDEX('Your Debts'!$C$5:$C$12,'Your Debts'!$G$10)/12)),2)</f>
        <v/>
      </c>
      <c r="T87" s="27">
        <f>MIN((U86)+S87,MAX(0,$C87-(E87+H87+K87+N87+Q87)))</f>
        <v/>
      </c>
      <c r="U87" s="27">
        <f>ROUND(MAX(0,(U86)+S87-T87),2)</f>
        <v/>
      </c>
      <c r="V87" s="27">
        <f>ROUND((X86)*(IF('Your Debts'!$G$11=0,0,INDEX('Your Debts'!$C$5:$C$12,'Your Debts'!$G$11)/12)),2)</f>
        <v/>
      </c>
      <c r="W87" s="27">
        <f>MIN((X86)+V87,MAX(0,$C87-(E87+H87+K87+N87+Q87+T87)))</f>
        <v/>
      </c>
      <c r="X87" s="27">
        <f>ROUND(MAX(0,(X86)+V87-W87),2)</f>
        <v/>
      </c>
      <c r="Y87" s="27">
        <f>ROUND((AA86)*(IF('Your Debts'!$G$12=0,0,INDEX('Your Debts'!$C$5:$C$12,'Your Debts'!$G$12)/12)),2)</f>
        <v/>
      </c>
      <c r="Z87" s="27">
        <f>MIN((AA86)+Y87,MAX(0,$C87-(E87+H87+K87+N87+Q87+T87+W87)))</f>
        <v/>
      </c>
      <c r="AA87" s="27">
        <f>ROUND(MAX(0,(AA86)+Y87-Z87),2)</f>
        <v/>
      </c>
      <c r="AB87" s="18">
        <f>F87+I87+L87+O87+R87+U87+X87+AA87</f>
        <v/>
      </c>
      <c r="AC87" s="26">
        <f>AC86+D87+G87+J87+M87+P87+S87+V87+Y87</f>
        <v/>
      </c>
    </row>
    <row r="88">
      <c r="A88" s="24" t="n">
        <v>83</v>
      </c>
      <c r="B88" s="25">
        <f>EDATE('Your Debts'!$B$19,82)</f>
        <v/>
      </c>
      <c r="C88" s="26">
        <f>'Your Debts'!$B$18</f>
        <v/>
      </c>
      <c r="D88" s="27">
        <f>ROUND((F87)*(IF('Your Debts'!$G$5=0,0,INDEX('Your Debts'!$C$5:$C$12,'Your Debts'!$G$5)/12)),2)</f>
        <v/>
      </c>
      <c r="E88" s="27">
        <f>MIN((F87)+D88,MAX(0,$C88-(0)))</f>
        <v/>
      </c>
      <c r="F88" s="27">
        <f>ROUND(MAX(0,(F87)+D88-E88),2)</f>
        <v/>
      </c>
      <c r="G88" s="27">
        <f>ROUND((I87)*(IF('Your Debts'!$G$6=0,0,INDEX('Your Debts'!$C$5:$C$12,'Your Debts'!$G$6)/12)),2)</f>
        <v/>
      </c>
      <c r="H88" s="27">
        <f>MIN((I87)+G88,MAX(0,$C88-(E88)))</f>
        <v/>
      </c>
      <c r="I88" s="27">
        <f>ROUND(MAX(0,(I87)+G88-H88),2)</f>
        <v/>
      </c>
      <c r="J88" s="27">
        <f>ROUND((L87)*(IF('Your Debts'!$G$7=0,0,INDEX('Your Debts'!$C$5:$C$12,'Your Debts'!$G$7)/12)),2)</f>
        <v/>
      </c>
      <c r="K88" s="27">
        <f>MIN((L87)+J88,MAX(0,$C88-(E88+H88)))</f>
        <v/>
      </c>
      <c r="L88" s="27">
        <f>ROUND(MAX(0,(L87)+J88-K88),2)</f>
        <v/>
      </c>
      <c r="M88" s="27">
        <f>ROUND((O87)*(IF('Your Debts'!$G$8=0,0,INDEX('Your Debts'!$C$5:$C$12,'Your Debts'!$G$8)/12)),2)</f>
        <v/>
      </c>
      <c r="N88" s="27">
        <f>MIN((O87)+M88,MAX(0,$C88-(E88+H88+K88)))</f>
        <v/>
      </c>
      <c r="O88" s="27">
        <f>ROUND(MAX(0,(O87)+M88-N88),2)</f>
        <v/>
      </c>
      <c r="P88" s="27">
        <f>ROUND((R87)*(IF('Your Debts'!$G$9=0,0,INDEX('Your Debts'!$C$5:$C$12,'Your Debts'!$G$9)/12)),2)</f>
        <v/>
      </c>
      <c r="Q88" s="27">
        <f>MIN((R87)+P88,MAX(0,$C88-(E88+H88+K88+N88)))</f>
        <v/>
      </c>
      <c r="R88" s="27">
        <f>ROUND(MAX(0,(R87)+P88-Q88),2)</f>
        <v/>
      </c>
      <c r="S88" s="27">
        <f>ROUND((U87)*(IF('Your Debts'!$G$10=0,0,INDEX('Your Debts'!$C$5:$C$12,'Your Debts'!$G$10)/12)),2)</f>
        <v/>
      </c>
      <c r="T88" s="27">
        <f>MIN((U87)+S88,MAX(0,$C88-(E88+H88+K88+N88+Q88)))</f>
        <v/>
      </c>
      <c r="U88" s="27">
        <f>ROUND(MAX(0,(U87)+S88-T88),2)</f>
        <v/>
      </c>
      <c r="V88" s="27">
        <f>ROUND((X87)*(IF('Your Debts'!$G$11=0,0,INDEX('Your Debts'!$C$5:$C$12,'Your Debts'!$G$11)/12)),2)</f>
        <v/>
      </c>
      <c r="W88" s="27">
        <f>MIN((X87)+V88,MAX(0,$C88-(E88+H88+K88+N88+Q88+T88)))</f>
        <v/>
      </c>
      <c r="X88" s="27">
        <f>ROUND(MAX(0,(X87)+V88-W88),2)</f>
        <v/>
      </c>
      <c r="Y88" s="27">
        <f>ROUND((AA87)*(IF('Your Debts'!$G$12=0,0,INDEX('Your Debts'!$C$5:$C$12,'Your Debts'!$G$12)/12)),2)</f>
        <v/>
      </c>
      <c r="Z88" s="27">
        <f>MIN((AA87)+Y88,MAX(0,$C88-(E88+H88+K88+N88+Q88+T88+W88)))</f>
        <v/>
      </c>
      <c r="AA88" s="27">
        <f>ROUND(MAX(0,(AA87)+Y88-Z88),2)</f>
        <v/>
      </c>
      <c r="AB88" s="18">
        <f>F88+I88+L88+O88+R88+U88+X88+AA88</f>
        <v/>
      </c>
      <c r="AC88" s="26">
        <f>AC87+D88+G88+J88+M88+P88+S88+V88+Y88</f>
        <v/>
      </c>
    </row>
    <row r="89">
      <c r="A89" s="24" t="n">
        <v>84</v>
      </c>
      <c r="B89" s="25">
        <f>EDATE('Your Debts'!$B$19,83)</f>
        <v/>
      </c>
      <c r="C89" s="26">
        <f>'Your Debts'!$B$18</f>
        <v/>
      </c>
      <c r="D89" s="27">
        <f>ROUND((F88)*(IF('Your Debts'!$G$5=0,0,INDEX('Your Debts'!$C$5:$C$12,'Your Debts'!$G$5)/12)),2)</f>
        <v/>
      </c>
      <c r="E89" s="27">
        <f>MIN((F88)+D89,MAX(0,$C89-(0)))</f>
        <v/>
      </c>
      <c r="F89" s="27">
        <f>ROUND(MAX(0,(F88)+D89-E89),2)</f>
        <v/>
      </c>
      <c r="G89" s="27">
        <f>ROUND((I88)*(IF('Your Debts'!$G$6=0,0,INDEX('Your Debts'!$C$5:$C$12,'Your Debts'!$G$6)/12)),2)</f>
        <v/>
      </c>
      <c r="H89" s="27">
        <f>MIN((I88)+G89,MAX(0,$C89-(E89)))</f>
        <v/>
      </c>
      <c r="I89" s="27">
        <f>ROUND(MAX(0,(I88)+G89-H89),2)</f>
        <v/>
      </c>
      <c r="J89" s="27">
        <f>ROUND((L88)*(IF('Your Debts'!$G$7=0,0,INDEX('Your Debts'!$C$5:$C$12,'Your Debts'!$G$7)/12)),2)</f>
        <v/>
      </c>
      <c r="K89" s="27">
        <f>MIN((L88)+J89,MAX(0,$C89-(E89+H89)))</f>
        <v/>
      </c>
      <c r="L89" s="27">
        <f>ROUND(MAX(0,(L88)+J89-K89),2)</f>
        <v/>
      </c>
      <c r="M89" s="27">
        <f>ROUND((O88)*(IF('Your Debts'!$G$8=0,0,INDEX('Your Debts'!$C$5:$C$12,'Your Debts'!$G$8)/12)),2)</f>
        <v/>
      </c>
      <c r="N89" s="27">
        <f>MIN((O88)+M89,MAX(0,$C89-(E89+H89+K89)))</f>
        <v/>
      </c>
      <c r="O89" s="27">
        <f>ROUND(MAX(0,(O88)+M89-N89),2)</f>
        <v/>
      </c>
      <c r="P89" s="27">
        <f>ROUND((R88)*(IF('Your Debts'!$G$9=0,0,INDEX('Your Debts'!$C$5:$C$12,'Your Debts'!$G$9)/12)),2)</f>
        <v/>
      </c>
      <c r="Q89" s="27">
        <f>MIN((R88)+P89,MAX(0,$C89-(E89+H89+K89+N89)))</f>
        <v/>
      </c>
      <c r="R89" s="27">
        <f>ROUND(MAX(0,(R88)+P89-Q89),2)</f>
        <v/>
      </c>
      <c r="S89" s="27">
        <f>ROUND((U88)*(IF('Your Debts'!$G$10=0,0,INDEX('Your Debts'!$C$5:$C$12,'Your Debts'!$G$10)/12)),2)</f>
        <v/>
      </c>
      <c r="T89" s="27">
        <f>MIN((U88)+S89,MAX(0,$C89-(E89+H89+K89+N89+Q89)))</f>
        <v/>
      </c>
      <c r="U89" s="27">
        <f>ROUND(MAX(0,(U88)+S89-T89),2)</f>
        <v/>
      </c>
      <c r="V89" s="27">
        <f>ROUND((X88)*(IF('Your Debts'!$G$11=0,0,INDEX('Your Debts'!$C$5:$C$12,'Your Debts'!$G$11)/12)),2)</f>
        <v/>
      </c>
      <c r="W89" s="27">
        <f>MIN((X88)+V89,MAX(0,$C89-(E89+H89+K89+N89+Q89+T89)))</f>
        <v/>
      </c>
      <c r="X89" s="27">
        <f>ROUND(MAX(0,(X88)+V89-W89),2)</f>
        <v/>
      </c>
      <c r="Y89" s="27">
        <f>ROUND((AA88)*(IF('Your Debts'!$G$12=0,0,INDEX('Your Debts'!$C$5:$C$12,'Your Debts'!$G$12)/12)),2)</f>
        <v/>
      </c>
      <c r="Z89" s="27">
        <f>MIN((AA88)+Y89,MAX(0,$C89-(E89+H89+K89+N89+Q89+T89+W89)))</f>
        <v/>
      </c>
      <c r="AA89" s="27">
        <f>ROUND(MAX(0,(AA88)+Y89-Z89),2)</f>
        <v/>
      </c>
      <c r="AB89" s="18">
        <f>F89+I89+L89+O89+R89+U89+X89+AA89</f>
        <v/>
      </c>
      <c r="AC89" s="26">
        <f>AC88+D89+G89+J89+M89+P89+S89+V89+Y89</f>
        <v/>
      </c>
    </row>
    <row r="90">
      <c r="A90" s="24" t="n">
        <v>85</v>
      </c>
      <c r="B90" s="25">
        <f>EDATE('Your Debts'!$B$19,84)</f>
        <v/>
      </c>
      <c r="C90" s="26">
        <f>'Your Debts'!$B$18</f>
        <v/>
      </c>
      <c r="D90" s="27">
        <f>ROUND((F89)*(IF('Your Debts'!$G$5=0,0,INDEX('Your Debts'!$C$5:$C$12,'Your Debts'!$G$5)/12)),2)</f>
        <v/>
      </c>
      <c r="E90" s="27">
        <f>MIN((F89)+D90,MAX(0,$C90-(0)))</f>
        <v/>
      </c>
      <c r="F90" s="27">
        <f>ROUND(MAX(0,(F89)+D90-E90),2)</f>
        <v/>
      </c>
      <c r="G90" s="27">
        <f>ROUND((I89)*(IF('Your Debts'!$G$6=0,0,INDEX('Your Debts'!$C$5:$C$12,'Your Debts'!$G$6)/12)),2)</f>
        <v/>
      </c>
      <c r="H90" s="27">
        <f>MIN((I89)+G90,MAX(0,$C90-(E90)))</f>
        <v/>
      </c>
      <c r="I90" s="27">
        <f>ROUND(MAX(0,(I89)+G90-H90),2)</f>
        <v/>
      </c>
      <c r="J90" s="27">
        <f>ROUND((L89)*(IF('Your Debts'!$G$7=0,0,INDEX('Your Debts'!$C$5:$C$12,'Your Debts'!$G$7)/12)),2)</f>
        <v/>
      </c>
      <c r="K90" s="27">
        <f>MIN((L89)+J90,MAX(0,$C90-(E90+H90)))</f>
        <v/>
      </c>
      <c r="L90" s="27">
        <f>ROUND(MAX(0,(L89)+J90-K90),2)</f>
        <v/>
      </c>
      <c r="M90" s="27">
        <f>ROUND((O89)*(IF('Your Debts'!$G$8=0,0,INDEX('Your Debts'!$C$5:$C$12,'Your Debts'!$G$8)/12)),2)</f>
        <v/>
      </c>
      <c r="N90" s="27">
        <f>MIN((O89)+M90,MAX(0,$C90-(E90+H90+K90)))</f>
        <v/>
      </c>
      <c r="O90" s="27">
        <f>ROUND(MAX(0,(O89)+M90-N90),2)</f>
        <v/>
      </c>
      <c r="P90" s="27">
        <f>ROUND((R89)*(IF('Your Debts'!$G$9=0,0,INDEX('Your Debts'!$C$5:$C$12,'Your Debts'!$G$9)/12)),2)</f>
        <v/>
      </c>
      <c r="Q90" s="27">
        <f>MIN((R89)+P90,MAX(0,$C90-(E90+H90+K90+N90)))</f>
        <v/>
      </c>
      <c r="R90" s="27">
        <f>ROUND(MAX(0,(R89)+P90-Q90),2)</f>
        <v/>
      </c>
      <c r="S90" s="27">
        <f>ROUND((U89)*(IF('Your Debts'!$G$10=0,0,INDEX('Your Debts'!$C$5:$C$12,'Your Debts'!$G$10)/12)),2)</f>
        <v/>
      </c>
      <c r="T90" s="27">
        <f>MIN((U89)+S90,MAX(0,$C90-(E90+H90+K90+N90+Q90)))</f>
        <v/>
      </c>
      <c r="U90" s="27">
        <f>ROUND(MAX(0,(U89)+S90-T90),2)</f>
        <v/>
      </c>
      <c r="V90" s="27">
        <f>ROUND((X89)*(IF('Your Debts'!$G$11=0,0,INDEX('Your Debts'!$C$5:$C$12,'Your Debts'!$G$11)/12)),2)</f>
        <v/>
      </c>
      <c r="W90" s="27">
        <f>MIN((X89)+V90,MAX(0,$C90-(E90+H90+K90+N90+Q90+T90)))</f>
        <v/>
      </c>
      <c r="X90" s="27">
        <f>ROUND(MAX(0,(X89)+V90-W90),2)</f>
        <v/>
      </c>
      <c r="Y90" s="27">
        <f>ROUND((AA89)*(IF('Your Debts'!$G$12=0,0,INDEX('Your Debts'!$C$5:$C$12,'Your Debts'!$G$12)/12)),2)</f>
        <v/>
      </c>
      <c r="Z90" s="27">
        <f>MIN((AA89)+Y90,MAX(0,$C90-(E90+H90+K90+N90+Q90+T90+W90)))</f>
        <v/>
      </c>
      <c r="AA90" s="27">
        <f>ROUND(MAX(0,(AA89)+Y90-Z90),2)</f>
        <v/>
      </c>
      <c r="AB90" s="18">
        <f>F90+I90+L90+O90+R90+U90+X90+AA90</f>
        <v/>
      </c>
      <c r="AC90" s="26">
        <f>AC89+D90+G90+J90+M90+P90+S90+V90+Y90</f>
        <v/>
      </c>
    </row>
    <row r="91">
      <c r="A91" s="24" t="n">
        <v>86</v>
      </c>
      <c r="B91" s="25">
        <f>EDATE('Your Debts'!$B$19,85)</f>
        <v/>
      </c>
      <c r="C91" s="26">
        <f>'Your Debts'!$B$18</f>
        <v/>
      </c>
      <c r="D91" s="27">
        <f>ROUND((F90)*(IF('Your Debts'!$G$5=0,0,INDEX('Your Debts'!$C$5:$C$12,'Your Debts'!$G$5)/12)),2)</f>
        <v/>
      </c>
      <c r="E91" s="27">
        <f>MIN((F90)+D91,MAX(0,$C91-(0)))</f>
        <v/>
      </c>
      <c r="F91" s="27">
        <f>ROUND(MAX(0,(F90)+D91-E91),2)</f>
        <v/>
      </c>
      <c r="G91" s="27">
        <f>ROUND((I90)*(IF('Your Debts'!$G$6=0,0,INDEX('Your Debts'!$C$5:$C$12,'Your Debts'!$G$6)/12)),2)</f>
        <v/>
      </c>
      <c r="H91" s="27">
        <f>MIN((I90)+G91,MAX(0,$C91-(E91)))</f>
        <v/>
      </c>
      <c r="I91" s="27">
        <f>ROUND(MAX(0,(I90)+G91-H91),2)</f>
        <v/>
      </c>
      <c r="J91" s="27">
        <f>ROUND((L90)*(IF('Your Debts'!$G$7=0,0,INDEX('Your Debts'!$C$5:$C$12,'Your Debts'!$G$7)/12)),2)</f>
        <v/>
      </c>
      <c r="K91" s="27">
        <f>MIN((L90)+J91,MAX(0,$C91-(E91+H91)))</f>
        <v/>
      </c>
      <c r="L91" s="27">
        <f>ROUND(MAX(0,(L90)+J91-K91),2)</f>
        <v/>
      </c>
      <c r="M91" s="27">
        <f>ROUND((O90)*(IF('Your Debts'!$G$8=0,0,INDEX('Your Debts'!$C$5:$C$12,'Your Debts'!$G$8)/12)),2)</f>
        <v/>
      </c>
      <c r="N91" s="27">
        <f>MIN((O90)+M91,MAX(0,$C91-(E91+H91+K91)))</f>
        <v/>
      </c>
      <c r="O91" s="27">
        <f>ROUND(MAX(0,(O90)+M91-N91),2)</f>
        <v/>
      </c>
      <c r="P91" s="27">
        <f>ROUND((R90)*(IF('Your Debts'!$G$9=0,0,INDEX('Your Debts'!$C$5:$C$12,'Your Debts'!$G$9)/12)),2)</f>
        <v/>
      </c>
      <c r="Q91" s="27">
        <f>MIN((R90)+P91,MAX(0,$C91-(E91+H91+K91+N91)))</f>
        <v/>
      </c>
      <c r="R91" s="27">
        <f>ROUND(MAX(0,(R90)+P91-Q91),2)</f>
        <v/>
      </c>
      <c r="S91" s="27">
        <f>ROUND((U90)*(IF('Your Debts'!$G$10=0,0,INDEX('Your Debts'!$C$5:$C$12,'Your Debts'!$G$10)/12)),2)</f>
        <v/>
      </c>
      <c r="T91" s="27">
        <f>MIN((U90)+S91,MAX(0,$C91-(E91+H91+K91+N91+Q91)))</f>
        <v/>
      </c>
      <c r="U91" s="27">
        <f>ROUND(MAX(0,(U90)+S91-T91),2)</f>
        <v/>
      </c>
      <c r="V91" s="27">
        <f>ROUND((X90)*(IF('Your Debts'!$G$11=0,0,INDEX('Your Debts'!$C$5:$C$12,'Your Debts'!$G$11)/12)),2)</f>
        <v/>
      </c>
      <c r="W91" s="27">
        <f>MIN((X90)+V91,MAX(0,$C91-(E91+H91+K91+N91+Q91+T91)))</f>
        <v/>
      </c>
      <c r="X91" s="27">
        <f>ROUND(MAX(0,(X90)+V91-W91),2)</f>
        <v/>
      </c>
      <c r="Y91" s="27">
        <f>ROUND((AA90)*(IF('Your Debts'!$G$12=0,0,INDEX('Your Debts'!$C$5:$C$12,'Your Debts'!$G$12)/12)),2)</f>
        <v/>
      </c>
      <c r="Z91" s="27">
        <f>MIN((AA90)+Y91,MAX(0,$C91-(E91+H91+K91+N91+Q91+T91+W91)))</f>
        <v/>
      </c>
      <c r="AA91" s="27">
        <f>ROUND(MAX(0,(AA90)+Y91-Z91),2)</f>
        <v/>
      </c>
      <c r="AB91" s="18">
        <f>F91+I91+L91+O91+R91+U91+X91+AA91</f>
        <v/>
      </c>
      <c r="AC91" s="26">
        <f>AC90+D91+G91+J91+M91+P91+S91+V91+Y91</f>
        <v/>
      </c>
    </row>
    <row r="92">
      <c r="A92" s="24" t="n">
        <v>87</v>
      </c>
      <c r="B92" s="25">
        <f>EDATE('Your Debts'!$B$19,86)</f>
        <v/>
      </c>
      <c r="C92" s="26">
        <f>'Your Debts'!$B$18</f>
        <v/>
      </c>
      <c r="D92" s="27">
        <f>ROUND((F91)*(IF('Your Debts'!$G$5=0,0,INDEX('Your Debts'!$C$5:$C$12,'Your Debts'!$G$5)/12)),2)</f>
        <v/>
      </c>
      <c r="E92" s="27">
        <f>MIN((F91)+D92,MAX(0,$C92-(0)))</f>
        <v/>
      </c>
      <c r="F92" s="27">
        <f>ROUND(MAX(0,(F91)+D92-E92),2)</f>
        <v/>
      </c>
      <c r="G92" s="27">
        <f>ROUND((I91)*(IF('Your Debts'!$G$6=0,0,INDEX('Your Debts'!$C$5:$C$12,'Your Debts'!$G$6)/12)),2)</f>
        <v/>
      </c>
      <c r="H92" s="27">
        <f>MIN((I91)+G92,MAX(0,$C92-(E92)))</f>
        <v/>
      </c>
      <c r="I92" s="27">
        <f>ROUND(MAX(0,(I91)+G92-H92),2)</f>
        <v/>
      </c>
      <c r="J92" s="27">
        <f>ROUND((L91)*(IF('Your Debts'!$G$7=0,0,INDEX('Your Debts'!$C$5:$C$12,'Your Debts'!$G$7)/12)),2)</f>
        <v/>
      </c>
      <c r="K92" s="27">
        <f>MIN((L91)+J92,MAX(0,$C92-(E92+H92)))</f>
        <v/>
      </c>
      <c r="L92" s="27">
        <f>ROUND(MAX(0,(L91)+J92-K92),2)</f>
        <v/>
      </c>
      <c r="M92" s="27">
        <f>ROUND((O91)*(IF('Your Debts'!$G$8=0,0,INDEX('Your Debts'!$C$5:$C$12,'Your Debts'!$G$8)/12)),2)</f>
        <v/>
      </c>
      <c r="N92" s="27">
        <f>MIN((O91)+M92,MAX(0,$C92-(E92+H92+K92)))</f>
        <v/>
      </c>
      <c r="O92" s="27">
        <f>ROUND(MAX(0,(O91)+M92-N92),2)</f>
        <v/>
      </c>
      <c r="P92" s="27">
        <f>ROUND((R91)*(IF('Your Debts'!$G$9=0,0,INDEX('Your Debts'!$C$5:$C$12,'Your Debts'!$G$9)/12)),2)</f>
        <v/>
      </c>
      <c r="Q92" s="27">
        <f>MIN((R91)+P92,MAX(0,$C92-(E92+H92+K92+N92)))</f>
        <v/>
      </c>
      <c r="R92" s="27">
        <f>ROUND(MAX(0,(R91)+P92-Q92),2)</f>
        <v/>
      </c>
      <c r="S92" s="27">
        <f>ROUND((U91)*(IF('Your Debts'!$G$10=0,0,INDEX('Your Debts'!$C$5:$C$12,'Your Debts'!$G$10)/12)),2)</f>
        <v/>
      </c>
      <c r="T92" s="27">
        <f>MIN((U91)+S92,MAX(0,$C92-(E92+H92+K92+N92+Q92)))</f>
        <v/>
      </c>
      <c r="U92" s="27">
        <f>ROUND(MAX(0,(U91)+S92-T92),2)</f>
        <v/>
      </c>
      <c r="V92" s="27">
        <f>ROUND((X91)*(IF('Your Debts'!$G$11=0,0,INDEX('Your Debts'!$C$5:$C$12,'Your Debts'!$G$11)/12)),2)</f>
        <v/>
      </c>
      <c r="W92" s="27">
        <f>MIN((X91)+V92,MAX(0,$C92-(E92+H92+K92+N92+Q92+T92)))</f>
        <v/>
      </c>
      <c r="X92" s="27">
        <f>ROUND(MAX(0,(X91)+V92-W92),2)</f>
        <v/>
      </c>
      <c r="Y92" s="27">
        <f>ROUND((AA91)*(IF('Your Debts'!$G$12=0,0,INDEX('Your Debts'!$C$5:$C$12,'Your Debts'!$G$12)/12)),2)</f>
        <v/>
      </c>
      <c r="Z92" s="27">
        <f>MIN((AA91)+Y92,MAX(0,$C92-(E92+H92+K92+N92+Q92+T92+W92)))</f>
        <v/>
      </c>
      <c r="AA92" s="27">
        <f>ROUND(MAX(0,(AA91)+Y92-Z92),2)</f>
        <v/>
      </c>
      <c r="AB92" s="18">
        <f>F92+I92+L92+O92+R92+U92+X92+AA92</f>
        <v/>
      </c>
      <c r="AC92" s="26">
        <f>AC91+D92+G92+J92+M92+P92+S92+V92+Y92</f>
        <v/>
      </c>
    </row>
    <row r="93">
      <c r="A93" s="24" t="n">
        <v>88</v>
      </c>
      <c r="B93" s="25">
        <f>EDATE('Your Debts'!$B$19,87)</f>
        <v/>
      </c>
      <c r="C93" s="26">
        <f>'Your Debts'!$B$18</f>
        <v/>
      </c>
      <c r="D93" s="27">
        <f>ROUND((F92)*(IF('Your Debts'!$G$5=0,0,INDEX('Your Debts'!$C$5:$C$12,'Your Debts'!$G$5)/12)),2)</f>
        <v/>
      </c>
      <c r="E93" s="27">
        <f>MIN((F92)+D93,MAX(0,$C93-(0)))</f>
        <v/>
      </c>
      <c r="F93" s="27">
        <f>ROUND(MAX(0,(F92)+D93-E93),2)</f>
        <v/>
      </c>
      <c r="G93" s="27">
        <f>ROUND((I92)*(IF('Your Debts'!$G$6=0,0,INDEX('Your Debts'!$C$5:$C$12,'Your Debts'!$G$6)/12)),2)</f>
        <v/>
      </c>
      <c r="H93" s="27">
        <f>MIN((I92)+G93,MAX(0,$C93-(E93)))</f>
        <v/>
      </c>
      <c r="I93" s="27">
        <f>ROUND(MAX(0,(I92)+G93-H93),2)</f>
        <v/>
      </c>
      <c r="J93" s="27">
        <f>ROUND((L92)*(IF('Your Debts'!$G$7=0,0,INDEX('Your Debts'!$C$5:$C$12,'Your Debts'!$G$7)/12)),2)</f>
        <v/>
      </c>
      <c r="K93" s="27">
        <f>MIN((L92)+J93,MAX(0,$C93-(E93+H93)))</f>
        <v/>
      </c>
      <c r="L93" s="27">
        <f>ROUND(MAX(0,(L92)+J93-K93),2)</f>
        <v/>
      </c>
      <c r="M93" s="27">
        <f>ROUND((O92)*(IF('Your Debts'!$G$8=0,0,INDEX('Your Debts'!$C$5:$C$12,'Your Debts'!$G$8)/12)),2)</f>
        <v/>
      </c>
      <c r="N93" s="27">
        <f>MIN((O92)+M93,MAX(0,$C93-(E93+H93+K93)))</f>
        <v/>
      </c>
      <c r="O93" s="27">
        <f>ROUND(MAX(0,(O92)+M93-N93),2)</f>
        <v/>
      </c>
      <c r="P93" s="27">
        <f>ROUND((R92)*(IF('Your Debts'!$G$9=0,0,INDEX('Your Debts'!$C$5:$C$12,'Your Debts'!$G$9)/12)),2)</f>
        <v/>
      </c>
      <c r="Q93" s="27">
        <f>MIN((R92)+P93,MAX(0,$C93-(E93+H93+K93+N93)))</f>
        <v/>
      </c>
      <c r="R93" s="27">
        <f>ROUND(MAX(0,(R92)+P93-Q93),2)</f>
        <v/>
      </c>
      <c r="S93" s="27">
        <f>ROUND((U92)*(IF('Your Debts'!$G$10=0,0,INDEX('Your Debts'!$C$5:$C$12,'Your Debts'!$G$10)/12)),2)</f>
        <v/>
      </c>
      <c r="T93" s="27">
        <f>MIN((U92)+S93,MAX(0,$C93-(E93+H93+K93+N93+Q93)))</f>
        <v/>
      </c>
      <c r="U93" s="27">
        <f>ROUND(MAX(0,(U92)+S93-T93),2)</f>
        <v/>
      </c>
      <c r="V93" s="27">
        <f>ROUND((X92)*(IF('Your Debts'!$G$11=0,0,INDEX('Your Debts'!$C$5:$C$12,'Your Debts'!$G$11)/12)),2)</f>
        <v/>
      </c>
      <c r="W93" s="27">
        <f>MIN((X92)+V93,MAX(0,$C93-(E93+H93+K93+N93+Q93+T93)))</f>
        <v/>
      </c>
      <c r="X93" s="27">
        <f>ROUND(MAX(0,(X92)+V93-W93),2)</f>
        <v/>
      </c>
      <c r="Y93" s="27">
        <f>ROUND((AA92)*(IF('Your Debts'!$G$12=0,0,INDEX('Your Debts'!$C$5:$C$12,'Your Debts'!$G$12)/12)),2)</f>
        <v/>
      </c>
      <c r="Z93" s="27">
        <f>MIN((AA92)+Y93,MAX(0,$C93-(E93+H93+K93+N93+Q93+T93+W93)))</f>
        <v/>
      </c>
      <c r="AA93" s="27">
        <f>ROUND(MAX(0,(AA92)+Y93-Z93),2)</f>
        <v/>
      </c>
      <c r="AB93" s="18">
        <f>F93+I93+L93+O93+R93+U93+X93+AA93</f>
        <v/>
      </c>
      <c r="AC93" s="26">
        <f>AC92+D93+G93+J93+M93+P93+S93+V93+Y93</f>
        <v/>
      </c>
    </row>
    <row r="94">
      <c r="A94" s="24" t="n">
        <v>89</v>
      </c>
      <c r="B94" s="25">
        <f>EDATE('Your Debts'!$B$19,88)</f>
        <v/>
      </c>
      <c r="C94" s="26">
        <f>'Your Debts'!$B$18</f>
        <v/>
      </c>
      <c r="D94" s="27">
        <f>ROUND((F93)*(IF('Your Debts'!$G$5=0,0,INDEX('Your Debts'!$C$5:$C$12,'Your Debts'!$G$5)/12)),2)</f>
        <v/>
      </c>
      <c r="E94" s="27">
        <f>MIN((F93)+D94,MAX(0,$C94-(0)))</f>
        <v/>
      </c>
      <c r="F94" s="27">
        <f>ROUND(MAX(0,(F93)+D94-E94),2)</f>
        <v/>
      </c>
      <c r="G94" s="27">
        <f>ROUND((I93)*(IF('Your Debts'!$G$6=0,0,INDEX('Your Debts'!$C$5:$C$12,'Your Debts'!$G$6)/12)),2)</f>
        <v/>
      </c>
      <c r="H94" s="27">
        <f>MIN((I93)+G94,MAX(0,$C94-(E94)))</f>
        <v/>
      </c>
      <c r="I94" s="27">
        <f>ROUND(MAX(0,(I93)+G94-H94),2)</f>
        <v/>
      </c>
      <c r="J94" s="27">
        <f>ROUND((L93)*(IF('Your Debts'!$G$7=0,0,INDEX('Your Debts'!$C$5:$C$12,'Your Debts'!$G$7)/12)),2)</f>
        <v/>
      </c>
      <c r="K94" s="27">
        <f>MIN((L93)+J94,MAX(0,$C94-(E94+H94)))</f>
        <v/>
      </c>
      <c r="L94" s="27">
        <f>ROUND(MAX(0,(L93)+J94-K94),2)</f>
        <v/>
      </c>
      <c r="M94" s="27">
        <f>ROUND((O93)*(IF('Your Debts'!$G$8=0,0,INDEX('Your Debts'!$C$5:$C$12,'Your Debts'!$G$8)/12)),2)</f>
        <v/>
      </c>
      <c r="N94" s="27">
        <f>MIN((O93)+M94,MAX(0,$C94-(E94+H94+K94)))</f>
        <v/>
      </c>
      <c r="O94" s="27">
        <f>ROUND(MAX(0,(O93)+M94-N94),2)</f>
        <v/>
      </c>
      <c r="P94" s="27">
        <f>ROUND((R93)*(IF('Your Debts'!$G$9=0,0,INDEX('Your Debts'!$C$5:$C$12,'Your Debts'!$G$9)/12)),2)</f>
        <v/>
      </c>
      <c r="Q94" s="27">
        <f>MIN((R93)+P94,MAX(0,$C94-(E94+H94+K94+N94)))</f>
        <v/>
      </c>
      <c r="R94" s="27">
        <f>ROUND(MAX(0,(R93)+P94-Q94),2)</f>
        <v/>
      </c>
      <c r="S94" s="27">
        <f>ROUND((U93)*(IF('Your Debts'!$G$10=0,0,INDEX('Your Debts'!$C$5:$C$12,'Your Debts'!$G$10)/12)),2)</f>
        <v/>
      </c>
      <c r="T94" s="27">
        <f>MIN((U93)+S94,MAX(0,$C94-(E94+H94+K94+N94+Q94)))</f>
        <v/>
      </c>
      <c r="U94" s="27">
        <f>ROUND(MAX(0,(U93)+S94-T94),2)</f>
        <v/>
      </c>
      <c r="V94" s="27">
        <f>ROUND((X93)*(IF('Your Debts'!$G$11=0,0,INDEX('Your Debts'!$C$5:$C$12,'Your Debts'!$G$11)/12)),2)</f>
        <v/>
      </c>
      <c r="W94" s="27">
        <f>MIN((X93)+V94,MAX(0,$C94-(E94+H94+K94+N94+Q94+T94)))</f>
        <v/>
      </c>
      <c r="X94" s="27">
        <f>ROUND(MAX(0,(X93)+V94-W94),2)</f>
        <v/>
      </c>
      <c r="Y94" s="27">
        <f>ROUND((AA93)*(IF('Your Debts'!$G$12=0,0,INDEX('Your Debts'!$C$5:$C$12,'Your Debts'!$G$12)/12)),2)</f>
        <v/>
      </c>
      <c r="Z94" s="27">
        <f>MIN((AA93)+Y94,MAX(0,$C94-(E94+H94+K94+N94+Q94+T94+W94)))</f>
        <v/>
      </c>
      <c r="AA94" s="27">
        <f>ROUND(MAX(0,(AA93)+Y94-Z94),2)</f>
        <v/>
      </c>
      <c r="AB94" s="18">
        <f>F94+I94+L94+O94+R94+U94+X94+AA94</f>
        <v/>
      </c>
      <c r="AC94" s="26">
        <f>AC93+D94+G94+J94+M94+P94+S94+V94+Y94</f>
        <v/>
      </c>
    </row>
    <row r="95">
      <c r="A95" s="24" t="n">
        <v>90</v>
      </c>
      <c r="B95" s="25">
        <f>EDATE('Your Debts'!$B$19,89)</f>
        <v/>
      </c>
      <c r="C95" s="26">
        <f>'Your Debts'!$B$18</f>
        <v/>
      </c>
      <c r="D95" s="27">
        <f>ROUND((F94)*(IF('Your Debts'!$G$5=0,0,INDEX('Your Debts'!$C$5:$C$12,'Your Debts'!$G$5)/12)),2)</f>
        <v/>
      </c>
      <c r="E95" s="27">
        <f>MIN((F94)+D95,MAX(0,$C95-(0)))</f>
        <v/>
      </c>
      <c r="F95" s="27">
        <f>ROUND(MAX(0,(F94)+D95-E95),2)</f>
        <v/>
      </c>
      <c r="G95" s="27">
        <f>ROUND((I94)*(IF('Your Debts'!$G$6=0,0,INDEX('Your Debts'!$C$5:$C$12,'Your Debts'!$G$6)/12)),2)</f>
        <v/>
      </c>
      <c r="H95" s="27">
        <f>MIN((I94)+G95,MAX(0,$C95-(E95)))</f>
        <v/>
      </c>
      <c r="I95" s="27">
        <f>ROUND(MAX(0,(I94)+G95-H95),2)</f>
        <v/>
      </c>
      <c r="J95" s="27">
        <f>ROUND((L94)*(IF('Your Debts'!$G$7=0,0,INDEX('Your Debts'!$C$5:$C$12,'Your Debts'!$G$7)/12)),2)</f>
        <v/>
      </c>
      <c r="K95" s="27">
        <f>MIN((L94)+J95,MAX(0,$C95-(E95+H95)))</f>
        <v/>
      </c>
      <c r="L95" s="27">
        <f>ROUND(MAX(0,(L94)+J95-K95),2)</f>
        <v/>
      </c>
      <c r="M95" s="27">
        <f>ROUND((O94)*(IF('Your Debts'!$G$8=0,0,INDEX('Your Debts'!$C$5:$C$12,'Your Debts'!$G$8)/12)),2)</f>
        <v/>
      </c>
      <c r="N95" s="27">
        <f>MIN((O94)+M95,MAX(0,$C95-(E95+H95+K95)))</f>
        <v/>
      </c>
      <c r="O95" s="27">
        <f>ROUND(MAX(0,(O94)+M95-N95),2)</f>
        <v/>
      </c>
      <c r="P95" s="27">
        <f>ROUND((R94)*(IF('Your Debts'!$G$9=0,0,INDEX('Your Debts'!$C$5:$C$12,'Your Debts'!$G$9)/12)),2)</f>
        <v/>
      </c>
      <c r="Q95" s="27">
        <f>MIN((R94)+P95,MAX(0,$C95-(E95+H95+K95+N95)))</f>
        <v/>
      </c>
      <c r="R95" s="27">
        <f>ROUND(MAX(0,(R94)+P95-Q95),2)</f>
        <v/>
      </c>
      <c r="S95" s="27">
        <f>ROUND((U94)*(IF('Your Debts'!$G$10=0,0,INDEX('Your Debts'!$C$5:$C$12,'Your Debts'!$G$10)/12)),2)</f>
        <v/>
      </c>
      <c r="T95" s="27">
        <f>MIN((U94)+S95,MAX(0,$C95-(E95+H95+K95+N95+Q95)))</f>
        <v/>
      </c>
      <c r="U95" s="27">
        <f>ROUND(MAX(0,(U94)+S95-T95),2)</f>
        <v/>
      </c>
      <c r="V95" s="27">
        <f>ROUND((X94)*(IF('Your Debts'!$G$11=0,0,INDEX('Your Debts'!$C$5:$C$12,'Your Debts'!$G$11)/12)),2)</f>
        <v/>
      </c>
      <c r="W95" s="27">
        <f>MIN((X94)+V95,MAX(0,$C95-(E95+H95+K95+N95+Q95+T95)))</f>
        <v/>
      </c>
      <c r="X95" s="27">
        <f>ROUND(MAX(0,(X94)+V95-W95),2)</f>
        <v/>
      </c>
      <c r="Y95" s="27">
        <f>ROUND((AA94)*(IF('Your Debts'!$G$12=0,0,INDEX('Your Debts'!$C$5:$C$12,'Your Debts'!$G$12)/12)),2)</f>
        <v/>
      </c>
      <c r="Z95" s="27">
        <f>MIN((AA94)+Y95,MAX(0,$C95-(E95+H95+K95+N95+Q95+T95+W95)))</f>
        <v/>
      </c>
      <c r="AA95" s="27">
        <f>ROUND(MAX(0,(AA94)+Y95-Z95),2)</f>
        <v/>
      </c>
      <c r="AB95" s="18">
        <f>F95+I95+L95+O95+R95+U95+X95+AA95</f>
        <v/>
      </c>
      <c r="AC95" s="26">
        <f>AC94+D95+G95+J95+M95+P95+S95+V95+Y95</f>
        <v/>
      </c>
    </row>
    <row r="96">
      <c r="A96" s="24" t="n">
        <v>91</v>
      </c>
      <c r="B96" s="25">
        <f>EDATE('Your Debts'!$B$19,90)</f>
        <v/>
      </c>
      <c r="C96" s="26">
        <f>'Your Debts'!$B$18</f>
        <v/>
      </c>
      <c r="D96" s="27">
        <f>ROUND((F95)*(IF('Your Debts'!$G$5=0,0,INDEX('Your Debts'!$C$5:$C$12,'Your Debts'!$G$5)/12)),2)</f>
        <v/>
      </c>
      <c r="E96" s="27">
        <f>MIN((F95)+D96,MAX(0,$C96-(0)))</f>
        <v/>
      </c>
      <c r="F96" s="27">
        <f>ROUND(MAX(0,(F95)+D96-E96),2)</f>
        <v/>
      </c>
      <c r="G96" s="27">
        <f>ROUND((I95)*(IF('Your Debts'!$G$6=0,0,INDEX('Your Debts'!$C$5:$C$12,'Your Debts'!$G$6)/12)),2)</f>
        <v/>
      </c>
      <c r="H96" s="27">
        <f>MIN((I95)+G96,MAX(0,$C96-(E96)))</f>
        <v/>
      </c>
      <c r="I96" s="27">
        <f>ROUND(MAX(0,(I95)+G96-H96),2)</f>
        <v/>
      </c>
      <c r="J96" s="27">
        <f>ROUND((L95)*(IF('Your Debts'!$G$7=0,0,INDEX('Your Debts'!$C$5:$C$12,'Your Debts'!$G$7)/12)),2)</f>
        <v/>
      </c>
      <c r="K96" s="27">
        <f>MIN((L95)+J96,MAX(0,$C96-(E96+H96)))</f>
        <v/>
      </c>
      <c r="L96" s="27">
        <f>ROUND(MAX(0,(L95)+J96-K96),2)</f>
        <v/>
      </c>
      <c r="M96" s="27">
        <f>ROUND((O95)*(IF('Your Debts'!$G$8=0,0,INDEX('Your Debts'!$C$5:$C$12,'Your Debts'!$G$8)/12)),2)</f>
        <v/>
      </c>
      <c r="N96" s="27">
        <f>MIN((O95)+M96,MAX(0,$C96-(E96+H96+K96)))</f>
        <v/>
      </c>
      <c r="O96" s="27">
        <f>ROUND(MAX(0,(O95)+M96-N96),2)</f>
        <v/>
      </c>
      <c r="P96" s="27">
        <f>ROUND((R95)*(IF('Your Debts'!$G$9=0,0,INDEX('Your Debts'!$C$5:$C$12,'Your Debts'!$G$9)/12)),2)</f>
        <v/>
      </c>
      <c r="Q96" s="27">
        <f>MIN((R95)+P96,MAX(0,$C96-(E96+H96+K96+N96)))</f>
        <v/>
      </c>
      <c r="R96" s="27">
        <f>ROUND(MAX(0,(R95)+P96-Q96),2)</f>
        <v/>
      </c>
      <c r="S96" s="27">
        <f>ROUND((U95)*(IF('Your Debts'!$G$10=0,0,INDEX('Your Debts'!$C$5:$C$12,'Your Debts'!$G$10)/12)),2)</f>
        <v/>
      </c>
      <c r="T96" s="27">
        <f>MIN((U95)+S96,MAX(0,$C96-(E96+H96+K96+N96+Q96)))</f>
        <v/>
      </c>
      <c r="U96" s="27">
        <f>ROUND(MAX(0,(U95)+S96-T96),2)</f>
        <v/>
      </c>
      <c r="V96" s="27">
        <f>ROUND((X95)*(IF('Your Debts'!$G$11=0,0,INDEX('Your Debts'!$C$5:$C$12,'Your Debts'!$G$11)/12)),2)</f>
        <v/>
      </c>
      <c r="W96" s="27">
        <f>MIN((X95)+V96,MAX(0,$C96-(E96+H96+K96+N96+Q96+T96)))</f>
        <v/>
      </c>
      <c r="X96" s="27">
        <f>ROUND(MAX(0,(X95)+V96-W96),2)</f>
        <v/>
      </c>
      <c r="Y96" s="27">
        <f>ROUND((AA95)*(IF('Your Debts'!$G$12=0,0,INDEX('Your Debts'!$C$5:$C$12,'Your Debts'!$G$12)/12)),2)</f>
        <v/>
      </c>
      <c r="Z96" s="27">
        <f>MIN((AA95)+Y96,MAX(0,$C96-(E96+H96+K96+N96+Q96+T96+W96)))</f>
        <v/>
      </c>
      <c r="AA96" s="27">
        <f>ROUND(MAX(0,(AA95)+Y96-Z96),2)</f>
        <v/>
      </c>
      <c r="AB96" s="18">
        <f>F96+I96+L96+O96+R96+U96+X96+AA96</f>
        <v/>
      </c>
      <c r="AC96" s="26">
        <f>AC95+D96+G96+J96+M96+P96+S96+V96+Y96</f>
        <v/>
      </c>
    </row>
    <row r="97">
      <c r="A97" s="24" t="n">
        <v>92</v>
      </c>
      <c r="B97" s="25">
        <f>EDATE('Your Debts'!$B$19,91)</f>
        <v/>
      </c>
      <c r="C97" s="26">
        <f>'Your Debts'!$B$18</f>
        <v/>
      </c>
      <c r="D97" s="27">
        <f>ROUND((F96)*(IF('Your Debts'!$G$5=0,0,INDEX('Your Debts'!$C$5:$C$12,'Your Debts'!$G$5)/12)),2)</f>
        <v/>
      </c>
      <c r="E97" s="27">
        <f>MIN((F96)+D97,MAX(0,$C97-(0)))</f>
        <v/>
      </c>
      <c r="F97" s="27">
        <f>ROUND(MAX(0,(F96)+D97-E97),2)</f>
        <v/>
      </c>
      <c r="G97" s="27">
        <f>ROUND((I96)*(IF('Your Debts'!$G$6=0,0,INDEX('Your Debts'!$C$5:$C$12,'Your Debts'!$G$6)/12)),2)</f>
        <v/>
      </c>
      <c r="H97" s="27">
        <f>MIN((I96)+G97,MAX(0,$C97-(E97)))</f>
        <v/>
      </c>
      <c r="I97" s="27">
        <f>ROUND(MAX(0,(I96)+G97-H97),2)</f>
        <v/>
      </c>
      <c r="J97" s="27">
        <f>ROUND((L96)*(IF('Your Debts'!$G$7=0,0,INDEX('Your Debts'!$C$5:$C$12,'Your Debts'!$G$7)/12)),2)</f>
        <v/>
      </c>
      <c r="K97" s="27">
        <f>MIN((L96)+J97,MAX(0,$C97-(E97+H97)))</f>
        <v/>
      </c>
      <c r="L97" s="27">
        <f>ROUND(MAX(0,(L96)+J97-K97),2)</f>
        <v/>
      </c>
      <c r="M97" s="27">
        <f>ROUND((O96)*(IF('Your Debts'!$G$8=0,0,INDEX('Your Debts'!$C$5:$C$12,'Your Debts'!$G$8)/12)),2)</f>
        <v/>
      </c>
      <c r="N97" s="27">
        <f>MIN((O96)+M97,MAX(0,$C97-(E97+H97+K97)))</f>
        <v/>
      </c>
      <c r="O97" s="27">
        <f>ROUND(MAX(0,(O96)+M97-N97),2)</f>
        <v/>
      </c>
      <c r="P97" s="27">
        <f>ROUND((R96)*(IF('Your Debts'!$G$9=0,0,INDEX('Your Debts'!$C$5:$C$12,'Your Debts'!$G$9)/12)),2)</f>
        <v/>
      </c>
      <c r="Q97" s="27">
        <f>MIN((R96)+P97,MAX(0,$C97-(E97+H97+K97+N97)))</f>
        <v/>
      </c>
      <c r="R97" s="27">
        <f>ROUND(MAX(0,(R96)+P97-Q97),2)</f>
        <v/>
      </c>
      <c r="S97" s="27">
        <f>ROUND((U96)*(IF('Your Debts'!$G$10=0,0,INDEX('Your Debts'!$C$5:$C$12,'Your Debts'!$G$10)/12)),2)</f>
        <v/>
      </c>
      <c r="T97" s="27">
        <f>MIN((U96)+S97,MAX(0,$C97-(E97+H97+K97+N97+Q97)))</f>
        <v/>
      </c>
      <c r="U97" s="27">
        <f>ROUND(MAX(0,(U96)+S97-T97),2)</f>
        <v/>
      </c>
      <c r="V97" s="27">
        <f>ROUND((X96)*(IF('Your Debts'!$G$11=0,0,INDEX('Your Debts'!$C$5:$C$12,'Your Debts'!$G$11)/12)),2)</f>
        <v/>
      </c>
      <c r="W97" s="27">
        <f>MIN((X96)+V97,MAX(0,$C97-(E97+H97+K97+N97+Q97+T97)))</f>
        <v/>
      </c>
      <c r="X97" s="27">
        <f>ROUND(MAX(0,(X96)+V97-W97),2)</f>
        <v/>
      </c>
      <c r="Y97" s="27">
        <f>ROUND((AA96)*(IF('Your Debts'!$G$12=0,0,INDEX('Your Debts'!$C$5:$C$12,'Your Debts'!$G$12)/12)),2)</f>
        <v/>
      </c>
      <c r="Z97" s="27">
        <f>MIN((AA96)+Y97,MAX(0,$C97-(E97+H97+K97+N97+Q97+T97+W97)))</f>
        <v/>
      </c>
      <c r="AA97" s="27">
        <f>ROUND(MAX(0,(AA96)+Y97-Z97),2)</f>
        <v/>
      </c>
      <c r="AB97" s="18">
        <f>F97+I97+L97+O97+R97+U97+X97+AA97</f>
        <v/>
      </c>
      <c r="AC97" s="26">
        <f>AC96+D97+G97+J97+M97+P97+S97+V97+Y97</f>
        <v/>
      </c>
    </row>
    <row r="98">
      <c r="A98" s="24" t="n">
        <v>93</v>
      </c>
      <c r="B98" s="25">
        <f>EDATE('Your Debts'!$B$19,92)</f>
        <v/>
      </c>
      <c r="C98" s="26">
        <f>'Your Debts'!$B$18</f>
        <v/>
      </c>
      <c r="D98" s="27">
        <f>ROUND((F97)*(IF('Your Debts'!$G$5=0,0,INDEX('Your Debts'!$C$5:$C$12,'Your Debts'!$G$5)/12)),2)</f>
        <v/>
      </c>
      <c r="E98" s="27">
        <f>MIN((F97)+D98,MAX(0,$C98-(0)))</f>
        <v/>
      </c>
      <c r="F98" s="27">
        <f>ROUND(MAX(0,(F97)+D98-E98),2)</f>
        <v/>
      </c>
      <c r="G98" s="27">
        <f>ROUND((I97)*(IF('Your Debts'!$G$6=0,0,INDEX('Your Debts'!$C$5:$C$12,'Your Debts'!$G$6)/12)),2)</f>
        <v/>
      </c>
      <c r="H98" s="27">
        <f>MIN((I97)+G98,MAX(0,$C98-(E98)))</f>
        <v/>
      </c>
      <c r="I98" s="27">
        <f>ROUND(MAX(0,(I97)+G98-H98),2)</f>
        <v/>
      </c>
      <c r="J98" s="27">
        <f>ROUND((L97)*(IF('Your Debts'!$G$7=0,0,INDEX('Your Debts'!$C$5:$C$12,'Your Debts'!$G$7)/12)),2)</f>
        <v/>
      </c>
      <c r="K98" s="27">
        <f>MIN((L97)+J98,MAX(0,$C98-(E98+H98)))</f>
        <v/>
      </c>
      <c r="L98" s="27">
        <f>ROUND(MAX(0,(L97)+J98-K98),2)</f>
        <v/>
      </c>
      <c r="M98" s="27">
        <f>ROUND((O97)*(IF('Your Debts'!$G$8=0,0,INDEX('Your Debts'!$C$5:$C$12,'Your Debts'!$G$8)/12)),2)</f>
        <v/>
      </c>
      <c r="N98" s="27">
        <f>MIN((O97)+M98,MAX(0,$C98-(E98+H98+K98)))</f>
        <v/>
      </c>
      <c r="O98" s="27">
        <f>ROUND(MAX(0,(O97)+M98-N98),2)</f>
        <v/>
      </c>
      <c r="P98" s="27">
        <f>ROUND((R97)*(IF('Your Debts'!$G$9=0,0,INDEX('Your Debts'!$C$5:$C$12,'Your Debts'!$G$9)/12)),2)</f>
        <v/>
      </c>
      <c r="Q98" s="27">
        <f>MIN((R97)+P98,MAX(0,$C98-(E98+H98+K98+N98)))</f>
        <v/>
      </c>
      <c r="R98" s="27">
        <f>ROUND(MAX(0,(R97)+P98-Q98),2)</f>
        <v/>
      </c>
      <c r="S98" s="27">
        <f>ROUND((U97)*(IF('Your Debts'!$G$10=0,0,INDEX('Your Debts'!$C$5:$C$12,'Your Debts'!$G$10)/12)),2)</f>
        <v/>
      </c>
      <c r="T98" s="27">
        <f>MIN((U97)+S98,MAX(0,$C98-(E98+H98+K98+N98+Q98)))</f>
        <v/>
      </c>
      <c r="U98" s="27">
        <f>ROUND(MAX(0,(U97)+S98-T98),2)</f>
        <v/>
      </c>
      <c r="V98" s="27">
        <f>ROUND((X97)*(IF('Your Debts'!$G$11=0,0,INDEX('Your Debts'!$C$5:$C$12,'Your Debts'!$G$11)/12)),2)</f>
        <v/>
      </c>
      <c r="W98" s="27">
        <f>MIN((X97)+V98,MAX(0,$C98-(E98+H98+K98+N98+Q98+T98)))</f>
        <v/>
      </c>
      <c r="X98" s="27">
        <f>ROUND(MAX(0,(X97)+V98-W98),2)</f>
        <v/>
      </c>
      <c r="Y98" s="27">
        <f>ROUND((AA97)*(IF('Your Debts'!$G$12=0,0,INDEX('Your Debts'!$C$5:$C$12,'Your Debts'!$G$12)/12)),2)</f>
        <v/>
      </c>
      <c r="Z98" s="27">
        <f>MIN((AA97)+Y98,MAX(0,$C98-(E98+H98+K98+N98+Q98+T98+W98)))</f>
        <v/>
      </c>
      <c r="AA98" s="27">
        <f>ROUND(MAX(0,(AA97)+Y98-Z98),2)</f>
        <v/>
      </c>
      <c r="AB98" s="18">
        <f>F98+I98+L98+O98+R98+U98+X98+AA98</f>
        <v/>
      </c>
      <c r="AC98" s="26">
        <f>AC97+D98+G98+J98+M98+P98+S98+V98+Y98</f>
        <v/>
      </c>
    </row>
    <row r="99">
      <c r="A99" s="24" t="n">
        <v>94</v>
      </c>
      <c r="B99" s="25">
        <f>EDATE('Your Debts'!$B$19,93)</f>
        <v/>
      </c>
      <c r="C99" s="26">
        <f>'Your Debts'!$B$18</f>
        <v/>
      </c>
      <c r="D99" s="27">
        <f>ROUND((F98)*(IF('Your Debts'!$G$5=0,0,INDEX('Your Debts'!$C$5:$C$12,'Your Debts'!$G$5)/12)),2)</f>
        <v/>
      </c>
      <c r="E99" s="27">
        <f>MIN((F98)+D99,MAX(0,$C99-(0)))</f>
        <v/>
      </c>
      <c r="F99" s="27">
        <f>ROUND(MAX(0,(F98)+D99-E99),2)</f>
        <v/>
      </c>
      <c r="G99" s="27">
        <f>ROUND((I98)*(IF('Your Debts'!$G$6=0,0,INDEX('Your Debts'!$C$5:$C$12,'Your Debts'!$G$6)/12)),2)</f>
        <v/>
      </c>
      <c r="H99" s="27">
        <f>MIN((I98)+G99,MAX(0,$C99-(E99)))</f>
        <v/>
      </c>
      <c r="I99" s="27">
        <f>ROUND(MAX(0,(I98)+G99-H99),2)</f>
        <v/>
      </c>
      <c r="J99" s="27">
        <f>ROUND((L98)*(IF('Your Debts'!$G$7=0,0,INDEX('Your Debts'!$C$5:$C$12,'Your Debts'!$G$7)/12)),2)</f>
        <v/>
      </c>
      <c r="K99" s="27">
        <f>MIN((L98)+J99,MAX(0,$C99-(E99+H99)))</f>
        <v/>
      </c>
      <c r="L99" s="27">
        <f>ROUND(MAX(0,(L98)+J99-K99),2)</f>
        <v/>
      </c>
      <c r="M99" s="27">
        <f>ROUND((O98)*(IF('Your Debts'!$G$8=0,0,INDEX('Your Debts'!$C$5:$C$12,'Your Debts'!$G$8)/12)),2)</f>
        <v/>
      </c>
      <c r="N99" s="27">
        <f>MIN((O98)+M99,MAX(0,$C99-(E99+H99+K99)))</f>
        <v/>
      </c>
      <c r="O99" s="27">
        <f>ROUND(MAX(0,(O98)+M99-N99),2)</f>
        <v/>
      </c>
      <c r="P99" s="27">
        <f>ROUND((R98)*(IF('Your Debts'!$G$9=0,0,INDEX('Your Debts'!$C$5:$C$12,'Your Debts'!$G$9)/12)),2)</f>
        <v/>
      </c>
      <c r="Q99" s="27">
        <f>MIN((R98)+P99,MAX(0,$C99-(E99+H99+K99+N99)))</f>
        <v/>
      </c>
      <c r="R99" s="27">
        <f>ROUND(MAX(0,(R98)+P99-Q99),2)</f>
        <v/>
      </c>
      <c r="S99" s="27">
        <f>ROUND((U98)*(IF('Your Debts'!$G$10=0,0,INDEX('Your Debts'!$C$5:$C$12,'Your Debts'!$G$10)/12)),2)</f>
        <v/>
      </c>
      <c r="T99" s="27">
        <f>MIN((U98)+S99,MAX(0,$C99-(E99+H99+K99+N99+Q99)))</f>
        <v/>
      </c>
      <c r="U99" s="27">
        <f>ROUND(MAX(0,(U98)+S99-T99),2)</f>
        <v/>
      </c>
      <c r="V99" s="27">
        <f>ROUND((X98)*(IF('Your Debts'!$G$11=0,0,INDEX('Your Debts'!$C$5:$C$12,'Your Debts'!$G$11)/12)),2)</f>
        <v/>
      </c>
      <c r="W99" s="27">
        <f>MIN((X98)+V99,MAX(0,$C99-(E99+H99+K99+N99+Q99+T99)))</f>
        <v/>
      </c>
      <c r="X99" s="27">
        <f>ROUND(MAX(0,(X98)+V99-W99),2)</f>
        <v/>
      </c>
      <c r="Y99" s="27">
        <f>ROUND((AA98)*(IF('Your Debts'!$G$12=0,0,INDEX('Your Debts'!$C$5:$C$12,'Your Debts'!$G$12)/12)),2)</f>
        <v/>
      </c>
      <c r="Z99" s="27">
        <f>MIN((AA98)+Y99,MAX(0,$C99-(E99+H99+K99+N99+Q99+T99+W99)))</f>
        <v/>
      </c>
      <c r="AA99" s="27">
        <f>ROUND(MAX(0,(AA98)+Y99-Z99),2)</f>
        <v/>
      </c>
      <c r="AB99" s="18">
        <f>F99+I99+L99+O99+R99+U99+X99+AA99</f>
        <v/>
      </c>
      <c r="AC99" s="26">
        <f>AC98+D99+G99+J99+M99+P99+S99+V99+Y99</f>
        <v/>
      </c>
    </row>
    <row r="100">
      <c r="A100" s="24" t="n">
        <v>95</v>
      </c>
      <c r="B100" s="25">
        <f>EDATE('Your Debts'!$B$19,94)</f>
        <v/>
      </c>
      <c r="C100" s="26">
        <f>'Your Debts'!$B$18</f>
        <v/>
      </c>
      <c r="D100" s="27">
        <f>ROUND((F99)*(IF('Your Debts'!$G$5=0,0,INDEX('Your Debts'!$C$5:$C$12,'Your Debts'!$G$5)/12)),2)</f>
        <v/>
      </c>
      <c r="E100" s="27">
        <f>MIN((F99)+D100,MAX(0,$C100-(0)))</f>
        <v/>
      </c>
      <c r="F100" s="27">
        <f>ROUND(MAX(0,(F99)+D100-E100),2)</f>
        <v/>
      </c>
      <c r="G100" s="27">
        <f>ROUND((I99)*(IF('Your Debts'!$G$6=0,0,INDEX('Your Debts'!$C$5:$C$12,'Your Debts'!$G$6)/12)),2)</f>
        <v/>
      </c>
      <c r="H100" s="27">
        <f>MIN((I99)+G100,MAX(0,$C100-(E100)))</f>
        <v/>
      </c>
      <c r="I100" s="27">
        <f>ROUND(MAX(0,(I99)+G100-H100),2)</f>
        <v/>
      </c>
      <c r="J100" s="27">
        <f>ROUND((L99)*(IF('Your Debts'!$G$7=0,0,INDEX('Your Debts'!$C$5:$C$12,'Your Debts'!$G$7)/12)),2)</f>
        <v/>
      </c>
      <c r="K100" s="27">
        <f>MIN((L99)+J100,MAX(0,$C100-(E100+H100)))</f>
        <v/>
      </c>
      <c r="L100" s="27">
        <f>ROUND(MAX(0,(L99)+J100-K100),2)</f>
        <v/>
      </c>
      <c r="M100" s="27">
        <f>ROUND((O99)*(IF('Your Debts'!$G$8=0,0,INDEX('Your Debts'!$C$5:$C$12,'Your Debts'!$G$8)/12)),2)</f>
        <v/>
      </c>
      <c r="N100" s="27">
        <f>MIN((O99)+M100,MAX(0,$C100-(E100+H100+K100)))</f>
        <v/>
      </c>
      <c r="O100" s="27">
        <f>ROUND(MAX(0,(O99)+M100-N100),2)</f>
        <v/>
      </c>
      <c r="P100" s="27">
        <f>ROUND((R99)*(IF('Your Debts'!$G$9=0,0,INDEX('Your Debts'!$C$5:$C$12,'Your Debts'!$G$9)/12)),2)</f>
        <v/>
      </c>
      <c r="Q100" s="27">
        <f>MIN((R99)+P100,MAX(0,$C100-(E100+H100+K100+N100)))</f>
        <v/>
      </c>
      <c r="R100" s="27">
        <f>ROUND(MAX(0,(R99)+P100-Q100),2)</f>
        <v/>
      </c>
      <c r="S100" s="27">
        <f>ROUND((U99)*(IF('Your Debts'!$G$10=0,0,INDEX('Your Debts'!$C$5:$C$12,'Your Debts'!$G$10)/12)),2)</f>
        <v/>
      </c>
      <c r="T100" s="27">
        <f>MIN((U99)+S100,MAX(0,$C100-(E100+H100+K100+N100+Q100)))</f>
        <v/>
      </c>
      <c r="U100" s="27">
        <f>ROUND(MAX(0,(U99)+S100-T100),2)</f>
        <v/>
      </c>
      <c r="V100" s="27">
        <f>ROUND((X99)*(IF('Your Debts'!$G$11=0,0,INDEX('Your Debts'!$C$5:$C$12,'Your Debts'!$G$11)/12)),2)</f>
        <v/>
      </c>
      <c r="W100" s="27">
        <f>MIN((X99)+V100,MAX(0,$C100-(E100+H100+K100+N100+Q100+T100)))</f>
        <v/>
      </c>
      <c r="X100" s="27">
        <f>ROUND(MAX(0,(X99)+V100-W100),2)</f>
        <v/>
      </c>
      <c r="Y100" s="27">
        <f>ROUND((AA99)*(IF('Your Debts'!$G$12=0,0,INDEX('Your Debts'!$C$5:$C$12,'Your Debts'!$G$12)/12)),2)</f>
        <v/>
      </c>
      <c r="Z100" s="27">
        <f>MIN((AA99)+Y100,MAX(0,$C100-(E100+H100+K100+N100+Q100+T100+W100)))</f>
        <v/>
      </c>
      <c r="AA100" s="27">
        <f>ROUND(MAX(0,(AA99)+Y100-Z100),2)</f>
        <v/>
      </c>
      <c r="AB100" s="18">
        <f>F100+I100+L100+O100+R100+U100+X100+AA100</f>
        <v/>
      </c>
      <c r="AC100" s="26">
        <f>AC99+D100+G100+J100+M100+P100+S100+V100+Y100</f>
        <v/>
      </c>
    </row>
    <row r="101">
      <c r="A101" s="24" t="n">
        <v>96</v>
      </c>
      <c r="B101" s="25">
        <f>EDATE('Your Debts'!$B$19,95)</f>
        <v/>
      </c>
      <c r="C101" s="26">
        <f>'Your Debts'!$B$18</f>
        <v/>
      </c>
      <c r="D101" s="27">
        <f>ROUND((F100)*(IF('Your Debts'!$G$5=0,0,INDEX('Your Debts'!$C$5:$C$12,'Your Debts'!$G$5)/12)),2)</f>
        <v/>
      </c>
      <c r="E101" s="27">
        <f>MIN((F100)+D101,MAX(0,$C101-(0)))</f>
        <v/>
      </c>
      <c r="F101" s="27">
        <f>ROUND(MAX(0,(F100)+D101-E101),2)</f>
        <v/>
      </c>
      <c r="G101" s="27">
        <f>ROUND((I100)*(IF('Your Debts'!$G$6=0,0,INDEX('Your Debts'!$C$5:$C$12,'Your Debts'!$G$6)/12)),2)</f>
        <v/>
      </c>
      <c r="H101" s="27">
        <f>MIN((I100)+G101,MAX(0,$C101-(E101)))</f>
        <v/>
      </c>
      <c r="I101" s="27">
        <f>ROUND(MAX(0,(I100)+G101-H101),2)</f>
        <v/>
      </c>
      <c r="J101" s="27">
        <f>ROUND((L100)*(IF('Your Debts'!$G$7=0,0,INDEX('Your Debts'!$C$5:$C$12,'Your Debts'!$G$7)/12)),2)</f>
        <v/>
      </c>
      <c r="K101" s="27">
        <f>MIN((L100)+J101,MAX(0,$C101-(E101+H101)))</f>
        <v/>
      </c>
      <c r="L101" s="27">
        <f>ROUND(MAX(0,(L100)+J101-K101),2)</f>
        <v/>
      </c>
      <c r="M101" s="27">
        <f>ROUND((O100)*(IF('Your Debts'!$G$8=0,0,INDEX('Your Debts'!$C$5:$C$12,'Your Debts'!$G$8)/12)),2)</f>
        <v/>
      </c>
      <c r="N101" s="27">
        <f>MIN((O100)+M101,MAX(0,$C101-(E101+H101+K101)))</f>
        <v/>
      </c>
      <c r="O101" s="27">
        <f>ROUND(MAX(0,(O100)+M101-N101),2)</f>
        <v/>
      </c>
      <c r="P101" s="27">
        <f>ROUND((R100)*(IF('Your Debts'!$G$9=0,0,INDEX('Your Debts'!$C$5:$C$12,'Your Debts'!$G$9)/12)),2)</f>
        <v/>
      </c>
      <c r="Q101" s="27">
        <f>MIN((R100)+P101,MAX(0,$C101-(E101+H101+K101+N101)))</f>
        <v/>
      </c>
      <c r="R101" s="27">
        <f>ROUND(MAX(0,(R100)+P101-Q101),2)</f>
        <v/>
      </c>
      <c r="S101" s="27">
        <f>ROUND((U100)*(IF('Your Debts'!$G$10=0,0,INDEX('Your Debts'!$C$5:$C$12,'Your Debts'!$G$10)/12)),2)</f>
        <v/>
      </c>
      <c r="T101" s="27">
        <f>MIN((U100)+S101,MAX(0,$C101-(E101+H101+K101+N101+Q101)))</f>
        <v/>
      </c>
      <c r="U101" s="27">
        <f>ROUND(MAX(0,(U100)+S101-T101),2)</f>
        <v/>
      </c>
      <c r="V101" s="27">
        <f>ROUND((X100)*(IF('Your Debts'!$G$11=0,0,INDEX('Your Debts'!$C$5:$C$12,'Your Debts'!$G$11)/12)),2)</f>
        <v/>
      </c>
      <c r="W101" s="27">
        <f>MIN((X100)+V101,MAX(0,$C101-(E101+H101+K101+N101+Q101+T101)))</f>
        <v/>
      </c>
      <c r="X101" s="27">
        <f>ROUND(MAX(0,(X100)+V101-W101),2)</f>
        <v/>
      </c>
      <c r="Y101" s="27">
        <f>ROUND((AA100)*(IF('Your Debts'!$G$12=0,0,INDEX('Your Debts'!$C$5:$C$12,'Your Debts'!$G$12)/12)),2)</f>
        <v/>
      </c>
      <c r="Z101" s="27">
        <f>MIN((AA100)+Y101,MAX(0,$C101-(E101+H101+K101+N101+Q101+T101+W101)))</f>
        <v/>
      </c>
      <c r="AA101" s="27">
        <f>ROUND(MAX(0,(AA100)+Y101-Z101),2)</f>
        <v/>
      </c>
      <c r="AB101" s="18">
        <f>F101+I101+L101+O101+R101+U101+X101+AA101</f>
        <v/>
      </c>
      <c r="AC101" s="26">
        <f>AC100+D101+G101+J101+M101+P101+S101+V101+Y101</f>
        <v/>
      </c>
    </row>
    <row r="102">
      <c r="A102" s="24" t="n">
        <v>97</v>
      </c>
      <c r="B102" s="25">
        <f>EDATE('Your Debts'!$B$19,96)</f>
        <v/>
      </c>
      <c r="C102" s="26">
        <f>'Your Debts'!$B$18</f>
        <v/>
      </c>
      <c r="D102" s="27">
        <f>ROUND((F101)*(IF('Your Debts'!$G$5=0,0,INDEX('Your Debts'!$C$5:$C$12,'Your Debts'!$G$5)/12)),2)</f>
        <v/>
      </c>
      <c r="E102" s="27">
        <f>MIN((F101)+D102,MAX(0,$C102-(0)))</f>
        <v/>
      </c>
      <c r="F102" s="27">
        <f>ROUND(MAX(0,(F101)+D102-E102),2)</f>
        <v/>
      </c>
      <c r="G102" s="27">
        <f>ROUND((I101)*(IF('Your Debts'!$G$6=0,0,INDEX('Your Debts'!$C$5:$C$12,'Your Debts'!$G$6)/12)),2)</f>
        <v/>
      </c>
      <c r="H102" s="27">
        <f>MIN((I101)+G102,MAX(0,$C102-(E102)))</f>
        <v/>
      </c>
      <c r="I102" s="27">
        <f>ROUND(MAX(0,(I101)+G102-H102),2)</f>
        <v/>
      </c>
      <c r="J102" s="27">
        <f>ROUND((L101)*(IF('Your Debts'!$G$7=0,0,INDEX('Your Debts'!$C$5:$C$12,'Your Debts'!$G$7)/12)),2)</f>
        <v/>
      </c>
      <c r="K102" s="27">
        <f>MIN((L101)+J102,MAX(0,$C102-(E102+H102)))</f>
        <v/>
      </c>
      <c r="L102" s="27">
        <f>ROUND(MAX(0,(L101)+J102-K102),2)</f>
        <v/>
      </c>
      <c r="M102" s="27">
        <f>ROUND((O101)*(IF('Your Debts'!$G$8=0,0,INDEX('Your Debts'!$C$5:$C$12,'Your Debts'!$G$8)/12)),2)</f>
        <v/>
      </c>
      <c r="N102" s="27">
        <f>MIN((O101)+M102,MAX(0,$C102-(E102+H102+K102)))</f>
        <v/>
      </c>
      <c r="O102" s="27">
        <f>ROUND(MAX(0,(O101)+M102-N102),2)</f>
        <v/>
      </c>
      <c r="P102" s="27">
        <f>ROUND((R101)*(IF('Your Debts'!$G$9=0,0,INDEX('Your Debts'!$C$5:$C$12,'Your Debts'!$G$9)/12)),2)</f>
        <v/>
      </c>
      <c r="Q102" s="27">
        <f>MIN((R101)+P102,MAX(0,$C102-(E102+H102+K102+N102)))</f>
        <v/>
      </c>
      <c r="R102" s="27">
        <f>ROUND(MAX(0,(R101)+P102-Q102),2)</f>
        <v/>
      </c>
      <c r="S102" s="27">
        <f>ROUND((U101)*(IF('Your Debts'!$G$10=0,0,INDEX('Your Debts'!$C$5:$C$12,'Your Debts'!$G$10)/12)),2)</f>
        <v/>
      </c>
      <c r="T102" s="27">
        <f>MIN((U101)+S102,MAX(0,$C102-(E102+H102+K102+N102+Q102)))</f>
        <v/>
      </c>
      <c r="U102" s="27">
        <f>ROUND(MAX(0,(U101)+S102-T102),2)</f>
        <v/>
      </c>
      <c r="V102" s="27">
        <f>ROUND((X101)*(IF('Your Debts'!$G$11=0,0,INDEX('Your Debts'!$C$5:$C$12,'Your Debts'!$G$11)/12)),2)</f>
        <v/>
      </c>
      <c r="W102" s="27">
        <f>MIN((X101)+V102,MAX(0,$C102-(E102+H102+K102+N102+Q102+T102)))</f>
        <v/>
      </c>
      <c r="X102" s="27">
        <f>ROUND(MAX(0,(X101)+V102-W102),2)</f>
        <v/>
      </c>
      <c r="Y102" s="27">
        <f>ROUND((AA101)*(IF('Your Debts'!$G$12=0,0,INDEX('Your Debts'!$C$5:$C$12,'Your Debts'!$G$12)/12)),2)</f>
        <v/>
      </c>
      <c r="Z102" s="27">
        <f>MIN((AA101)+Y102,MAX(0,$C102-(E102+H102+K102+N102+Q102+T102+W102)))</f>
        <v/>
      </c>
      <c r="AA102" s="27">
        <f>ROUND(MAX(0,(AA101)+Y102-Z102),2)</f>
        <v/>
      </c>
      <c r="AB102" s="18">
        <f>F102+I102+L102+O102+R102+U102+X102+AA102</f>
        <v/>
      </c>
      <c r="AC102" s="26">
        <f>AC101+D102+G102+J102+M102+P102+S102+V102+Y102</f>
        <v/>
      </c>
    </row>
    <row r="103">
      <c r="A103" s="24" t="n">
        <v>98</v>
      </c>
      <c r="B103" s="25">
        <f>EDATE('Your Debts'!$B$19,97)</f>
        <v/>
      </c>
      <c r="C103" s="26">
        <f>'Your Debts'!$B$18</f>
        <v/>
      </c>
      <c r="D103" s="27">
        <f>ROUND((F102)*(IF('Your Debts'!$G$5=0,0,INDEX('Your Debts'!$C$5:$C$12,'Your Debts'!$G$5)/12)),2)</f>
        <v/>
      </c>
      <c r="E103" s="27">
        <f>MIN((F102)+D103,MAX(0,$C103-(0)))</f>
        <v/>
      </c>
      <c r="F103" s="27">
        <f>ROUND(MAX(0,(F102)+D103-E103),2)</f>
        <v/>
      </c>
      <c r="G103" s="27">
        <f>ROUND((I102)*(IF('Your Debts'!$G$6=0,0,INDEX('Your Debts'!$C$5:$C$12,'Your Debts'!$G$6)/12)),2)</f>
        <v/>
      </c>
      <c r="H103" s="27">
        <f>MIN((I102)+G103,MAX(0,$C103-(E103)))</f>
        <v/>
      </c>
      <c r="I103" s="27">
        <f>ROUND(MAX(0,(I102)+G103-H103),2)</f>
        <v/>
      </c>
      <c r="J103" s="27">
        <f>ROUND((L102)*(IF('Your Debts'!$G$7=0,0,INDEX('Your Debts'!$C$5:$C$12,'Your Debts'!$G$7)/12)),2)</f>
        <v/>
      </c>
      <c r="K103" s="27">
        <f>MIN((L102)+J103,MAX(0,$C103-(E103+H103)))</f>
        <v/>
      </c>
      <c r="L103" s="27">
        <f>ROUND(MAX(0,(L102)+J103-K103),2)</f>
        <v/>
      </c>
      <c r="M103" s="27">
        <f>ROUND((O102)*(IF('Your Debts'!$G$8=0,0,INDEX('Your Debts'!$C$5:$C$12,'Your Debts'!$G$8)/12)),2)</f>
        <v/>
      </c>
      <c r="N103" s="27">
        <f>MIN((O102)+M103,MAX(0,$C103-(E103+H103+K103)))</f>
        <v/>
      </c>
      <c r="O103" s="27">
        <f>ROUND(MAX(0,(O102)+M103-N103),2)</f>
        <v/>
      </c>
      <c r="P103" s="27">
        <f>ROUND((R102)*(IF('Your Debts'!$G$9=0,0,INDEX('Your Debts'!$C$5:$C$12,'Your Debts'!$G$9)/12)),2)</f>
        <v/>
      </c>
      <c r="Q103" s="27">
        <f>MIN((R102)+P103,MAX(0,$C103-(E103+H103+K103+N103)))</f>
        <v/>
      </c>
      <c r="R103" s="27">
        <f>ROUND(MAX(0,(R102)+P103-Q103),2)</f>
        <v/>
      </c>
      <c r="S103" s="27">
        <f>ROUND((U102)*(IF('Your Debts'!$G$10=0,0,INDEX('Your Debts'!$C$5:$C$12,'Your Debts'!$G$10)/12)),2)</f>
        <v/>
      </c>
      <c r="T103" s="27">
        <f>MIN((U102)+S103,MAX(0,$C103-(E103+H103+K103+N103+Q103)))</f>
        <v/>
      </c>
      <c r="U103" s="27">
        <f>ROUND(MAX(0,(U102)+S103-T103),2)</f>
        <v/>
      </c>
      <c r="V103" s="27">
        <f>ROUND((X102)*(IF('Your Debts'!$G$11=0,0,INDEX('Your Debts'!$C$5:$C$12,'Your Debts'!$G$11)/12)),2)</f>
        <v/>
      </c>
      <c r="W103" s="27">
        <f>MIN((X102)+V103,MAX(0,$C103-(E103+H103+K103+N103+Q103+T103)))</f>
        <v/>
      </c>
      <c r="X103" s="27">
        <f>ROUND(MAX(0,(X102)+V103-W103),2)</f>
        <v/>
      </c>
      <c r="Y103" s="27">
        <f>ROUND((AA102)*(IF('Your Debts'!$G$12=0,0,INDEX('Your Debts'!$C$5:$C$12,'Your Debts'!$G$12)/12)),2)</f>
        <v/>
      </c>
      <c r="Z103" s="27">
        <f>MIN((AA102)+Y103,MAX(0,$C103-(E103+H103+K103+N103+Q103+T103+W103)))</f>
        <v/>
      </c>
      <c r="AA103" s="27">
        <f>ROUND(MAX(0,(AA102)+Y103-Z103),2)</f>
        <v/>
      </c>
      <c r="AB103" s="18">
        <f>F103+I103+L103+O103+R103+U103+X103+AA103</f>
        <v/>
      </c>
      <c r="AC103" s="26">
        <f>AC102+D103+G103+J103+M103+P103+S103+V103+Y103</f>
        <v/>
      </c>
    </row>
    <row r="104">
      <c r="A104" s="24" t="n">
        <v>99</v>
      </c>
      <c r="B104" s="25">
        <f>EDATE('Your Debts'!$B$19,98)</f>
        <v/>
      </c>
      <c r="C104" s="26">
        <f>'Your Debts'!$B$18</f>
        <v/>
      </c>
      <c r="D104" s="27">
        <f>ROUND((F103)*(IF('Your Debts'!$G$5=0,0,INDEX('Your Debts'!$C$5:$C$12,'Your Debts'!$G$5)/12)),2)</f>
        <v/>
      </c>
      <c r="E104" s="27">
        <f>MIN((F103)+D104,MAX(0,$C104-(0)))</f>
        <v/>
      </c>
      <c r="F104" s="27">
        <f>ROUND(MAX(0,(F103)+D104-E104),2)</f>
        <v/>
      </c>
      <c r="G104" s="27">
        <f>ROUND((I103)*(IF('Your Debts'!$G$6=0,0,INDEX('Your Debts'!$C$5:$C$12,'Your Debts'!$G$6)/12)),2)</f>
        <v/>
      </c>
      <c r="H104" s="27">
        <f>MIN((I103)+G104,MAX(0,$C104-(E104)))</f>
        <v/>
      </c>
      <c r="I104" s="27">
        <f>ROUND(MAX(0,(I103)+G104-H104),2)</f>
        <v/>
      </c>
      <c r="J104" s="27">
        <f>ROUND((L103)*(IF('Your Debts'!$G$7=0,0,INDEX('Your Debts'!$C$5:$C$12,'Your Debts'!$G$7)/12)),2)</f>
        <v/>
      </c>
      <c r="K104" s="27">
        <f>MIN((L103)+J104,MAX(0,$C104-(E104+H104)))</f>
        <v/>
      </c>
      <c r="L104" s="27">
        <f>ROUND(MAX(0,(L103)+J104-K104),2)</f>
        <v/>
      </c>
      <c r="M104" s="27">
        <f>ROUND((O103)*(IF('Your Debts'!$G$8=0,0,INDEX('Your Debts'!$C$5:$C$12,'Your Debts'!$G$8)/12)),2)</f>
        <v/>
      </c>
      <c r="N104" s="27">
        <f>MIN((O103)+M104,MAX(0,$C104-(E104+H104+K104)))</f>
        <v/>
      </c>
      <c r="O104" s="27">
        <f>ROUND(MAX(0,(O103)+M104-N104),2)</f>
        <v/>
      </c>
      <c r="P104" s="27">
        <f>ROUND((R103)*(IF('Your Debts'!$G$9=0,0,INDEX('Your Debts'!$C$5:$C$12,'Your Debts'!$G$9)/12)),2)</f>
        <v/>
      </c>
      <c r="Q104" s="27">
        <f>MIN((R103)+P104,MAX(0,$C104-(E104+H104+K104+N104)))</f>
        <v/>
      </c>
      <c r="R104" s="27">
        <f>ROUND(MAX(0,(R103)+P104-Q104),2)</f>
        <v/>
      </c>
      <c r="S104" s="27">
        <f>ROUND((U103)*(IF('Your Debts'!$G$10=0,0,INDEX('Your Debts'!$C$5:$C$12,'Your Debts'!$G$10)/12)),2)</f>
        <v/>
      </c>
      <c r="T104" s="27">
        <f>MIN((U103)+S104,MAX(0,$C104-(E104+H104+K104+N104+Q104)))</f>
        <v/>
      </c>
      <c r="U104" s="27">
        <f>ROUND(MAX(0,(U103)+S104-T104),2)</f>
        <v/>
      </c>
      <c r="V104" s="27">
        <f>ROUND((X103)*(IF('Your Debts'!$G$11=0,0,INDEX('Your Debts'!$C$5:$C$12,'Your Debts'!$G$11)/12)),2)</f>
        <v/>
      </c>
      <c r="W104" s="27">
        <f>MIN((X103)+V104,MAX(0,$C104-(E104+H104+K104+N104+Q104+T104)))</f>
        <v/>
      </c>
      <c r="X104" s="27">
        <f>ROUND(MAX(0,(X103)+V104-W104),2)</f>
        <v/>
      </c>
      <c r="Y104" s="27">
        <f>ROUND((AA103)*(IF('Your Debts'!$G$12=0,0,INDEX('Your Debts'!$C$5:$C$12,'Your Debts'!$G$12)/12)),2)</f>
        <v/>
      </c>
      <c r="Z104" s="27">
        <f>MIN((AA103)+Y104,MAX(0,$C104-(E104+H104+K104+N104+Q104+T104+W104)))</f>
        <v/>
      </c>
      <c r="AA104" s="27">
        <f>ROUND(MAX(0,(AA103)+Y104-Z104),2)</f>
        <v/>
      </c>
      <c r="AB104" s="18">
        <f>F104+I104+L104+O104+R104+U104+X104+AA104</f>
        <v/>
      </c>
      <c r="AC104" s="26">
        <f>AC103+D104+G104+J104+M104+P104+S104+V104+Y104</f>
        <v/>
      </c>
    </row>
    <row r="105">
      <c r="A105" s="24" t="n">
        <v>100</v>
      </c>
      <c r="B105" s="25">
        <f>EDATE('Your Debts'!$B$19,99)</f>
        <v/>
      </c>
      <c r="C105" s="26">
        <f>'Your Debts'!$B$18</f>
        <v/>
      </c>
      <c r="D105" s="27">
        <f>ROUND((F104)*(IF('Your Debts'!$G$5=0,0,INDEX('Your Debts'!$C$5:$C$12,'Your Debts'!$G$5)/12)),2)</f>
        <v/>
      </c>
      <c r="E105" s="27">
        <f>MIN((F104)+D105,MAX(0,$C105-(0)))</f>
        <v/>
      </c>
      <c r="F105" s="27">
        <f>ROUND(MAX(0,(F104)+D105-E105),2)</f>
        <v/>
      </c>
      <c r="G105" s="27">
        <f>ROUND((I104)*(IF('Your Debts'!$G$6=0,0,INDEX('Your Debts'!$C$5:$C$12,'Your Debts'!$G$6)/12)),2)</f>
        <v/>
      </c>
      <c r="H105" s="27">
        <f>MIN((I104)+G105,MAX(0,$C105-(E105)))</f>
        <v/>
      </c>
      <c r="I105" s="27">
        <f>ROUND(MAX(0,(I104)+G105-H105),2)</f>
        <v/>
      </c>
      <c r="J105" s="27">
        <f>ROUND((L104)*(IF('Your Debts'!$G$7=0,0,INDEX('Your Debts'!$C$5:$C$12,'Your Debts'!$G$7)/12)),2)</f>
        <v/>
      </c>
      <c r="K105" s="27">
        <f>MIN((L104)+J105,MAX(0,$C105-(E105+H105)))</f>
        <v/>
      </c>
      <c r="L105" s="27">
        <f>ROUND(MAX(0,(L104)+J105-K105),2)</f>
        <v/>
      </c>
      <c r="M105" s="27">
        <f>ROUND((O104)*(IF('Your Debts'!$G$8=0,0,INDEX('Your Debts'!$C$5:$C$12,'Your Debts'!$G$8)/12)),2)</f>
        <v/>
      </c>
      <c r="N105" s="27">
        <f>MIN((O104)+M105,MAX(0,$C105-(E105+H105+K105)))</f>
        <v/>
      </c>
      <c r="O105" s="27">
        <f>ROUND(MAX(0,(O104)+M105-N105),2)</f>
        <v/>
      </c>
      <c r="P105" s="27">
        <f>ROUND((R104)*(IF('Your Debts'!$G$9=0,0,INDEX('Your Debts'!$C$5:$C$12,'Your Debts'!$G$9)/12)),2)</f>
        <v/>
      </c>
      <c r="Q105" s="27">
        <f>MIN((R104)+P105,MAX(0,$C105-(E105+H105+K105+N105)))</f>
        <v/>
      </c>
      <c r="R105" s="27">
        <f>ROUND(MAX(0,(R104)+P105-Q105),2)</f>
        <v/>
      </c>
      <c r="S105" s="27">
        <f>ROUND((U104)*(IF('Your Debts'!$G$10=0,0,INDEX('Your Debts'!$C$5:$C$12,'Your Debts'!$G$10)/12)),2)</f>
        <v/>
      </c>
      <c r="T105" s="27">
        <f>MIN((U104)+S105,MAX(0,$C105-(E105+H105+K105+N105+Q105)))</f>
        <v/>
      </c>
      <c r="U105" s="27">
        <f>ROUND(MAX(0,(U104)+S105-T105),2)</f>
        <v/>
      </c>
      <c r="V105" s="27">
        <f>ROUND((X104)*(IF('Your Debts'!$G$11=0,0,INDEX('Your Debts'!$C$5:$C$12,'Your Debts'!$G$11)/12)),2)</f>
        <v/>
      </c>
      <c r="W105" s="27">
        <f>MIN((X104)+V105,MAX(0,$C105-(E105+H105+K105+N105+Q105+T105)))</f>
        <v/>
      </c>
      <c r="X105" s="27">
        <f>ROUND(MAX(0,(X104)+V105-W105),2)</f>
        <v/>
      </c>
      <c r="Y105" s="27">
        <f>ROUND((AA104)*(IF('Your Debts'!$G$12=0,0,INDEX('Your Debts'!$C$5:$C$12,'Your Debts'!$G$12)/12)),2)</f>
        <v/>
      </c>
      <c r="Z105" s="27">
        <f>MIN((AA104)+Y105,MAX(0,$C105-(E105+H105+K105+N105+Q105+T105+W105)))</f>
        <v/>
      </c>
      <c r="AA105" s="27">
        <f>ROUND(MAX(0,(AA104)+Y105-Z105),2)</f>
        <v/>
      </c>
      <c r="AB105" s="18">
        <f>F105+I105+L105+O105+R105+U105+X105+AA105</f>
        <v/>
      </c>
      <c r="AC105" s="26">
        <f>AC104+D105+G105+J105+M105+P105+S105+V105+Y105</f>
        <v/>
      </c>
    </row>
    <row r="106">
      <c r="A106" s="24" t="n">
        <v>101</v>
      </c>
      <c r="B106" s="25">
        <f>EDATE('Your Debts'!$B$19,100)</f>
        <v/>
      </c>
      <c r="C106" s="26">
        <f>'Your Debts'!$B$18</f>
        <v/>
      </c>
      <c r="D106" s="27">
        <f>ROUND((F105)*(IF('Your Debts'!$G$5=0,0,INDEX('Your Debts'!$C$5:$C$12,'Your Debts'!$G$5)/12)),2)</f>
        <v/>
      </c>
      <c r="E106" s="27">
        <f>MIN((F105)+D106,MAX(0,$C106-(0)))</f>
        <v/>
      </c>
      <c r="F106" s="27">
        <f>ROUND(MAX(0,(F105)+D106-E106),2)</f>
        <v/>
      </c>
      <c r="G106" s="27">
        <f>ROUND((I105)*(IF('Your Debts'!$G$6=0,0,INDEX('Your Debts'!$C$5:$C$12,'Your Debts'!$G$6)/12)),2)</f>
        <v/>
      </c>
      <c r="H106" s="27">
        <f>MIN((I105)+G106,MAX(0,$C106-(E106)))</f>
        <v/>
      </c>
      <c r="I106" s="27">
        <f>ROUND(MAX(0,(I105)+G106-H106),2)</f>
        <v/>
      </c>
      <c r="J106" s="27">
        <f>ROUND((L105)*(IF('Your Debts'!$G$7=0,0,INDEX('Your Debts'!$C$5:$C$12,'Your Debts'!$G$7)/12)),2)</f>
        <v/>
      </c>
      <c r="K106" s="27">
        <f>MIN((L105)+J106,MAX(0,$C106-(E106+H106)))</f>
        <v/>
      </c>
      <c r="L106" s="27">
        <f>ROUND(MAX(0,(L105)+J106-K106),2)</f>
        <v/>
      </c>
      <c r="M106" s="27">
        <f>ROUND((O105)*(IF('Your Debts'!$G$8=0,0,INDEX('Your Debts'!$C$5:$C$12,'Your Debts'!$G$8)/12)),2)</f>
        <v/>
      </c>
      <c r="N106" s="27">
        <f>MIN((O105)+M106,MAX(0,$C106-(E106+H106+K106)))</f>
        <v/>
      </c>
      <c r="O106" s="27">
        <f>ROUND(MAX(0,(O105)+M106-N106),2)</f>
        <v/>
      </c>
      <c r="P106" s="27">
        <f>ROUND((R105)*(IF('Your Debts'!$G$9=0,0,INDEX('Your Debts'!$C$5:$C$12,'Your Debts'!$G$9)/12)),2)</f>
        <v/>
      </c>
      <c r="Q106" s="27">
        <f>MIN((R105)+P106,MAX(0,$C106-(E106+H106+K106+N106)))</f>
        <v/>
      </c>
      <c r="R106" s="27">
        <f>ROUND(MAX(0,(R105)+P106-Q106),2)</f>
        <v/>
      </c>
      <c r="S106" s="27">
        <f>ROUND((U105)*(IF('Your Debts'!$G$10=0,0,INDEX('Your Debts'!$C$5:$C$12,'Your Debts'!$G$10)/12)),2)</f>
        <v/>
      </c>
      <c r="T106" s="27">
        <f>MIN((U105)+S106,MAX(0,$C106-(E106+H106+K106+N106+Q106)))</f>
        <v/>
      </c>
      <c r="U106" s="27">
        <f>ROUND(MAX(0,(U105)+S106-T106),2)</f>
        <v/>
      </c>
      <c r="V106" s="27">
        <f>ROUND((X105)*(IF('Your Debts'!$G$11=0,0,INDEX('Your Debts'!$C$5:$C$12,'Your Debts'!$G$11)/12)),2)</f>
        <v/>
      </c>
      <c r="W106" s="27">
        <f>MIN((X105)+V106,MAX(0,$C106-(E106+H106+K106+N106+Q106+T106)))</f>
        <v/>
      </c>
      <c r="X106" s="27">
        <f>ROUND(MAX(0,(X105)+V106-W106),2)</f>
        <v/>
      </c>
      <c r="Y106" s="27">
        <f>ROUND((AA105)*(IF('Your Debts'!$G$12=0,0,INDEX('Your Debts'!$C$5:$C$12,'Your Debts'!$G$12)/12)),2)</f>
        <v/>
      </c>
      <c r="Z106" s="27">
        <f>MIN((AA105)+Y106,MAX(0,$C106-(E106+H106+K106+N106+Q106+T106+W106)))</f>
        <v/>
      </c>
      <c r="AA106" s="27">
        <f>ROUND(MAX(0,(AA105)+Y106-Z106),2)</f>
        <v/>
      </c>
      <c r="AB106" s="18">
        <f>F106+I106+L106+O106+R106+U106+X106+AA106</f>
        <v/>
      </c>
      <c r="AC106" s="26">
        <f>AC105+D106+G106+J106+M106+P106+S106+V106+Y106</f>
        <v/>
      </c>
    </row>
    <row r="107">
      <c r="A107" s="24" t="n">
        <v>102</v>
      </c>
      <c r="B107" s="25">
        <f>EDATE('Your Debts'!$B$19,101)</f>
        <v/>
      </c>
      <c r="C107" s="26">
        <f>'Your Debts'!$B$18</f>
        <v/>
      </c>
      <c r="D107" s="27">
        <f>ROUND((F106)*(IF('Your Debts'!$G$5=0,0,INDEX('Your Debts'!$C$5:$C$12,'Your Debts'!$G$5)/12)),2)</f>
        <v/>
      </c>
      <c r="E107" s="27">
        <f>MIN((F106)+D107,MAX(0,$C107-(0)))</f>
        <v/>
      </c>
      <c r="F107" s="27">
        <f>ROUND(MAX(0,(F106)+D107-E107),2)</f>
        <v/>
      </c>
      <c r="G107" s="27">
        <f>ROUND((I106)*(IF('Your Debts'!$G$6=0,0,INDEX('Your Debts'!$C$5:$C$12,'Your Debts'!$G$6)/12)),2)</f>
        <v/>
      </c>
      <c r="H107" s="27">
        <f>MIN((I106)+G107,MAX(0,$C107-(E107)))</f>
        <v/>
      </c>
      <c r="I107" s="27">
        <f>ROUND(MAX(0,(I106)+G107-H107),2)</f>
        <v/>
      </c>
      <c r="J107" s="27">
        <f>ROUND((L106)*(IF('Your Debts'!$G$7=0,0,INDEX('Your Debts'!$C$5:$C$12,'Your Debts'!$G$7)/12)),2)</f>
        <v/>
      </c>
      <c r="K107" s="27">
        <f>MIN((L106)+J107,MAX(0,$C107-(E107+H107)))</f>
        <v/>
      </c>
      <c r="L107" s="27">
        <f>ROUND(MAX(0,(L106)+J107-K107),2)</f>
        <v/>
      </c>
      <c r="M107" s="27">
        <f>ROUND((O106)*(IF('Your Debts'!$G$8=0,0,INDEX('Your Debts'!$C$5:$C$12,'Your Debts'!$G$8)/12)),2)</f>
        <v/>
      </c>
      <c r="N107" s="27">
        <f>MIN((O106)+M107,MAX(0,$C107-(E107+H107+K107)))</f>
        <v/>
      </c>
      <c r="O107" s="27">
        <f>ROUND(MAX(0,(O106)+M107-N107),2)</f>
        <v/>
      </c>
      <c r="P107" s="27">
        <f>ROUND((R106)*(IF('Your Debts'!$G$9=0,0,INDEX('Your Debts'!$C$5:$C$12,'Your Debts'!$G$9)/12)),2)</f>
        <v/>
      </c>
      <c r="Q107" s="27">
        <f>MIN((R106)+P107,MAX(0,$C107-(E107+H107+K107+N107)))</f>
        <v/>
      </c>
      <c r="R107" s="27">
        <f>ROUND(MAX(0,(R106)+P107-Q107),2)</f>
        <v/>
      </c>
      <c r="S107" s="27">
        <f>ROUND((U106)*(IF('Your Debts'!$G$10=0,0,INDEX('Your Debts'!$C$5:$C$12,'Your Debts'!$G$10)/12)),2)</f>
        <v/>
      </c>
      <c r="T107" s="27">
        <f>MIN((U106)+S107,MAX(0,$C107-(E107+H107+K107+N107+Q107)))</f>
        <v/>
      </c>
      <c r="U107" s="27">
        <f>ROUND(MAX(0,(U106)+S107-T107),2)</f>
        <v/>
      </c>
      <c r="V107" s="27">
        <f>ROUND((X106)*(IF('Your Debts'!$G$11=0,0,INDEX('Your Debts'!$C$5:$C$12,'Your Debts'!$G$11)/12)),2)</f>
        <v/>
      </c>
      <c r="W107" s="27">
        <f>MIN((X106)+V107,MAX(0,$C107-(E107+H107+K107+N107+Q107+T107)))</f>
        <v/>
      </c>
      <c r="X107" s="27">
        <f>ROUND(MAX(0,(X106)+V107-W107),2)</f>
        <v/>
      </c>
      <c r="Y107" s="27">
        <f>ROUND((AA106)*(IF('Your Debts'!$G$12=0,0,INDEX('Your Debts'!$C$5:$C$12,'Your Debts'!$G$12)/12)),2)</f>
        <v/>
      </c>
      <c r="Z107" s="27">
        <f>MIN((AA106)+Y107,MAX(0,$C107-(E107+H107+K107+N107+Q107+T107+W107)))</f>
        <v/>
      </c>
      <c r="AA107" s="27">
        <f>ROUND(MAX(0,(AA106)+Y107-Z107),2)</f>
        <v/>
      </c>
      <c r="AB107" s="18">
        <f>F107+I107+L107+O107+R107+U107+X107+AA107</f>
        <v/>
      </c>
      <c r="AC107" s="26">
        <f>AC106+D107+G107+J107+M107+P107+S107+V107+Y107</f>
        <v/>
      </c>
    </row>
    <row r="108">
      <c r="A108" s="24" t="n">
        <v>103</v>
      </c>
      <c r="B108" s="25">
        <f>EDATE('Your Debts'!$B$19,102)</f>
        <v/>
      </c>
      <c r="C108" s="26">
        <f>'Your Debts'!$B$18</f>
        <v/>
      </c>
      <c r="D108" s="27">
        <f>ROUND((F107)*(IF('Your Debts'!$G$5=0,0,INDEX('Your Debts'!$C$5:$C$12,'Your Debts'!$G$5)/12)),2)</f>
        <v/>
      </c>
      <c r="E108" s="27">
        <f>MIN((F107)+D108,MAX(0,$C108-(0)))</f>
        <v/>
      </c>
      <c r="F108" s="27">
        <f>ROUND(MAX(0,(F107)+D108-E108),2)</f>
        <v/>
      </c>
      <c r="G108" s="27">
        <f>ROUND((I107)*(IF('Your Debts'!$G$6=0,0,INDEX('Your Debts'!$C$5:$C$12,'Your Debts'!$G$6)/12)),2)</f>
        <v/>
      </c>
      <c r="H108" s="27">
        <f>MIN((I107)+G108,MAX(0,$C108-(E108)))</f>
        <v/>
      </c>
      <c r="I108" s="27">
        <f>ROUND(MAX(0,(I107)+G108-H108),2)</f>
        <v/>
      </c>
      <c r="J108" s="27">
        <f>ROUND((L107)*(IF('Your Debts'!$G$7=0,0,INDEX('Your Debts'!$C$5:$C$12,'Your Debts'!$G$7)/12)),2)</f>
        <v/>
      </c>
      <c r="K108" s="27">
        <f>MIN((L107)+J108,MAX(0,$C108-(E108+H108)))</f>
        <v/>
      </c>
      <c r="L108" s="27">
        <f>ROUND(MAX(0,(L107)+J108-K108),2)</f>
        <v/>
      </c>
      <c r="M108" s="27">
        <f>ROUND((O107)*(IF('Your Debts'!$G$8=0,0,INDEX('Your Debts'!$C$5:$C$12,'Your Debts'!$G$8)/12)),2)</f>
        <v/>
      </c>
      <c r="N108" s="27">
        <f>MIN((O107)+M108,MAX(0,$C108-(E108+H108+K108)))</f>
        <v/>
      </c>
      <c r="O108" s="27">
        <f>ROUND(MAX(0,(O107)+M108-N108),2)</f>
        <v/>
      </c>
      <c r="P108" s="27">
        <f>ROUND((R107)*(IF('Your Debts'!$G$9=0,0,INDEX('Your Debts'!$C$5:$C$12,'Your Debts'!$G$9)/12)),2)</f>
        <v/>
      </c>
      <c r="Q108" s="27">
        <f>MIN((R107)+P108,MAX(0,$C108-(E108+H108+K108+N108)))</f>
        <v/>
      </c>
      <c r="R108" s="27">
        <f>ROUND(MAX(0,(R107)+P108-Q108),2)</f>
        <v/>
      </c>
      <c r="S108" s="27">
        <f>ROUND((U107)*(IF('Your Debts'!$G$10=0,0,INDEX('Your Debts'!$C$5:$C$12,'Your Debts'!$G$10)/12)),2)</f>
        <v/>
      </c>
      <c r="T108" s="27">
        <f>MIN((U107)+S108,MAX(0,$C108-(E108+H108+K108+N108+Q108)))</f>
        <v/>
      </c>
      <c r="U108" s="27">
        <f>ROUND(MAX(0,(U107)+S108-T108),2)</f>
        <v/>
      </c>
      <c r="V108" s="27">
        <f>ROUND((X107)*(IF('Your Debts'!$G$11=0,0,INDEX('Your Debts'!$C$5:$C$12,'Your Debts'!$G$11)/12)),2)</f>
        <v/>
      </c>
      <c r="W108" s="27">
        <f>MIN((X107)+V108,MAX(0,$C108-(E108+H108+K108+N108+Q108+T108)))</f>
        <v/>
      </c>
      <c r="X108" s="27">
        <f>ROUND(MAX(0,(X107)+V108-W108),2)</f>
        <v/>
      </c>
      <c r="Y108" s="27">
        <f>ROUND((AA107)*(IF('Your Debts'!$G$12=0,0,INDEX('Your Debts'!$C$5:$C$12,'Your Debts'!$G$12)/12)),2)</f>
        <v/>
      </c>
      <c r="Z108" s="27">
        <f>MIN((AA107)+Y108,MAX(0,$C108-(E108+H108+K108+N108+Q108+T108+W108)))</f>
        <v/>
      </c>
      <c r="AA108" s="27">
        <f>ROUND(MAX(0,(AA107)+Y108-Z108),2)</f>
        <v/>
      </c>
      <c r="AB108" s="18">
        <f>F108+I108+L108+O108+R108+U108+X108+AA108</f>
        <v/>
      </c>
      <c r="AC108" s="26">
        <f>AC107+D108+G108+J108+M108+P108+S108+V108+Y108</f>
        <v/>
      </c>
    </row>
    <row r="109">
      <c r="A109" s="24" t="n">
        <v>104</v>
      </c>
      <c r="B109" s="25">
        <f>EDATE('Your Debts'!$B$19,103)</f>
        <v/>
      </c>
      <c r="C109" s="26">
        <f>'Your Debts'!$B$18</f>
        <v/>
      </c>
      <c r="D109" s="27">
        <f>ROUND((F108)*(IF('Your Debts'!$G$5=0,0,INDEX('Your Debts'!$C$5:$C$12,'Your Debts'!$G$5)/12)),2)</f>
        <v/>
      </c>
      <c r="E109" s="27">
        <f>MIN((F108)+D109,MAX(0,$C109-(0)))</f>
        <v/>
      </c>
      <c r="F109" s="27">
        <f>ROUND(MAX(0,(F108)+D109-E109),2)</f>
        <v/>
      </c>
      <c r="G109" s="27">
        <f>ROUND((I108)*(IF('Your Debts'!$G$6=0,0,INDEX('Your Debts'!$C$5:$C$12,'Your Debts'!$G$6)/12)),2)</f>
        <v/>
      </c>
      <c r="H109" s="27">
        <f>MIN((I108)+G109,MAX(0,$C109-(E109)))</f>
        <v/>
      </c>
      <c r="I109" s="27">
        <f>ROUND(MAX(0,(I108)+G109-H109),2)</f>
        <v/>
      </c>
      <c r="J109" s="27">
        <f>ROUND((L108)*(IF('Your Debts'!$G$7=0,0,INDEX('Your Debts'!$C$5:$C$12,'Your Debts'!$G$7)/12)),2)</f>
        <v/>
      </c>
      <c r="K109" s="27">
        <f>MIN((L108)+J109,MAX(0,$C109-(E109+H109)))</f>
        <v/>
      </c>
      <c r="L109" s="27">
        <f>ROUND(MAX(0,(L108)+J109-K109),2)</f>
        <v/>
      </c>
      <c r="M109" s="27">
        <f>ROUND((O108)*(IF('Your Debts'!$G$8=0,0,INDEX('Your Debts'!$C$5:$C$12,'Your Debts'!$G$8)/12)),2)</f>
        <v/>
      </c>
      <c r="N109" s="27">
        <f>MIN((O108)+M109,MAX(0,$C109-(E109+H109+K109)))</f>
        <v/>
      </c>
      <c r="O109" s="27">
        <f>ROUND(MAX(0,(O108)+M109-N109),2)</f>
        <v/>
      </c>
      <c r="P109" s="27">
        <f>ROUND((R108)*(IF('Your Debts'!$G$9=0,0,INDEX('Your Debts'!$C$5:$C$12,'Your Debts'!$G$9)/12)),2)</f>
        <v/>
      </c>
      <c r="Q109" s="27">
        <f>MIN((R108)+P109,MAX(0,$C109-(E109+H109+K109+N109)))</f>
        <v/>
      </c>
      <c r="R109" s="27">
        <f>ROUND(MAX(0,(R108)+P109-Q109),2)</f>
        <v/>
      </c>
      <c r="S109" s="27">
        <f>ROUND((U108)*(IF('Your Debts'!$G$10=0,0,INDEX('Your Debts'!$C$5:$C$12,'Your Debts'!$G$10)/12)),2)</f>
        <v/>
      </c>
      <c r="T109" s="27">
        <f>MIN((U108)+S109,MAX(0,$C109-(E109+H109+K109+N109+Q109)))</f>
        <v/>
      </c>
      <c r="U109" s="27">
        <f>ROUND(MAX(0,(U108)+S109-T109),2)</f>
        <v/>
      </c>
      <c r="V109" s="27">
        <f>ROUND((X108)*(IF('Your Debts'!$G$11=0,0,INDEX('Your Debts'!$C$5:$C$12,'Your Debts'!$G$11)/12)),2)</f>
        <v/>
      </c>
      <c r="W109" s="27">
        <f>MIN((X108)+V109,MAX(0,$C109-(E109+H109+K109+N109+Q109+T109)))</f>
        <v/>
      </c>
      <c r="X109" s="27">
        <f>ROUND(MAX(0,(X108)+V109-W109),2)</f>
        <v/>
      </c>
      <c r="Y109" s="27">
        <f>ROUND((AA108)*(IF('Your Debts'!$G$12=0,0,INDEX('Your Debts'!$C$5:$C$12,'Your Debts'!$G$12)/12)),2)</f>
        <v/>
      </c>
      <c r="Z109" s="27">
        <f>MIN((AA108)+Y109,MAX(0,$C109-(E109+H109+K109+N109+Q109+T109+W109)))</f>
        <v/>
      </c>
      <c r="AA109" s="27">
        <f>ROUND(MAX(0,(AA108)+Y109-Z109),2)</f>
        <v/>
      </c>
      <c r="AB109" s="18">
        <f>F109+I109+L109+O109+R109+U109+X109+AA109</f>
        <v/>
      </c>
      <c r="AC109" s="26">
        <f>AC108+D109+G109+J109+M109+P109+S109+V109+Y109</f>
        <v/>
      </c>
    </row>
    <row r="110">
      <c r="A110" s="24" t="n">
        <v>105</v>
      </c>
      <c r="B110" s="25">
        <f>EDATE('Your Debts'!$B$19,104)</f>
        <v/>
      </c>
      <c r="C110" s="26">
        <f>'Your Debts'!$B$18</f>
        <v/>
      </c>
      <c r="D110" s="27">
        <f>ROUND((F109)*(IF('Your Debts'!$G$5=0,0,INDEX('Your Debts'!$C$5:$C$12,'Your Debts'!$G$5)/12)),2)</f>
        <v/>
      </c>
      <c r="E110" s="27">
        <f>MIN((F109)+D110,MAX(0,$C110-(0)))</f>
        <v/>
      </c>
      <c r="F110" s="27">
        <f>ROUND(MAX(0,(F109)+D110-E110),2)</f>
        <v/>
      </c>
      <c r="G110" s="27">
        <f>ROUND((I109)*(IF('Your Debts'!$G$6=0,0,INDEX('Your Debts'!$C$5:$C$12,'Your Debts'!$G$6)/12)),2)</f>
        <v/>
      </c>
      <c r="H110" s="27">
        <f>MIN((I109)+G110,MAX(0,$C110-(E110)))</f>
        <v/>
      </c>
      <c r="I110" s="27">
        <f>ROUND(MAX(0,(I109)+G110-H110),2)</f>
        <v/>
      </c>
      <c r="J110" s="27">
        <f>ROUND((L109)*(IF('Your Debts'!$G$7=0,0,INDEX('Your Debts'!$C$5:$C$12,'Your Debts'!$G$7)/12)),2)</f>
        <v/>
      </c>
      <c r="K110" s="27">
        <f>MIN((L109)+J110,MAX(0,$C110-(E110+H110)))</f>
        <v/>
      </c>
      <c r="L110" s="27">
        <f>ROUND(MAX(0,(L109)+J110-K110),2)</f>
        <v/>
      </c>
      <c r="M110" s="27">
        <f>ROUND((O109)*(IF('Your Debts'!$G$8=0,0,INDEX('Your Debts'!$C$5:$C$12,'Your Debts'!$G$8)/12)),2)</f>
        <v/>
      </c>
      <c r="N110" s="27">
        <f>MIN((O109)+M110,MAX(0,$C110-(E110+H110+K110)))</f>
        <v/>
      </c>
      <c r="O110" s="27">
        <f>ROUND(MAX(0,(O109)+M110-N110),2)</f>
        <v/>
      </c>
      <c r="P110" s="27">
        <f>ROUND((R109)*(IF('Your Debts'!$G$9=0,0,INDEX('Your Debts'!$C$5:$C$12,'Your Debts'!$G$9)/12)),2)</f>
        <v/>
      </c>
      <c r="Q110" s="27">
        <f>MIN((R109)+P110,MAX(0,$C110-(E110+H110+K110+N110)))</f>
        <v/>
      </c>
      <c r="R110" s="27">
        <f>ROUND(MAX(0,(R109)+P110-Q110),2)</f>
        <v/>
      </c>
      <c r="S110" s="27">
        <f>ROUND((U109)*(IF('Your Debts'!$G$10=0,0,INDEX('Your Debts'!$C$5:$C$12,'Your Debts'!$G$10)/12)),2)</f>
        <v/>
      </c>
      <c r="T110" s="27">
        <f>MIN((U109)+S110,MAX(0,$C110-(E110+H110+K110+N110+Q110)))</f>
        <v/>
      </c>
      <c r="U110" s="27">
        <f>ROUND(MAX(0,(U109)+S110-T110),2)</f>
        <v/>
      </c>
      <c r="V110" s="27">
        <f>ROUND((X109)*(IF('Your Debts'!$G$11=0,0,INDEX('Your Debts'!$C$5:$C$12,'Your Debts'!$G$11)/12)),2)</f>
        <v/>
      </c>
      <c r="W110" s="27">
        <f>MIN((X109)+V110,MAX(0,$C110-(E110+H110+K110+N110+Q110+T110)))</f>
        <v/>
      </c>
      <c r="X110" s="27">
        <f>ROUND(MAX(0,(X109)+V110-W110),2)</f>
        <v/>
      </c>
      <c r="Y110" s="27">
        <f>ROUND((AA109)*(IF('Your Debts'!$G$12=0,0,INDEX('Your Debts'!$C$5:$C$12,'Your Debts'!$G$12)/12)),2)</f>
        <v/>
      </c>
      <c r="Z110" s="27">
        <f>MIN((AA109)+Y110,MAX(0,$C110-(E110+H110+K110+N110+Q110+T110+W110)))</f>
        <v/>
      </c>
      <c r="AA110" s="27">
        <f>ROUND(MAX(0,(AA109)+Y110-Z110),2)</f>
        <v/>
      </c>
      <c r="AB110" s="18">
        <f>F110+I110+L110+O110+R110+U110+X110+AA110</f>
        <v/>
      </c>
      <c r="AC110" s="26">
        <f>AC109+D110+G110+J110+M110+P110+S110+V110+Y110</f>
        <v/>
      </c>
    </row>
    <row r="111">
      <c r="A111" s="24" t="n">
        <v>106</v>
      </c>
      <c r="B111" s="25">
        <f>EDATE('Your Debts'!$B$19,105)</f>
        <v/>
      </c>
      <c r="C111" s="26">
        <f>'Your Debts'!$B$18</f>
        <v/>
      </c>
      <c r="D111" s="27">
        <f>ROUND((F110)*(IF('Your Debts'!$G$5=0,0,INDEX('Your Debts'!$C$5:$C$12,'Your Debts'!$G$5)/12)),2)</f>
        <v/>
      </c>
      <c r="E111" s="27">
        <f>MIN((F110)+D111,MAX(0,$C111-(0)))</f>
        <v/>
      </c>
      <c r="F111" s="27">
        <f>ROUND(MAX(0,(F110)+D111-E111),2)</f>
        <v/>
      </c>
      <c r="G111" s="27">
        <f>ROUND((I110)*(IF('Your Debts'!$G$6=0,0,INDEX('Your Debts'!$C$5:$C$12,'Your Debts'!$G$6)/12)),2)</f>
        <v/>
      </c>
      <c r="H111" s="27">
        <f>MIN((I110)+G111,MAX(0,$C111-(E111)))</f>
        <v/>
      </c>
      <c r="I111" s="27">
        <f>ROUND(MAX(0,(I110)+G111-H111),2)</f>
        <v/>
      </c>
      <c r="J111" s="27">
        <f>ROUND((L110)*(IF('Your Debts'!$G$7=0,0,INDEX('Your Debts'!$C$5:$C$12,'Your Debts'!$G$7)/12)),2)</f>
        <v/>
      </c>
      <c r="K111" s="27">
        <f>MIN((L110)+J111,MAX(0,$C111-(E111+H111)))</f>
        <v/>
      </c>
      <c r="L111" s="27">
        <f>ROUND(MAX(0,(L110)+J111-K111),2)</f>
        <v/>
      </c>
      <c r="M111" s="27">
        <f>ROUND((O110)*(IF('Your Debts'!$G$8=0,0,INDEX('Your Debts'!$C$5:$C$12,'Your Debts'!$G$8)/12)),2)</f>
        <v/>
      </c>
      <c r="N111" s="27">
        <f>MIN((O110)+M111,MAX(0,$C111-(E111+H111+K111)))</f>
        <v/>
      </c>
      <c r="O111" s="27">
        <f>ROUND(MAX(0,(O110)+M111-N111),2)</f>
        <v/>
      </c>
      <c r="P111" s="27">
        <f>ROUND((R110)*(IF('Your Debts'!$G$9=0,0,INDEX('Your Debts'!$C$5:$C$12,'Your Debts'!$G$9)/12)),2)</f>
        <v/>
      </c>
      <c r="Q111" s="27">
        <f>MIN((R110)+P111,MAX(0,$C111-(E111+H111+K111+N111)))</f>
        <v/>
      </c>
      <c r="R111" s="27">
        <f>ROUND(MAX(0,(R110)+P111-Q111),2)</f>
        <v/>
      </c>
      <c r="S111" s="27">
        <f>ROUND((U110)*(IF('Your Debts'!$G$10=0,0,INDEX('Your Debts'!$C$5:$C$12,'Your Debts'!$G$10)/12)),2)</f>
        <v/>
      </c>
      <c r="T111" s="27">
        <f>MIN((U110)+S111,MAX(0,$C111-(E111+H111+K111+N111+Q111)))</f>
        <v/>
      </c>
      <c r="U111" s="27">
        <f>ROUND(MAX(0,(U110)+S111-T111),2)</f>
        <v/>
      </c>
      <c r="V111" s="27">
        <f>ROUND((X110)*(IF('Your Debts'!$G$11=0,0,INDEX('Your Debts'!$C$5:$C$12,'Your Debts'!$G$11)/12)),2)</f>
        <v/>
      </c>
      <c r="W111" s="27">
        <f>MIN((X110)+V111,MAX(0,$C111-(E111+H111+K111+N111+Q111+T111)))</f>
        <v/>
      </c>
      <c r="X111" s="27">
        <f>ROUND(MAX(0,(X110)+V111-W111),2)</f>
        <v/>
      </c>
      <c r="Y111" s="27">
        <f>ROUND((AA110)*(IF('Your Debts'!$G$12=0,0,INDEX('Your Debts'!$C$5:$C$12,'Your Debts'!$G$12)/12)),2)</f>
        <v/>
      </c>
      <c r="Z111" s="27">
        <f>MIN((AA110)+Y111,MAX(0,$C111-(E111+H111+K111+N111+Q111+T111+W111)))</f>
        <v/>
      </c>
      <c r="AA111" s="27">
        <f>ROUND(MAX(0,(AA110)+Y111-Z111),2)</f>
        <v/>
      </c>
      <c r="AB111" s="18">
        <f>F111+I111+L111+O111+R111+U111+X111+AA111</f>
        <v/>
      </c>
      <c r="AC111" s="26">
        <f>AC110+D111+G111+J111+M111+P111+S111+V111+Y111</f>
        <v/>
      </c>
    </row>
    <row r="112">
      <c r="A112" s="24" t="n">
        <v>107</v>
      </c>
      <c r="B112" s="25">
        <f>EDATE('Your Debts'!$B$19,106)</f>
        <v/>
      </c>
      <c r="C112" s="26">
        <f>'Your Debts'!$B$18</f>
        <v/>
      </c>
      <c r="D112" s="27">
        <f>ROUND((F111)*(IF('Your Debts'!$G$5=0,0,INDEX('Your Debts'!$C$5:$C$12,'Your Debts'!$G$5)/12)),2)</f>
        <v/>
      </c>
      <c r="E112" s="27">
        <f>MIN((F111)+D112,MAX(0,$C112-(0)))</f>
        <v/>
      </c>
      <c r="F112" s="27">
        <f>ROUND(MAX(0,(F111)+D112-E112),2)</f>
        <v/>
      </c>
      <c r="G112" s="27">
        <f>ROUND((I111)*(IF('Your Debts'!$G$6=0,0,INDEX('Your Debts'!$C$5:$C$12,'Your Debts'!$G$6)/12)),2)</f>
        <v/>
      </c>
      <c r="H112" s="27">
        <f>MIN((I111)+G112,MAX(0,$C112-(E112)))</f>
        <v/>
      </c>
      <c r="I112" s="27">
        <f>ROUND(MAX(0,(I111)+G112-H112),2)</f>
        <v/>
      </c>
      <c r="J112" s="27">
        <f>ROUND((L111)*(IF('Your Debts'!$G$7=0,0,INDEX('Your Debts'!$C$5:$C$12,'Your Debts'!$G$7)/12)),2)</f>
        <v/>
      </c>
      <c r="K112" s="27">
        <f>MIN((L111)+J112,MAX(0,$C112-(E112+H112)))</f>
        <v/>
      </c>
      <c r="L112" s="27">
        <f>ROUND(MAX(0,(L111)+J112-K112),2)</f>
        <v/>
      </c>
      <c r="M112" s="27">
        <f>ROUND((O111)*(IF('Your Debts'!$G$8=0,0,INDEX('Your Debts'!$C$5:$C$12,'Your Debts'!$G$8)/12)),2)</f>
        <v/>
      </c>
      <c r="N112" s="27">
        <f>MIN((O111)+M112,MAX(0,$C112-(E112+H112+K112)))</f>
        <v/>
      </c>
      <c r="O112" s="27">
        <f>ROUND(MAX(0,(O111)+M112-N112),2)</f>
        <v/>
      </c>
      <c r="P112" s="27">
        <f>ROUND((R111)*(IF('Your Debts'!$G$9=0,0,INDEX('Your Debts'!$C$5:$C$12,'Your Debts'!$G$9)/12)),2)</f>
        <v/>
      </c>
      <c r="Q112" s="27">
        <f>MIN((R111)+P112,MAX(0,$C112-(E112+H112+K112+N112)))</f>
        <v/>
      </c>
      <c r="R112" s="27">
        <f>ROUND(MAX(0,(R111)+P112-Q112),2)</f>
        <v/>
      </c>
      <c r="S112" s="27">
        <f>ROUND((U111)*(IF('Your Debts'!$G$10=0,0,INDEX('Your Debts'!$C$5:$C$12,'Your Debts'!$G$10)/12)),2)</f>
        <v/>
      </c>
      <c r="T112" s="27">
        <f>MIN((U111)+S112,MAX(0,$C112-(E112+H112+K112+N112+Q112)))</f>
        <v/>
      </c>
      <c r="U112" s="27">
        <f>ROUND(MAX(0,(U111)+S112-T112),2)</f>
        <v/>
      </c>
      <c r="V112" s="27">
        <f>ROUND((X111)*(IF('Your Debts'!$G$11=0,0,INDEX('Your Debts'!$C$5:$C$12,'Your Debts'!$G$11)/12)),2)</f>
        <v/>
      </c>
      <c r="W112" s="27">
        <f>MIN((X111)+V112,MAX(0,$C112-(E112+H112+K112+N112+Q112+T112)))</f>
        <v/>
      </c>
      <c r="X112" s="27">
        <f>ROUND(MAX(0,(X111)+V112-W112),2)</f>
        <v/>
      </c>
      <c r="Y112" s="27">
        <f>ROUND((AA111)*(IF('Your Debts'!$G$12=0,0,INDEX('Your Debts'!$C$5:$C$12,'Your Debts'!$G$12)/12)),2)</f>
        <v/>
      </c>
      <c r="Z112" s="27">
        <f>MIN((AA111)+Y112,MAX(0,$C112-(E112+H112+K112+N112+Q112+T112+W112)))</f>
        <v/>
      </c>
      <c r="AA112" s="27">
        <f>ROUND(MAX(0,(AA111)+Y112-Z112),2)</f>
        <v/>
      </c>
      <c r="AB112" s="18">
        <f>F112+I112+L112+O112+R112+U112+X112+AA112</f>
        <v/>
      </c>
      <c r="AC112" s="26">
        <f>AC111+D112+G112+J112+M112+P112+S112+V112+Y112</f>
        <v/>
      </c>
    </row>
    <row r="113">
      <c r="A113" s="24" t="n">
        <v>108</v>
      </c>
      <c r="B113" s="25">
        <f>EDATE('Your Debts'!$B$19,107)</f>
        <v/>
      </c>
      <c r="C113" s="26">
        <f>'Your Debts'!$B$18</f>
        <v/>
      </c>
      <c r="D113" s="27">
        <f>ROUND((F112)*(IF('Your Debts'!$G$5=0,0,INDEX('Your Debts'!$C$5:$C$12,'Your Debts'!$G$5)/12)),2)</f>
        <v/>
      </c>
      <c r="E113" s="27">
        <f>MIN((F112)+D113,MAX(0,$C113-(0)))</f>
        <v/>
      </c>
      <c r="F113" s="27">
        <f>ROUND(MAX(0,(F112)+D113-E113),2)</f>
        <v/>
      </c>
      <c r="G113" s="27">
        <f>ROUND((I112)*(IF('Your Debts'!$G$6=0,0,INDEX('Your Debts'!$C$5:$C$12,'Your Debts'!$G$6)/12)),2)</f>
        <v/>
      </c>
      <c r="H113" s="27">
        <f>MIN((I112)+G113,MAX(0,$C113-(E113)))</f>
        <v/>
      </c>
      <c r="I113" s="27">
        <f>ROUND(MAX(0,(I112)+G113-H113),2)</f>
        <v/>
      </c>
      <c r="J113" s="27">
        <f>ROUND((L112)*(IF('Your Debts'!$G$7=0,0,INDEX('Your Debts'!$C$5:$C$12,'Your Debts'!$G$7)/12)),2)</f>
        <v/>
      </c>
      <c r="K113" s="27">
        <f>MIN((L112)+J113,MAX(0,$C113-(E113+H113)))</f>
        <v/>
      </c>
      <c r="L113" s="27">
        <f>ROUND(MAX(0,(L112)+J113-K113),2)</f>
        <v/>
      </c>
      <c r="M113" s="27">
        <f>ROUND((O112)*(IF('Your Debts'!$G$8=0,0,INDEX('Your Debts'!$C$5:$C$12,'Your Debts'!$G$8)/12)),2)</f>
        <v/>
      </c>
      <c r="N113" s="27">
        <f>MIN((O112)+M113,MAX(0,$C113-(E113+H113+K113)))</f>
        <v/>
      </c>
      <c r="O113" s="27">
        <f>ROUND(MAX(0,(O112)+M113-N113),2)</f>
        <v/>
      </c>
      <c r="P113" s="27">
        <f>ROUND((R112)*(IF('Your Debts'!$G$9=0,0,INDEX('Your Debts'!$C$5:$C$12,'Your Debts'!$G$9)/12)),2)</f>
        <v/>
      </c>
      <c r="Q113" s="27">
        <f>MIN((R112)+P113,MAX(0,$C113-(E113+H113+K113+N113)))</f>
        <v/>
      </c>
      <c r="R113" s="27">
        <f>ROUND(MAX(0,(R112)+P113-Q113),2)</f>
        <v/>
      </c>
      <c r="S113" s="27">
        <f>ROUND((U112)*(IF('Your Debts'!$G$10=0,0,INDEX('Your Debts'!$C$5:$C$12,'Your Debts'!$G$10)/12)),2)</f>
        <v/>
      </c>
      <c r="T113" s="27">
        <f>MIN((U112)+S113,MAX(0,$C113-(E113+H113+K113+N113+Q113)))</f>
        <v/>
      </c>
      <c r="U113" s="27">
        <f>ROUND(MAX(0,(U112)+S113-T113),2)</f>
        <v/>
      </c>
      <c r="V113" s="27">
        <f>ROUND((X112)*(IF('Your Debts'!$G$11=0,0,INDEX('Your Debts'!$C$5:$C$12,'Your Debts'!$G$11)/12)),2)</f>
        <v/>
      </c>
      <c r="W113" s="27">
        <f>MIN((X112)+V113,MAX(0,$C113-(E113+H113+K113+N113+Q113+T113)))</f>
        <v/>
      </c>
      <c r="X113" s="27">
        <f>ROUND(MAX(0,(X112)+V113-W113),2)</f>
        <v/>
      </c>
      <c r="Y113" s="27">
        <f>ROUND((AA112)*(IF('Your Debts'!$G$12=0,0,INDEX('Your Debts'!$C$5:$C$12,'Your Debts'!$G$12)/12)),2)</f>
        <v/>
      </c>
      <c r="Z113" s="27">
        <f>MIN((AA112)+Y113,MAX(0,$C113-(E113+H113+K113+N113+Q113+T113+W113)))</f>
        <v/>
      </c>
      <c r="AA113" s="27">
        <f>ROUND(MAX(0,(AA112)+Y113-Z113),2)</f>
        <v/>
      </c>
      <c r="AB113" s="18">
        <f>F113+I113+L113+O113+R113+U113+X113+AA113</f>
        <v/>
      </c>
      <c r="AC113" s="26">
        <f>AC112+D113+G113+J113+M113+P113+S113+V113+Y113</f>
        <v/>
      </c>
    </row>
    <row r="114">
      <c r="A114" s="24" t="n">
        <v>109</v>
      </c>
      <c r="B114" s="25">
        <f>EDATE('Your Debts'!$B$19,108)</f>
        <v/>
      </c>
      <c r="C114" s="26">
        <f>'Your Debts'!$B$18</f>
        <v/>
      </c>
      <c r="D114" s="27">
        <f>ROUND((F113)*(IF('Your Debts'!$G$5=0,0,INDEX('Your Debts'!$C$5:$C$12,'Your Debts'!$G$5)/12)),2)</f>
        <v/>
      </c>
      <c r="E114" s="27">
        <f>MIN((F113)+D114,MAX(0,$C114-(0)))</f>
        <v/>
      </c>
      <c r="F114" s="27">
        <f>ROUND(MAX(0,(F113)+D114-E114),2)</f>
        <v/>
      </c>
      <c r="G114" s="27">
        <f>ROUND((I113)*(IF('Your Debts'!$G$6=0,0,INDEX('Your Debts'!$C$5:$C$12,'Your Debts'!$G$6)/12)),2)</f>
        <v/>
      </c>
      <c r="H114" s="27">
        <f>MIN((I113)+G114,MAX(0,$C114-(E114)))</f>
        <v/>
      </c>
      <c r="I114" s="27">
        <f>ROUND(MAX(0,(I113)+G114-H114),2)</f>
        <v/>
      </c>
      <c r="J114" s="27">
        <f>ROUND((L113)*(IF('Your Debts'!$G$7=0,0,INDEX('Your Debts'!$C$5:$C$12,'Your Debts'!$G$7)/12)),2)</f>
        <v/>
      </c>
      <c r="K114" s="27">
        <f>MIN((L113)+J114,MAX(0,$C114-(E114+H114)))</f>
        <v/>
      </c>
      <c r="L114" s="27">
        <f>ROUND(MAX(0,(L113)+J114-K114),2)</f>
        <v/>
      </c>
      <c r="M114" s="27">
        <f>ROUND((O113)*(IF('Your Debts'!$G$8=0,0,INDEX('Your Debts'!$C$5:$C$12,'Your Debts'!$G$8)/12)),2)</f>
        <v/>
      </c>
      <c r="N114" s="27">
        <f>MIN((O113)+M114,MAX(0,$C114-(E114+H114+K114)))</f>
        <v/>
      </c>
      <c r="O114" s="27">
        <f>ROUND(MAX(0,(O113)+M114-N114),2)</f>
        <v/>
      </c>
      <c r="P114" s="27">
        <f>ROUND((R113)*(IF('Your Debts'!$G$9=0,0,INDEX('Your Debts'!$C$5:$C$12,'Your Debts'!$G$9)/12)),2)</f>
        <v/>
      </c>
      <c r="Q114" s="27">
        <f>MIN((R113)+P114,MAX(0,$C114-(E114+H114+K114+N114)))</f>
        <v/>
      </c>
      <c r="R114" s="27">
        <f>ROUND(MAX(0,(R113)+P114-Q114),2)</f>
        <v/>
      </c>
      <c r="S114" s="27">
        <f>ROUND((U113)*(IF('Your Debts'!$G$10=0,0,INDEX('Your Debts'!$C$5:$C$12,'Your Debts'!$G$10)/12)),2)</f>
        <v/>
      </c>
      <c r="T114" s="27">
        <f>MIN((U113)+S114,MAX(0,$C114-(E114+H114+K114+N114+Q114)))</f>
        <v/>
      </c>
      <c r="U114" s="27">
        <f>ROUND(MAX(0,(U113)+S114-T114),2)</f>
        <v/>
      </c>
      <c r="V114" s="27">
        <f>ROUND((X113)*(IF('Your Debts'!$G$11=0,0,INDEX('Your Debts'!$C$5:$C$12,'Your Debts'!$G$11)/12)),2)</f>
        <v/>
      </c>
      <c r="W114" s="27">
        <f>MIN((X113)+V114,MAX(0,$C114-(E114+H114+K114+N114+Q114+T114)))</f>
        <v/>
      </c>
      <c r="X114" s="27">
        <f>ROUND(MAX(0,(X113)+V114-W114),2)</f>
        <v/>
      </c>
      <c r="Y114" s="27">
        <f>ROUND((AA113)*(IF('Your Debts'!$G$12=0,0,INDEX('Your Debts'!$C$5:$C$12,'Your Debts'!$G$12)/12)),2)</f>
        <v/>
      </c>
      <c r="Z114" s="27">
        <f>MIN((AA113)+Y114,MAX(0,$C114-(E114+H114+K114+N114+Q114+T114+W114)))</f>
        <v/>
      </c>
      <c r="AA114" s="27">
        <f>ROUND(MAX(0,(AA113)+Y114-Z114),2)</f>
        <v/>
      </c>
      <c r="AB114" s="18">
        <f>F114+I114+L114+O114+R114+U114+X114+AA114</f>
        <v/>
      </c>
      <c r="AC114" s="26">
        <f>AC113+D114+G114+J114+M114+P114+S114+V114+Y114</f>
        <v/>
      </c>
    </row>
    <row r="115">
      <c r="A115" s="24" t="n">
        <v>110</v>
      </c>
      <c r="B115" s="25">
        <f>EDATE('Your Debts'!$B$19,109)</f>
        <v/>
      </c>
      <c r="C115" s="26">
        <f>'Your Debts'!$B$18</f>
        <v/>
      </c>
      <c r="D115" s="27">
        <f>ROUND((F114)*(IF('Your Debts'!$G$5=0,0,INDEX('Your Debts'!$C$5:$C$12,'Your Debts'!$G$5)/12)),2)</f>
        <v/>
      </c>
      <c r="E115" s="27">
        <f>MIN((F114)+D115,MAX(0,$C115-(0)))</f>
        <v/>
      </c>
      <c r="F115" s="27">
        <f>ROUND(MAX(0,(F114)+D115-E115),2)</f>
        <v/>
      </c>
      <c r="G115" s="27">
        <f>ROUND((I114)*(IF('Your Debts'!$G$6=0,0,INDEX('Your Debts'!$C$5:$C$12,'Your Debts'!$G$6)/12)),2)</f>
        <v/>
      </c>
      <c r="H115" s="27">
        <f>MIN((I114)+G115,MAX(0,$C115-(E115)))</f>
        <v/>
      </c>
      <c r="I115" s="27">
        <f>ROUND(MAX(0,(I114)+G115-H115),2)</f>
        <v/>
      </c>
      <c r="J115" s="27">
        <f>ROUND((L114)*(IF('Your Debts'!$G$7=0,0,INDEX('Your Debts'!$C$5:$C$12,'Your Debts'!$G$7)/12)),2)</f>
        <v/>
      </c>
      <c r="K115" s="27">
        <f>MIN((L114)+J115,MAX(0,$C115-(E115+H115)))</f>
        <v/>
      </c>
      <c r="L115" s="27">
        <f>ROUND(MAX(0,(L114)+J115-K115),2)</f>
        <v/>
      </c>
      <c r="M115" s="27">
        <f>ROUND((O114)*(IF('Your Debts'!$G$8=0,0,INDEX('Your Debts'!$C$5:$C$12,'Your Debts'!$G$8)/12)),2)</f>
        <v/>
      </c>
      <c r="N115" s="27">
        <f>MIN((O114)+M115,MAX(0,$C115-(E115+H115+K115)))</f>
        <v/>
      </c>
      <c r="O115" s="27">
        <f>ROUND(MAX(0,(O114)+M115-N115),2)</f>
        <v/>
      </c>
      <c r="P115" s="27">
        <f>ROUND((R114)*(IF('Your Debts'!$G$9=0,0,INDEX('Your Debts'!$C$5:$C$12,'Your Debts'!$G$9)/12)),2)</f>
        <v/>
      </c>
      <c r="Q115" s="27">
        <f>MIN((R114)+P115,MAX(0,$C115-(E115+H115+K115+N115)))</f>
        <v/>
      </c>
      <c r="R115" s="27">
        <f>ROUND(MAX(0,(R114)+P115-Q115),2)</f>
        <v/>
      </c>
      <c r="S115" s="27">
        <f>ROUND((U114)*(IF('Your Debts'!$G$10=0,0,INDEX('Your Debts'!$C$5:$C$12,'Your Debts'!$G$10)/12)),2)</f>
        <v/>
      </c>
      <c r="T115" s="27">
        <f>MIN((U114)+S115,MAX(0,$C115-(E115+H115+K115+N115+Q115)))</f>
        <v/>
      </c>
      <c r="U115" s="27">
        <f>ROUND(MAX(0,(U114)+S115-T115),2)</f>
        <v/>
      </c>
      <c r="V115" s="27">
        <f>ROUND((X114)*(IF('Your Debts'!$G$11=0,0,INDEX('Your Debts'!$C$5:$C$12,'Your Debts'!$G$11)/12)),2)</f>
        <v/>
      </c>
      <c r="W115" s="27">
        <f>MIN((X114)+V115,MAX(0,$C115-(E115+H115+K115+N115+Q115+T115)))</f>
        <v/>
      </c>
      <c r="X115" s="27">
        <f>ROUND(MAX(0,(X114)+V115-W115),2)</f>
        <v/>
      </c>
      <c r="Y115" s="27">
        <f>ROUND((AA114)*(IF('Your Debts'!$G$12=0,0,INDEX('Your Debts'!$C$5:$C$12,'Your Debts'!$G$12)/12)),2)</f>
        <v/>
      </c>
      <c r="Z115" s="27">
        <f>MIN((AA114)+Y115,MAX(0,$C115-(E115+H115+K115+N115+Q115+T115+W115)))</f>
        <v/>
      </c>
      <c r="AA115" s="27">
        <f>ROUND(MAX(0,(AA114)+Y115-Z115),2)</f>
        <v/>
      </c>
      <c r="AB115" s="18">
        <f>F115+I115+L115+O115+R115+U115+X115+AA115</f>
        <v/>
      </c>
      <c r="AC115" s="26">
        <f>AC114+D115+G115+J115+M115+P115+S115+V115+Y115</f>
        <v/>
      </c>
    </row>
    <row r="116">
      <c r="A116" s="24" t="n">
        <v>111</v>
      </c>
      <c r="B116" s="25">
        <f>EDATE('Your Debts'!$B$19,110)</f>
        <v/>
      </c>
      <c r="C116" s="26">
        <f>'Your Debts'!$B$18</f>
        <v/>
      </c>
      <c r="D116" s="27">
        <f>ROUND((F115)*(IF('Your Debts'!$G$5=0,0,INDEX('Your Debts'!$C$5:$C$12,'Your Debts'!$G$5)/12)),2)</f>
        <v/>
      </c>
      <c r="E116" s="27">
        <f>MIN((F115)+D116,MAX(0,$C116-(0)))</f>
        <v/>
      </c>
      <c r="F116" s="27">
        <f>ROUND(MAX(0,(F115)+D116-E116),2)</f>
        <v/>
      </c>
      <c r="G116" s="27">
        <f>ROUND((I115)*(IF('Your Debts'!$G$6=0,0,INDEX('Your Debts'!$C$5:$C$12,'Your Debts'!$G$6)/12)),2)</f>
        <v/>
      </c>
      <c r="H116" s="27">
        <f>MIN((I115)+G116,MAX(0,$C116-(E116)))</f>
        <v/>
      </c>
      <c r="I116" s="27">
        <f>ROUND(MAX(0,(I115)+G116-H116),2)</f>
        <v/>
      </c>
      <c r="J116" s="27">
        <f>ROUND((L115)*(IF('Your Debts'!$G$7=0,0,INDEX('Your Debts'!$C$5:$C$12,'Your Debts'!$G$7)/12)),2)</f>
        <v/>
      </c>
      <c r="K116" s="27">
        <f>MIN((L115)+J116,MAX(0,$C116-(E116+H116)))</f>
        <v/>
      </c>
      <c r="L116" s="27">
        <f>ROUND(MAX(0,(L115)+J116-K116),2)</f>
        <v/>
      </c>
      <c r="M116" s="27">
        <f>ROUND((O115)*(IF('Your Debts'!$G$8=0,0,INDEX('Your Debts'!$C$5:$C$12,'Your Debts'!$G$8)/12)),2)</f>
        <v/>
      </c>
      <c r="N116" s="27">
        <f>MIN((O115)+M116,MAX(0,$C116-(E116+H116+K116)))</f>
        <v/>
      </c>
      <c r="O116" s="27">
        <f>ROUND(MAX(0,(O115)+M116-N116),2)</f>
        <v/>
      </c>
      <c r="P116" s="27">
        <f>ROUND((R115)*(IF('Your Debts'!$G$9=0,0,INDEX('Your Debts'!$C$5:$C$12,'Your Debts'!$G$9)/12)),2)</f>
        <v/>
      </c>
      <c r="Q116" s="27">
        <f>MIN((R115)+P116,MAX(0,$C116-(E116+H116+K116+N116)))</f>
        <v/>
      </c>
      <c r="R116" s="27">
        <f>ROUND(MAX(0,(R115)+P116-Q116),2)</f>
        <v/>
      </c>
      <c r="S116" s="27">
        <f>ROUND((U115)*(IF('Your Debts'!$G$10=0,0,INDEX('Your Debts'!$C$5:$C$12,'Your Debts'!$G$10)/12)),2)</f>
        <v/>
      </c>
      <c r="T116" s="27">
        <f>MIN((U115)+S116,MAX(0,$C116-(E116+H116+K116+N116+Q116)))</f>
        <v/>
      </c>
      <c r="U116" s="27">
        <f>ROUND(MAX(0,(U115)+S116-T116),2)</f>
        <v/>
      </c>
      <c r="V116" s="27">
        <f>ROUND((X115)*(IF('Your Debts'!$G$11=0,0,INDEX('Your Debts'!$C$5:$C$12,'Your Debts'!$G$11)/12)),2)</f>
        <v/>
      </c>
      <c r="W116" s="27">
        <f>MIN((X115)+V116,MAX(0,$C116-(E116+H116+K116+N116+Q116+T116)))</f>
        <v/>
      </c>
      <c r="X116" s="27">
        <f>ROUND(MAX(0,(X115)+V116-W116),2)</f>
        <v/>
      </c>
      <c r="Y116" s="27">
        <f>ROUND((AA115)*(IF('Your Debts'!$G$12=0,0,INDEX('Your Debts'!$C$5:$C$12,'Your Debts'!$G$12)/12)),2)</f>
        <v/>
      </c>
      <c r="Z116" s="27">
        <f>MIN((AA115)+Y116,MAX(0,$C116-(E116+H116+K116+N116+Q116+T116+W116)))</f>
        <v/>
      </c>
      <c r="AA116" s="27">
        <f>ROUND(MAX(0,(AA115)+Y116-Z116),2)</f>
        <v/>
      </c>
      <c r="AB116" s="18">
        <f>F116+I116+L116+O116+R116+U116+X116+AA116</f>
        <v/>
      </c>
      <c r="AC116" s="26">
        <f>AC115+D116+G116+J116+M116+P116+S116+V116+Y116</f>
        <v/>
      </c>
    </row>
    <row r="117">
      <c r="A117" s="24" t="n">
        <v>112</v>
      </c>
      <c r="B117" s="25">
        <f>EDATE('Your Debts'!$B$19,111)</f>
        <v/>
      </c>
      <c r="C117" s="26">
        <f>'Your Debts'!$B$18</f>
        <v/>
      </c>
      <c r="D117" s="27">
        <f>ROUND((F116)*(IF('Your Debts'!$G$5=0,0,INDEX('Your Debts'!$C$5:$C$12,'Your Debts'!$G$5)/12)),2)</f>
        <v/>
      </c>
      <c r="E117" s="27">
        <f>MIN((F116)+D117,MAX(0,$C117-(0)))</f>
        <v/>
      </c>
      <c r="F117" s="27">
        <f>ROUND(MAX(0,(F116)+D117-E117),2)</f>
        <v/>
      </c>
      <c r="G117" s="27">
        <f>ROUND((I116)*(IF('Your Debts'!$G$6=0,0,INDEX('Your Debts'!$C$5:$C$12,'Your Debts'!$G$6)/12)),2)</f>
        <v/>
      </c>
      <c r="H117" s="27">
        <f>MIN((I116)+G117,MAX(0,$C117-(E117)))</f>
        <v/>
      </c>
      <c r="I117" s="27">
        <f>ROUND(MAX(0,(I116)+G117-H117),2)</f>
        <v/>
      </c>
      <c r="J117" s="27">
        <f>ROUND((L116)*(IF('Your Debts'!$G$7=0,0,INDEX('Your Debts'!$C$5:$C$12,'Your Debts'!$G$7)/12)),2)</f>
        <v/>
      </c>
      <c r="K117" s="27">
        <f>MIN((L116)+J117,MAX(0,$C117-(E117+H117)))</f>
        <v/>
      </c>
      <c r="L117" s="27">
        <f>ROUND(MAX(0,(L116)+J117-K117),2)</f>
        <v/>
      </c>
      <c r="M117" s="27">
        <f>ROUND((O116)*(IF('Your Debts'!$G$8=0,0,INDEX('Your Debts'!$C$5:$C$12,'Your Debts'!$G$8)/12)),2)</f>
        <v/>
      </c>
      <c r="N117" s="27">
        <f>MIN((O116)+M117,MAX(0,$C117-(E117+H117+K117)))</f>
        <v/>
      </c>
      <c r="O117" s="27">
        <f>ROUND(MAX(0,(O116)+M117-N117),2)</f>
        <v/>
      </c>
      <c r="P117" s="27">
        <f>ROUND((R116)*(IF('Your Debts'!$G$9=0,0,INDEX('Your Debts'!$C$5:$C$12,'Your Debts'!$G$9)/12)),2)</f>
        <v/>
      </c>
      <c r="Q117" s="27">
        <f>MIN((R116)+P117,MAX(0,$C117-(E117+H117+K117+N117)))</f>
        <v/>
      </c>
      <c r="R117" s="27">
        <f>ROUND(MAX(0,(R116)+P117-Q117),2)</f>
        <v/>
      </c>
      <c r="S117" s="27">
        <f>ROUND((U116)*(IF('Your Debts'!$G$10=0,0,INDEX('Your Debts'!$C$5:$C$12,'Your Debts'!$G$10)/12)),2)</f>
        <v/>
      </c>
      <c r="T117" s="27">
        <f>MIN((U116)+S117,MAX(0,$C117-(E117+H117+K117+N117+Q117)))</f>
        <v/>
      </c>
      <c r="U117" s="27">
        <f>ROUND(MAX(0,(U116)+S117-T117),2)</f>
        <v/>
      </c>
      <c r="V117" s="27">
        <f>ROUND((X116)*(IF('Your Debts'!$G$11=0,0,INDEX('Your Debts'!$C$5:$C$12,'Your Debts'!$G$11)/12)),2)</f>
        <v/>
      </c>
      <c r="W117" s="27">
        <f>MIN((X116)+V117,MAX(0,$C117-(E117+H117+K117+N117+Q117+T117)))</f>
        <v/>
      </c>
      <c r="X117" s="27">
        <f>ROUND(MAX(0,(X116)+V117-W117),2)</f>
        <v/>
      </c>
      <c r="Y117" s="27">
        <f>ROUND((AA116)*(IF('Your Debts'!$G$12=0,0,INDEX('Your Debts'!$C$5:$C$12,'Your Debts'!$G$12)/12)),2)</f>
        <v/>
      </c>
      <c r="Z117" s="27">
        <f>MIN((AA116)+Y117,MAX(0,$C117-(E117+H117+K117+N117+Q117+T117+W117)))</f>
        <v/>
      </c>
      <c r="AA117" s="27">
        <f>ROUND(MAX(0,(AA116)+Y117-Z117),2)</f>
        <v/>
      </c>
      <c r="AB117" s="18">
        <f>F117+I117+L117+O117+R117+U117+X117+AA117</f>
        <v/>
      </c>
      <c r="AC117" s="26">
        <f>AC116+D117+G117+J117+M117+P117+S117+V117+Y117</f>
        <v/>
      </c>
    </row>
    <row r="118">
      <c r="A118" s="24" t="n">
        <v>113</v>
      </c>
      <c r="B118" s="25">
        <f>EDATE('Your Debts'!$B$19,112)</f>
        <v/>
      </c>
      <c r="C118" s="26">
        <f>'Your Debts'!$B$18</f>
        <v/>
      </c>
      <c r="D118" s="27">
        <f>ROUND((F117)*(IF('Your Debts'!$G$5=0,0,INDEX('Your Debts'!$C$5:$C$12,'Your Debts'!$G$5)/12)),2)</f>
        <v/>
      </c>
      <c r="E118" s="27">
        <f>MIN((F117)+D118,MAX(0,$C118-(0)))</f>
        <v/>
      </c>
      <c r="F118" s="27">
        <f>ROUND(MAX(0,(F117)+D118-E118),2)</f>
        <v/>
      </c>
      <c r="G118" s="27">
        <f>ROUND((I117)*(IF('Your Debts'!$G$6=0,0,INDEX('Your Debts'!$C$5:$C$12,'Your Debts'!$G$6)/12)),2)</f>
        <v/>
      </c>
      <c r="H118" s="27">
        <f>MIN((I117)+G118,MAX(0,$C118-(E118)))</f>
        <v/>
      </c>
      <c r="I118" s="27">
        <f>ROUND(MAX(0,(I117)+G118-H118),2)</f>
        <v/>
      </c>
      <c r="J118" s="27">
        <f>ROUND((L117)*(IF('Your Debts'!$G$7=0,0,INDEX('Your Debts'!$C$5:$C$12,'Your Debts'!$G$7)/12)),2)</f>
        <v/>
      </c>
      <c r="K118" s="27">
        <f>MIN((L117)+J118,MAX(0,$C118-(E118+H118)))</f>
        <v/>
      </c>
      <c r="L118" s="27">
        <f>ROUND(MAX(0,(L117)+J118-K118),2)</f>
        <v/>
      </c>
      <c r="M118" s="27">
        <f>ROUND((O117)*(IF('Your Debts'!$G$8=0,0,INDEX('Your Debts'!$C$5:$C$12,'Your Debts'!$G$8)/12)),2)</f>
        <v/>
      </c>
      <c r="N118" s="27">
        <f>MIN((O117)+M118,MAX(0,$C118-(E118+H118+K118)))</f>
        <v/>
      </c>
      <c r="O118" s="27">
        <f>ROUND(MAX(0,(O117)+M118-N118),2)</f>
        <v/>
      </c>
      <c r="P118" s="27">
        <f>ROUND((R117)*(IF('Your Debts'!$G$9=0,0,INDEX('Your Debts'!$C$5:$C$12,'Your Debts'!$G$9)/12)),2)</f>
        <v/>
      </c>
      <c r="Q118" s="27">
        <f>MIN((R117)+P118,MAX(0,$C118-(E118+H118+K118+N118)))</f>
        <v/>
      </c>
      <c r="R118" s="27">
        <f>ROUND(MAX(0,(R117)+P118-Q118),2)</f>
        <v/>
      </c>
      <c r="S118" s="27">
        <f>ROUND((U117)*(IF('Your Debts'!$G$10=0,0,INDEX('Your Debts'!$C$5:$C$12,'Your Debts'!$G$10)/12)),2)</f>
        <v/>
      </c>
      <c r="T118" s="27">
        <f>MIN((U117)+S118,MAX(0,$C118-(E118+H118+K118+N118+Q118)))</f>
        <v/>
      </c>
      <c r="U118" s="27">
        <f>ROUND(MAX(0,(U117)+S118-T118),2)</f>
        <v/>
      </c>
      <c r="V118" s="27">
        <f>ROUND((X117)*(IF('Your Debts'!$G$11=0,0,INDEX('Your Debts'!$C$5:$C$12,'Your Debts'!$G$11)/12)),2)</f>
        <v/>
      </c>
      <c r="W118" s="27">
        <f>MIN((X117)+V118,MAX(0,$C118-(E118+H118+K118+N118+Q118+T118)))</f>
        <v/>
      </c>
      <c r="X118" s="27">
        <f>ROUND(MAX(0,(X117)+V118-W118),2)</f>
        <v/>
      </c>
      <c r="Y118" s="27">
        <f>ROUND((AA117)*(IF('Your Debts'!$G$12=0,0,INDEX('Your Debts'!$C$5:$C$12,'Your Debts'!$G$12)/12)),2)</f>
        <v/>
      </c>
      <c r="Z118" s="27">
        <f>MIN((AA117)+Y118,MAX(0,$C118-(E118+H118+K118+N118+Q118+T118+W118)))</f>
        <v/>
      </c>
      <c r="AA118" s="27">
        <f>ROUND(MAX(0,(AA117)+Y118-Z118),2)</f>
        <v/>
      </c>
      <c r="AB118" s="18">
        <f>F118+I118+L118+O118+R118+U118+X118+AA118</f>
        <v/>
      </c>
      <c r="AC118" s="26">
        <f>AC117+D118+G118+J118+M118+P118+S118+V118+Y118</f>
        <v/>
      </c>
    </row>
    <row r="119">
      <c r="A119" s="24" t="n">
        <v>114</v>
      </c>
      <c r="B119" s="25">
        <f>EDATE('Your Debts'!$B$19,113)</f>
        <v/>
      </c>
      <c r="C119" s="26">
        <f>'Your Debts'!$B$18</f>
        <v/>
      </c>
      <c r="D119" s="27">
        <f>ROUND((F118)*(IF('Your Debts'!$G$5=0,0,INDEX('Your Debts'!$C$5:$C$12,'Your Debts'!$G$5)/12)),2)</f>
        <v/>
      </c>
      <c r="E119" s="27">
        <f>MIN((F118)+D119,MAX(0,$C119-(0)))</f>
        <v/>
      </c>
      <c r="F119" s="27">
        <f>ROUND(MAX(0,(F118)+D119-E119),2)</f>
        <v/>
      </c>
      <c r="G119" s="27">
        <f>ROUND((I118)*(IF('Your Debts'!$G$6=0,0,INDEX('Your Debts'!$C$5:$C$12,'Your Debts'!$G$6)/12)),2)</f>
        <v/>
      </c>
      <c r="H119" s="27">
        <f>MIN((I118)+G119,MAX(0,$C119-(E119)))</f>
        <v/>
      </c>
      <c r="I119" s="27">
        <f>ROUND(MAX(0,(I118)+G119-H119),2)</f>
        <v/>
      </c>
      <c r="J119" s="27">
        <f>ROUND((L118)*(IF('Your Debts'!$G$7=0,0,INDEX('Your Debts'!$C$5:$C$12,'Your Debts'!$G$7)/12)),2)</f>
        <v/>
      </c>
      <c r="K119" s="27">
        <f>MIN((L118)+J119,MAX(0,$C119-(E119+H119)))</f>
        <v/>
      </c>
      <c r="L119" s="27">
        <f>ROUND(MAX(0,(L118)+J119-K119),2)</f>
        <v/>
      </c>
      <c r="M119" s="27">
        <f>ROUND((O118)*(IF('Your Debts'!$G$8=0,0,INDEX('Your Debts'!$C$5:$C$12,'Your Debts'!$G$8)/12)),2)</f>
        <v/>
      </c>
      <c r="N119" s="27">
        <f>MIN((O118)+M119,MAX(0,$C119-(E119+H119+K119)))</f>
        <v/>
      </c>
      <c r="O119" s="27">
        <f>ROUND(MAX(0,(O118)+M119-N119),2)</f>
        <v/>
      </c>
      <c r="P119" s="27">
        <f>ROUND((R118)*(IF('Your Debts'!$G$9=0,0,INDEX('Your Debts'!$C$5:$C$12,'Your Debts'!$G$9)/12)),2)</f>
        <v/>
      </c>
      <c r="Q119" s="27">
        <f>MIN((R118)+P119,MAX(0,$C119-(E119+H119+K119+N119)))</f>
        <v/>
      </c>
      <c r="R119" s="27">
        <f>ROUND(MAX(0,(R118)+P119-Q119),2)</f>
        <v/>
      </c>
      <c r="S119" s="27">
        <f>ROUND((U118)*(IF('Your Debts'!$G$10=0,0,INDEX('Your Debts'!$C$5:$C$12,'Your Debts'!$G$10)/12)),2)</f>
        <v/>
      </c>
      <c r="T119" s="27">
        <f>MIN((U118)+S119,MAX(0,$C119-(E119+H119+K119+N119+Q119)))</f>
        <v/>
      </c>
      <c r="U119" s="27">
        <f>ROUND(MAX(0,(U118)+S119-T119),2)</f>
        <v/>
      </c>
      <c r="V119" s="27">
        <f>ROUND((X118)*(IF('Your Debts'!$G$11=0,0,INDEX('Your Debts'!$C$5:$C$12,'Your Debts'!$G$11)/12)),2)</f>
        <v/>
      </c>
      <c r="W119" s="27">
        <f>MIN((X118)+V119,MAX(0,$C119-(E119+H119+K119+N119+Q119+T119)))</f>
        <v/>
      </c>
      <c r="X119" s="27">
        <f>ROUND(MAX(0,(X118)+V119-W119),2)</f>
        <v/>
      </c>
      <c r="Y119" s="27">
        <f>ROUND((AA118)*(IF('Your Debts'!$G$12=0,0,INDEX('Your Debts'!$C$5:$C$12,'Your Debts'!$G$12)/12)),2)</f>
        <v/>
      </c>
      <c r="Z119" s="27">
        <f>MIN((AA118)+Y119,MAX(0,$C119-(E119+H119+K119+N119+Q119+T119+W119)))</f>
        <v/>
      </c>
      <c r="AA119" s="27">
        <f>ROUND(MAX(0,(AA118)+Y119-Z119),2)</f>
        <v/>
      </c>
      <c r="AB119" s="18">
        <f>F119+I119+L119+O119+R119+U119+X119+AA119</f>
        <v/>
      </c>
      <c r="AC119" s="26">
        <f>AC118+D119+G119+J119+M119+P119+S119+V119+Y119</f>
        <v/>
      </c>
    </row>
    <row r="120">
      <c r="A120" s="24" t="n">
        <v>115</v>
      </c>
      <c r="B120" s="25">
        <f>EDATE('Your Debts'!$B$19,114)</f>
        <v/>
      </c>
      <c r="C120" s="26">
        <f>'Your Debts'!$B$18</f>
        <v/>
      </c>
      <c r="D120" s="27">
        <f>ROUND((F119)*(IF('Your Debts'!$G$5=0,0,INDEX('Your Debts'!$C$5:$C$12,'Your Debts'!$G$5)/12)),2)</f>
        <v/>
      </c>
      <c r="E120" s="27">
        <f>MIN((F119)+D120,MAX(0,$C120-(0)))</f>
        <v/>
      </c>
      <c r="F120" s="27">
        <f>ROUND(MAX(0,(F119)+D120-E120),2)</f>
        <v/>
      </c>
      <c r="G120" s="27">
        <f>ROUND((I119)*(IF('Your Debts'!$G$6=0,0,INDEX('Your Debts'!$C$5:$C$12,'Your Debts'!$G$6)/12)),2)</f>
        <v/>
      </c>
      <c r="H120" s="27">
        <f>MIN((I119)+G120,MAX(0,$C120-(E120)))</f>
        <v/>
      </c>
      <c r="I120" s="27">
        <f>ROUND(MAX(0,(I119)+G120-H120),2)</f>
        <v/>
      </c>
      <c r="J120" s="27">
        <f>ROUND((L119)*(IF('Your Debts'!$G$7=0,0,INDEX('Your Debts'!$C$5:$C$12,'Your Debts'!$G$7)/12)),2)</f>
        <v/>
      </c>
      <c r="K120" s="27">
        <f>MIN((L119)+J120,MAX(0,$C120-(E120+H120)))</f>
        <v/>
      </c>
      <c r="L120" s="27">
        <f>ROUND(MAX(0,(L119)+J120-K120),2)</f>
        <v/>
      </c>
      <c r="M120" s="27">
        <f>ROUND((O119)*(IF('Your Debts'!$G$8=0,0,INDEX('Your Debts'!$C$5:$C$12,'Your Debts'!$G$8)/12)),2)</f>
        <v/>
      </c>
      <c r="N120" s="27">
        <f>MIN((O119)+M120,MAX(0,$C120-(E120+H120+K120)))</f>
        <v/>
      </c>
      <c r="O120" s="27">
        <f>ROUND(MAX(0,(O119)+M120-N120),2)</f>
        <v/>
      </c>
      <c r="P120" s="27">
        <f>ROUND((R119)*(IF('Your Debts'!$G$9=0,0,INDEX('Your Debts'!$C$5:$C$12,'Your Debts'!$G$9)/12)),2)</f>
        <v/>
      </c>
      <c r="Q120" s="27">
        <f>MIN((R119)+P120,MAX(0,$C120-(E120+H120+K120+N120)))</f>
        <v/>
      </c>
      <c r="R120" s="27">
        <f>ROUND(MAX(0,(R119)+P120-Q120),2)</f>
        <v/>
      </c>
      <c r="S120" s="27">
        <f>ROUND((U119)*(IF('Your Debts'!$G$10=0,0,INDEX('Your Debts'!$C$5:$C$12,'Your Debts'!$G$10)/12)),2)</f>
        <v/>
      </c>
      <c r="T120" s="27">
        <f>MIN((U119)+S120,MAX(0,$C120-(E120+H120+K120+N120+Q120)))</f>
        <v/>
      </c>
      <c r="U120" s="27">
        <f>ROUND(MAX(0,(U119)+S120-T120),2)</f>
        <v/>
      </c>
      <c r="V120" s="27">
        <f>ROUND((X119)*(IF('Your Debts'!$G$11=0,0,INDEX('Your Debts'!$C$5:$C$12,'Your Debts'!$G$11)/12)),2)</f>
        <v/>
      </c>
      <c r="W120" s="27">
        <f>MIN((X119)+V120,MAX(0,$C120-(E120+H120+K120+N120+Q120+T120)))</f>
        <v/>
      </c>
      <c r="X120" s="27">
        <f>ROUND(MAX(0,(X119)+V120-W120),2)</f>
        <v/>
      </c>
      <c r="Y120" s="27">
        <f>ROUND((AA119)*(IF('Your Debts'!$G$12=0,0,INDEX('Your Debts'!$C$5:$C$12,'Your Debts'!$G$12)/12)),2)</f>
        <v/>
      </c>
      <c r="Z120" s="27">
        <f>MIN((AA119)+Y120,MAX(0,$C120-(E120+H120+K120+N120+Q120+T120+W120)))</f>
        <v/>
      </c>
      <c r="AA120" s="27">
        <f>ROUND(MAX(0,(AA119)+Y120-Z120),2)</f>
        <v/>
      </c>
      <c r="AB120" s="18">
        <f>F120+I120+L120+O120+R120+U120+X120+AA120</f>
        <v/>
      </c>
      <c r="AC120" s="26">
        <f>AC119+D120+G120+J120+M120+P120+S120+V120+Y120</f>
        <v/>
      </c>
    </row>
    <row r="121">
      <c r="A121" s="24" t="n">
        <v>116</v>
      </c>
      <c r="B121" s="25">
        <f>EDATE('Your Debts'!$B$19,115)</f>
        <v/>
      </c>
      <c r="C121" s="26">
        <f>'Your Debts'!$B$18</f>
        <v/>
      </c>
      <c r="D121" s="27">
        <f>ROUND((F120)*(IF('Your Debts'!$G$5=0,0,INDEX('Your Debts'!$C$5:$C$12,'Your Debts'!$G$5)/12)),2)</f>
        <v/>
      </c>
      <c r="E121" s="27">
        <f>MIN((F120)+D121,MAX(0,$C121-(0)))</f>
        <v/>
      </c>
      <c r="F121" s="27">
        <f>ROUND(MAX(0,(F120)+D121-E121),2)</f>
        <v/>
      </c>
      <c r="G121" s="27">
        <f>ROUND((I120)*(IF('Your Debts'!$G$6=0,0,INDEX('Your Debts'!$C$5:$C$12,'Your Debts'!$G$6)/12)),2)</f>
        <v/>
      </c>
      <c r="H121" s="27">
        <f>MIN((I120)+G121,MAX(0,$C121-(E121)))</f>
        <v/>
      </c>
      <c r="I121" s="27">
        <f>ROUND(MAX(0,(I120)+G121-H121),2)</f>
        <v/>
      </c>
      <c r="J121" s="27">
        <f>ROUND((L120)*(IF('Your Debts'!$G$7=0,0,INDEX('Your Debts'!$C$5:$C$12,'Your Debts'!$G$7)/12)),2)</f>
        <v/>
      </c>
      <c r="K121" s="27">
        <f>MIN((L120)+J121,MAX(0,$C121-(E121+H121)))</f>
        <v/>
      </c>
      <c r="L121" s="27">
        <f>ROUND(MAX(0,(L120)+J121-K121),2)</f>
        <v/>
      </c>
      <c r="M121" s="27">
        <f>ROUND((O120)*(IF('Your Debts'!$G$8=0,0,INDEX('Your Debts'!$C$5:$C$12,'Your Debts'!$G$8)/12)),2)</f>
        <v/>
      </c>
      <c r="N121" s="27">
        <f>MIN((O120)+M121,MAX(0,$C121-(E121+H121+K121)))</f>
        <v/>
      </c>
      <c r="O121" s="27">
        <f>ROUND(MAX(0,(O120)+M121-N121),2)</f>
        <v/>
      </c>
      <c r="P121" s="27">
        <f>ROUND((R120)*(IF('Your Debts'!$G$9=0,0,INDEX('Your Debts'!$C$5:$C$12,'Your Debts'!$G$9)/12)),2)</f>
        <v/>
      </c>
      <c r="Q121" s="27">
        <f>MIN((R120)+P121,MAX(0,$C121-(E121+H121+K121+N121)))</f>
        <v/>
      </c>
      <c r="R121" s="27">
        <f>ROUND(MAX(0,(R120)+P121-Q121),2)</f>
        <v/>
      </c>
      <c r="S121" s="27">
        <f>ROUND((U120)*(IF('Your Debts'!$G$10=0,0,INDEX('Your Debts'!$C$5:$C$12,'Your Debts'!$G$10)/12)),2)</f>
        <v/>
      </c>
      <c r="T121" s="27">
        <f>MIN((U120)+S121,MAX(0,$C121-(E121+H121+K121+N121+Q121)))</f>
        <v/>
      </c>
      <c r="U121" s="27">
        <f>ROUND(MAX(0,(U120)+S121-T121),2)</f>
        <v/>
      </c>
      <c r="V121" s="27">
        <f>ROUND((X120)*(IF('Your Debts'!$G$11=0,0,INDEX('Your Debts'!$C$5:$C$12,'Your Debts'!$G$11)/12)),2)</f>
        <v/>
      </c>
      <c r="W121" s="27">
        <f>MIN((X120)+V121,MAX(0,$C121-(E121+H121+K121+N121+Q121+T121)))</f>
        <v/>
      </c>
      <c r="X121" s="27">
        <f>ROUND(MAX(0,(X120)+V121-W121),2)</f>
        <v/>
      </c>
      <c r="Y121" s="27">
        <f>ROUND((AA120)*(IF('Your Debts'!$G$12=0,0,INDEX('Your Debts'!$C$5:$C$12,'Your Debts'!$G$12)/12)),2)</f>
        <v/>
      </c>
      <c r="Z121" s="27">
        <f>MIN((AA120)+Y121,MAX(0,$C121-(E121+H121+K121+N121+Q121+T121+W121)))</f>
        <v/>
      </c>
      <c r="AA121" s="27">
        <f>ROUND(MAX(0,(AA120)+Y121-Z121),2)</f>
        <v/>
      </c>
      <c r="AB121" s="18">
        <f>F121+I121+L121+O121+R121+U121+X121+AA121</f>
        <v/>
      </c>
      <c r="AC121" s="26">
        <f>AC120+D121+G121+J121+M121+P121+S121+V121+Y121</f>
        <v/>
      </c>
    </row>
    <row r="122">
      <c r="A122" s="24" t="n">
        <v>117</v>
      </c>
      <c r="B122" s="25">
        <f>EDATE('Your Debts'!$B$19,116)</f>
        <v/>
      </c>
      <c r="C122" s="26">
        <f>'Your Debts'!$B$18</f>
        <v/>
      </c>
      <c r="D122" s="27">
        <f>ROUND((F121)*(IF('Your Debts'!$G$5=0,0,INDEX('Your Debts'!$C$5:$C$12,'Your Debts'!$G$5)/12)),2)</f>
        <v/>
      </c>
      <c r="E122" s="27">
        <f>MIN((F121)+D122,MAX(0,$C122-(0)))</f>
        <v/>
      </c>
      <c r="F122" s="27">
        <f>ROUND(MAX(0,(F121)+D122-E122),2)</f>
        <v/>
      </c>
      <c r="G122" s="27">
        <f>ROUND((I121)*(IF('Your Debts'!$G$6=0,0,INDEX('Your Debts'!$C$5:$C$12,'Your Debts'!$G$6)/12)),2)</f>
        <v/>
      </c>
      <c r="H122" s="27">
        <f>MIN((I121)+G122,MAX(0,$C122-(E122)))</f>
        <v/>
      </c>
      <c r="I122" s="27">
        <f>ROUND(MAX(0,(I121)+G122-H122),2)</f>
        <v/>
      </c>
      <c r="J122" s="27">
        <f>ROUND((L121)*(IF('Your Debts'!$G$7=0,0,INDEX('Your Debts'!$C$5:$C$12,'Your Debts'!$G$7)/12)),2)</f>
        <v/>
      </c>
      <c r="K122" s="27">
        <f>MIN((L121)+J122,MAX(0,$C122-(E122+H122)))</f>
        <v/>
      </c>
      <c r="L122" s="27">
        <f>ROUND(MAX(0,(L121)+J122-K122),2)</f>
        <v/>
      </c>
      <c r="M122" s="27">
        <f>ROUND((O121)*(IF('Your Debts'!$G$8=0,0,INDEX('Your Debts'!$C$5:$C$12,'Your Debts'!$G$8)/12)),2)</f>
        <v/>
      </c>
      <c r="N122" s="27">
        <f>MIN((O121)+M122,MAX(0,$C122-(E122+H122+K122)))</f>
        <v/>
      </c>
      <c r="O122" s="27">
        <f>ROUND(MAX(0,(O121)+M122-N122),2)</f>
        <v/>
      </c>
      <c r="P122" s="27">
        <f>ROUND((R121)*(IF('Your Debts'!$G$9=0,0,INDEX('Your Debts'!$C$5:$C$12,'Your Debts'!$G$9)/12)),2)</f>
        <v/>
      </c>
      <c r="Q122" s="27">
        <f>MIN((R121)+P122,MAX(0,$C122-(E122+H122+K122+N122)))</f>
        <v/>
      </c>
      <c r="R122" s="27">
        <f>ROUND(MAX(0,(R121)+P122-Q122),2)</f>
        <v/>
      </c>
      <c r="S122" s="27">
        <f>ROUND((U121)*(IF('Your Debts'!$G$10=0,0,INDEX('Your Debts'!$C$5:$C$12,'Your Debts'!$G$10)/12)),2)</f>
        <v/>
      </c>
      <c r="T122" s="27">
        <f>MIN((U121)+S122,MAX(0,$C122-(E122+H122+K122+N122+Q122)))</f>
        <v/>
      </c>
      <c r="U122" s="27">
        <f>ROUND(MAX(0,(U121)+S122-T122),2)</f>
        <v/>
      </c>
      <c r="V122" s="27">
        <f>ROUND((X121)*(IF('Your Debts'!$G$11=0,0,INDEX('Your Debts'!$C$5:$C$12,'Your Debts'!$G$11)/12)),2)</f>
        <v/>
      </c>
      <c r="W122" s="27">
        <f>MIN((X121)+V122,MAX(0,$C122-(E122+H122+K122+N122+Q122+T122)))</f>
        <v/>
      </c>
      <c r="X122" s="27">
        <f>ROUND(MAX(0,(X121)+V122-W122),2)</f>
        <v/>
      </c>
      <c r="Y122" s="27">
        <f>ROUND((AA121)*(IF('Your Debts'!$G$12=0,0,INDEX('Your Debts'!$C$5:$C$12,'Your Debts'!$G$12)/12)),2)</f>
        <v/>
      </c>
      <c r="Z122" s="27">
        <f>MIN((AA121)+Y122,MAX(0,$C122-(E122+H122+K122+N122+Q122+T122+W122)))</f>
        <v/>
      </c>
      <c r="AA122" s="27">
        <f>ROUND(MAX(0,(AA121)+Y122-Z122),2)</f>
        <v/>
      </c>
      <c r="AB122" s="18">
        <f>F122+I122+L122+O122+R122+U122+X122+AA122</f>
        <v/>
      </c>
      <c r="AC122" s="26">
        <f>AC121+D122+G122+J122+M122+P122+S122+V122+Y122</f>
        <v/>
      </c>
    </row>
    <row r="123">
      <c r="A123" s="24" t="n">
        <v>118</v>
      </c>
      <c r="B123" s="25">
        <f>EDATE('Your Debts'!$B$19,117)</f>
        <v/>
      </c>
      <c r="C123" s="26">
        <f>'Your Debts'!$B$18</f>
        <v/>
      </c>
      <c r="D123" s="27">
        <f>ROUND((F122)*(IF('Your Debts'!$G$5=0,0,INDEX('Your Debts'!$C$5:$C$12,'Your Debts'!$G$5)/12)),2)</f>
        <v/>
      </c>
      <c r="E123" s="27">
        <f>MIN((F122)+D123,MAX(0,$C123-(0)))</f>
        <v/>
      </c>
      <c r="F123" s="27">
        <f>ROUND(MAX(0,(F122)+D123-E123),2)</f>
        <v/>
      </c>
      <c r="G123" s="27">
        <f>ROUND((I122)*(IF('Your Debts'!$G$6=0,0,INDEX('Your Debts'!$C$5:$C$12,'Your Debts'!$G$6)/12)),2)</f>
        <v/>
      </c>
      <c r="H123" s="27">
        <f>MIN((I122)+G123,MAX(0,$C123-(E123)))</f>
        <v/>
      </c>
      <c r="I123" s="27">
        <f>ROUND(MAX(0,(I122)+G123-H123),2)</f>
        <v/>
      </c>
      <c r="J123" s="27">
        <f>ROUND((L122)*(IF('Your Debts'!$G$7=0,0,INDEX('Your Debts'!$C$5:$C$12,'Your Debts'!$G$7)/12)),2)</f>
        <v/>
      </c>
      <c r="K123" s="27">
        <f>MIN((L122)+J123,MAX(0,$C123-(E123+H123)))</f>
        <v/>
      </c>
      <c r="L123" s="27">
        <f>ROUND(MAX(0,(L122)+J123-K123),2)</f>
        <v/>
      </c>
      <c r="M123" s="27">
        <f>ROUND((O122)*(IF('Your Debts'!$G$8=0,0,INDEX('Your Debts'!$C$5:$C$12,'Your Debts'!$G$8)/12)),2)</f>
        <v/>
      </c>
      <c r="N123" s="27">
        <f>MIN((O122)+M123,MAX(0,$C123-(E123+H123+K123)))</f>
        <v/>
      </c>
      <c r="O123" s="27">
        <f>ROUND(MAX(0,(O122)+M123-N123),2)</f>
        <v/>
      </c>
      <c r="P123" s="27">
        <f>ROUND((R122)*(IF('Your Debts'!$G$9=0,0,INDEX('Your Debts'!$C$5:$C$12,'Your Debts'!$G$9)/12)),2)</f>
        <v/>
      </c>
      <c r="Q123" s="27">
        <f>MIN((R122)+P123,MAX(0,$C123-(E123+H123+K123+N123)))</f>
        <v/>
      </c>
      <c r="R123" s="27">
        <f>ROUND(MAX(0,(R122)+P123-Q123),2)</f>
        <v/>
      </c>
      <c r="S123" s="27">
        <f>ROUND((U122)*(IF('Your Debts'!$G$10=0,0,INDEX('Your Debts'!$C$5:$C$12,'Your Debts'!$G$10)/12)),2)</f>
        <v/>
      </c>
      <c r="T123" s="27">
        <f>MIN((U122)+S123,MAX(0,$C123-(E123+H123+K123+N123+Q123)))</f>
        <v/>
      </c>
      <c r="U123" s="27">
        <f>ROUND(MAX(0,(U122)+S123-T123),2)</f>
        <v/>
      </c>
      <c r="V123" s="27">
        <f>ROUND((X122)*(IF('Your Debts'!$G$11=0,0,INDEX('Your Debts'!$C$5:$C$12,'Your Debts'!$G$11)/12)),2)</f>
        <v/>
      </c>
      <c r="W123" s="27">
        <f>MIN((X122)+V123,MAX(0,$C123-(E123+H123+K123+N123+Q123+T123)))</f>
        <v/>
      </c>
      <c r="X123" s="27">
        <f>ROUND(MAX(0,(X122)+V123-W123),2)</f>
        <v/>
      </c>
      <c r="Y123" s="27">
        <f>ROUND((AA122)*(IF('Your Debts'!$G$12=0,0,INDEX('Your Debts'!$C$5:$C$12,'Your Debts'!$G$12)/12)),2)</f>
        <v/>
      </c>
      <c r="Z123" s="27">
        <f>MIN((AA122)+Y123,MAX(0,$C123-(E123+H123+K123+N123+Q123+T123+W123)))</f>
        <v/>
      </c>
      <c r="AA123" s="27">
        <f>ROUND(MAX(0,(AA122)+Y123-Z123),2)</f>
        <v/>
      </c>
      <c r="AB123" s="18">
        <f>F123+I123+L123+O123+R123+U123+X123+AA123</f>
        <v/>
      </c>
      <c r="AC123" s="26">
        <f>AC122+D123+G123+J123+M123+P123+S123+V123+Y123</f>
        <v/>
      </c>
    </row>
    <row r="124">
      <c r="A124" s="24" t="n">
        <v>119</v>
      </c>
      <c r="B124" s="25">
        <f>EDATE('Your Debts'!$B$19,118)</f>
        <v/>
      </c>
      <c r="C124" s="26">
        <f>'Your Debts'!$B$18</f>
        <v/>
      </c>
      <c r="D124" s="27">
        <f>ROUND((F123)*(IF('Your Debts'!$G$5=0,0,INDEX('Your Debts'!$C$5:$C$12,'Your Debts'!$G$5)/12)),2)</f>
        <v/>
      </c>
      <c r="E124" s="27">
        <f>MIN((F123)+D124,MAX(0,$C124-(0)))</f>
        <v/>
      </c>
      <c r="F124" s="27">
        <f>ROUND(MAX(0,(F123)+D124-E124),2)</f>
        <v/>
      </c>
      <c r="G124" s="27">
        <f>ROUND((I123)*(IF('Your Debts'!$G$6=0,0,INDEX('Your Debts'!$C$5:$C$12,'Your Debts'!$G$6)/12)),2)</f>
        <v/>
      </c>
      <c r="H124" s="27">
        <f>MIN((I123)+G124,MAX(0,$C124-(E124)))</f>
        <v/>
      </c>
      <c r="I124" s="27">
        <f>ROUND(MAX(0,(I123)+G124-H124),2)</f>
        <v/>
      </c>
      <c r="J124" s="27">
        <f>ROUND((L123)*(IF('Your Debts'!$G$7=0,0,INDEX('Your Debts'!$C$5:$C$12,'Your Debts'!$G$7)/12)),2)</f>
        <v/>
      </c>
      <c r="K124" s="27">
        <f>MIN((L123)+J124,MAX(0,$C124-(E124+H124)))</f>
        <v/>
      </c>
      <c r="L124" s="27">
        <f>ROUND(MAX(0,(L123)+J124-K124),2)</f>
        <v/>
      </c>
      <c r="M124" s="27">
        <f>ROUND((O123)*(IF('Your Debts'!$G$8=0,0,INDEX('Your Debts'!$C$5:$C$12,'Your Debts'!$G$8)/12)),2)</f>
        <v/>
      </c>
      <c r="N124" s="27">
        <f>MIN((O123)+M124,MAX(0,$C124-(E124+H124+K124)))</f>
        <v/>
      </c>
      <c r="O124" s="27">
        <f>ROUND(MAX(0,(O123)+M124-N124),2)</f>
        <v/>
      </c>
      <c r="P124" s="27">
        <f>ROUND((R123)*(IF('Your Debts'!$G$9=0,0,INDEX('Your Debts'!$C$5:$C$12,'Your Debts'!$G$9)/12)),2)</f>
        <v/>
      </c>
      <c r="Q124" s="27">
        <f>MIN((R123)+P124,MAX(0,$C124-(E124+H124+K124+N124)))</f>
        <v/>
      </c>
      <c r="R124" s="27">
        <f>ROUND(MAX(0,(R123)+P124-Q124),2)</f>
        <v/>
      </c>
      <c r="S124" s="27">
        <f>ROUND((U123)*(IF('Your Debts'!$G$10=0,0,INDEX('Your Debts'!$C$5:$C$12,'Your Debts'!$G$10)/12)),2)</f>
        <v/>
      </c>
      <c r="T124" s="27">
        <f>MIN((U123)+S124,MAX(0,$C124-(E124+H124+K124+N124+Q124)))</f>
        <v/>
      </c>
      <c r="U124" s="27">
        <f>ROUND(MAX(0,(U123)+S124-T124),2)</f>
        <v/>
      </c>
      <c r="V124" s="27">
        <f>ROUND((X123)*(IF('Your Debts'!$G$11=0,0,INDEX('Your Debts'!$C$5:$C$12,'Your Debts'!$G$11)/12)),2)</f>
        <v/>
      </c>
      <c r="W124" s="27">
        <f>MIN((X123)+V124,MAX(0,$C124-(E124+H124+K124+N124+Q124+T124)))</f>
        <v/>
      </c>
      <c r="X124" s="27">
        <f>ROUND(MAX(0,(X123)+V124-W124),2)</f>
        <v/>
      </c>
      <c r="Y124" s="27">
        <f>ROUND((AA123)*(IF('Your Debts'!$G$12=0,0,INDEX('Your Debts'!$C$5:$C$12,'Your Debts'!$G$12)/12)),2)</f>
        <v/>
      </c>
      <c r="Z124" s="27">
        <f>MIN((AA123)+Y124,MAX(0,$C124-(E124+H124+K124+N124+Q124+T124+W124)))</f>
        <v/>
      </c>
      <c r="AA124" s="27">
        <f>ROUND(MAX(0,(AA123)+Y124-Z124),2)</f>
        <v/>
      </c>
      <c r="AB124" s="18">
        <f>F124+I124+L124+O124+R124+U124+X124+AA124</f>
        <v/>
      </c>
      <c r="AC124" s="26">
        <f>AC123+D124+G124+J124+M124+P124+S124+V124+Y124</f>
        <v/>
      </c>
    </row>
    <row r="125">
      <c r="A125" s="24" t="n">
        <v>120</v>
      </c>
      <c r="B125" s="25">
        <f>EDATE('Your Debts'!$B$19,119)</f>
        <v/>
      </c>
      <c r="C125" s="26">
        <f>'Your Debts'!$B$18</f>
        <v/>
      </c>
      <c r="D125" s="27">
        <f>ROUND((F124)*(IF('Your Debts'!$G$5=0,0,INDEX('Your Debts'!$C$5:$C$12,'Your Debts'!$G$5)/12)),2)</f>
        <v/>
      </c>
      <c r="E125" s="27">
        <f>MIN((F124)+D125,MAX(0,$C125-(0)))</f>
        <v/>
      </c>
      <c r="F125" s="27">
        <f>ROUND(MAX(0,(F124)+D125-E125),2)</f>
        <v/>
      </c>
      <c r="G125" s="27">
        <f>ROUND((I124)*(IF('Your Debts'!$G$6=0,0,INDEX('Your Debts'!$C$5:$C$12,'Your Debts'!$G$6)/12)),2)</f>
        <v/>
      </c>
      <c r="H125" s="27">
        <f>MIN((I124)+G125,MAX(0,$C125-(E125)))</f>
        <v/>
      </c>
      <c r="I125" s="27">
        <f>ROUND(MAX(0,(I124)+G125-H125),2)</f>
        <v/>
      </c>
      <c r="J125" s="27">
        <f>ROUND((L124)*(IF('Your Debts'!$G$7=0,0,INDEX('Your Debts'!$C$5:$C$12,'Your Debts'!$G$7)/12)),2)</f>
        <v/>
      </c>
      <c r="K125" s="27">
        <f>MIN((L124)+J125,MAX(0,$C125-(E125+H125)))</f>
        <v/>
      </c>
      <c r="L125" s="27">
        <f>ROUND(MAX(0,(L124)+J125-K125),2)</f>
        <v/>
      </c>
      <c r="M125" s="27">
        <f>ROUND((O124)*(IF('Your Debts'!$G$8=0,0,INDEX('Your Debts'!$C$5:$C$12,'Your Debts'!$G$8)/12)),2)</f>
        <v/>
      </c>
      <c r="N125" s="27">
        <f>MIN((O124)+M125,MAX(0,$C125-(E125+H125+K125)))</f>
        <v/>
      </c>
      <c r="O125" s="27">
        <f>ROUND(MAX(0,(O124)+M125-N125),2)</f>
        <v/>
      </c>
      <c r="P125" s="27">
        <f>ROUND((R124)*(IF('Your Debts'!$G$9=0,0,INDEX('Your Debts'!$C$5:$C$12,'Your Debts'!$G$9)/12)),2)</f>
        <v/>
      </c>
      <c r="Q125" s="27">
        <f>MIN((R124)+P125,MAX(0,$C125-(E125+H125+K125+N125)))</f>
        <v/>
      </c>
      <c r="R125" s="27">
        <f>ROUND(MAX(0,(R124)+P125-Q125),2)</f>
        <v/>
      </c>
      <c r="S125" s="27">
        <f>ROUND((U124)*(IF('Your Debts'!$G$10=0,0,INDEX('Your Debts'!$C$5:$C$12,'Your Debts'!$G$10)/12)),2)</f>
        <v/>
      </c>
      <c r="T125" s="27">
        <f>MIN((U124)+S125,MAX(0,$C125-(E125+H125+K125+N125+Q125)))</f>
        <v/>
      </c>
      <c r="U125" s="27">
        <f>ROUND(MAX(0,(U124)+S125-T125),2)</f>
        <v/>
      </c>
      <c r="V125" s="27">
        <f>ROUND((X124)*(IF('Your Debts'!$G$11=0,0,INDEX('Your Debts'!$C$5:$C$12,'Your Debts'!$G$11)/12)),2)</f>
        <v/>
      </c>
      <c r="W125" s="27">
        <f>MIN((X124)+V125,MAX(0,$C125-(E125+H125+K125+N125+Q125+T125)))</f>
        <v/>
      </c>
      <c r="X125" s="27">
        <f>ROUND(MAX(0,(X124)+V125-W125),2)</f>
        <v/>
      </c>
      <c r="Y125" s="27">
        <f>ROUND((AA124)*(IF('Your Debts'!$G$12=0,0,INDEX('Your Debts'!$C$5:$C$12,'Your Debts'!$G$12)/12)),2)</f>
        <v/>
      </c>
      <c r="Z125" s="27">
        <f>MIN((AA124)+Y125,MAX(0,$C125-(E125+H125+K125+N125+Q125+T125+W125)))</f>
        <v/>
      </c>
      <c r="AA125" s="27">
        <f>ROUND(MAX(0,(AA124)+Y125-Z125),2)</f>
        <v/>
      </c>
      <c r="AB125" s="18">
        <f>F125+I125+L125+O125+R125+U125+X125+AA125</f>
        <v/>
      </c>
      <c r="AC125" s="26">
        <f>AC124+D125+G125+J125+M125+P125+S125+V125+Y125</f>
        <v/>
      </c>
    </row>
    <row r="126">
      <c r="A126" s="24" t="n">
        <v>121</v>
      </c>
      <c r="B126" s="25">
        <f>EDATE('Your Debts'!$B$19,120)</f>
        <v/>
      </c>
      <c r="C126" s="26">
        <f>'Your Debts'!$B$18</f>
        <v/>
      </c>
      <c r="D126" s="27">
        <f>ROUND((F125)*(IF('Your Debts'!$G$5=0,0,INDEX('Your Debts'!$C$5:$C$12,'Your Debts'!$G$5)/12)),2)</f>
        <v/>
      </c>
      <c r="E126" s="27">
        <f>MIN((F125)+D126,MAX(0,$C126-(0)))</f>
        <v/>
      </c>
      <c r="F126" s="27">
        <f>ROUND(MAX(0,(F125)+D126-E126),2)</f>
        <v/>
      </c>
      <c r="G126" s="27">
        <f>ROUND((I125)*(IF('Your Debts'!$G$6=0,0,INDEX('Your Debts'!$C$5:$C$12,'Your Debts'!$G$6)/12)),2)</f>
        <v/>
      </c>
      <c r="H126" s="27">
        <f>MIN((I125)+G126,MAX(0,$C126-(E126)))</f>
        <v/>
      </c>
      <c r="I126" s="27">
        <f>ROUND(MAX(0,(I125)+G126-H126),2)</f>
        <v/>
      </c>
      <c r="J126" s="27">
        <f>ROUND((L125)*(IF('Your Debts'!$G$7=0,0,INDEX('Your Debts'!$C$5:$C$12,'Your Debts'!$G$7)/12)),2)</f>
        <v/>
      </c>
      <c r="K126" s="27">
        <f>MIN((L125)+J126,MAX(0,$C126-(E126+H126)))</f>
        <v/>
      </c>
      <c r="L126" s="27">
        <f>ROUND(MAX(0,(L125)+J126-K126),2)</f>
        <v/>
      </c>
      <c r="M126" s="27">
        <f>ROUND((O125)*(IF('Your Debts'!$G$8=0,0,INDEX('Your Debts'!$C$5:$C$12,'Your Debts'!$G$8)/12)),2)</f>
        <v/>
      </c>
      <c r="N126" s="27">
        <f>MIN((O125)+M126,MAX(0,$C126-(E126+H126+K126)))</f>
        <v/>
      </c>
      <c r="O126" s="27">
        <f>ROUND(MAX(0,(O125)+M126-N126),2)</f>
        <v/>
      </c>
      <c r="P126" s="27">
        <f>ROUND((R125)*(IF('Your Debts'!$G$9=0,0,INDEX('Your Debts'!$C$5:$C$12,'Your Debts'!$G$9)/12)),2)</f>
        <v/>
      </c>
      <c r="Q126" s="27">
        <f>MIN((R125)+P126,MAX(0,$C126-(E126+H126+K126+N126)))</f>
        <v/>
      </c>
      <c r="R126" s="27">
        <f>ROUND(MAX(0,(R125)+P126-Q126),2)</f>
        <v/>
      </c>
      <c r="S126" s="27">
        <f>ROUND((U125)*(IF('Your Debts'!$G$10=0,0,INDEX('Your Debts'!$C$5:$C$12,'Your Debts'!$G$10)/12)),2)</f>
        <v/>
      </c>
      <c r="T126" s="27">
        <f>MIN((U125)+S126,MAX(0,$C126-(E126+H126+K126+N126+Q126)))</f>
        <v/>
      </c>
      <c r="U126" s="27">
        <f>ROUND(MAX(0,(U125)+S126-T126),2)</f>
        <v/>
      </c>
      <c r="V126" s="27">
        <f>ROUND((X125)*(IF('Your Debts'!$G$11=0,0,INDEX('Your Debts'!$C$5:$C$12,'Your Debts'!$G$11)/12)),2)</f>
        <v/>
      </c>
      <c r="W126" s="27">
        <f>MIN((X125)+V126,MAX(0,$C126-(E126+H126+K126+N126+Q126+T126)))</f>
        <v/>
      </c>
      <c r="X126" s="27">
        <f>ROUND(MAX(0,(X125)+V126-W126),2)</f>
        <v/>
      </c>
      <c r="Y126" s="27">
        <f>ROUND((AA125)*(IF('Your Debts'!$G$12=0,0,INDEX('Your Debts'!$C$5:$C$12,'Your Debts'!$G$12)/12)),2)</f>
        <v/>
      </c>
      <c r="Z126" s="27">
        <f>MIN((AA125)+Y126,MAX(0,$C126-(E126+H126+K126+N126+Q126+T126+W126)))</f>
        <v/>
      </c>
      <c r="AA126" s="27">
        <f>ROUND(MAX(0,(AA125)+Y126-Z126),2)</f>
        <v/>
      </c>
      <c r="AB126" s="18">
        <f>F126+I126+L126+O126+R126+U126+X126+AA126</f>
        <v/>
      </c>
      <c r="AC126" s="26">
        <f>AC125+D126+G126+J126+M126+P126+S126+V126+Y126</f>
        <v/>
      </c>
    </row>
    <row r="127">
      <c r="A127" s="24" t="n">
        <v>122</v>
      </c>
      <c r="B127" s="25">
        <f>EDATE('Your Debts'!$B$19,121)</f>
        <v/>
      </c>
      <c r="C127" s="26">
        <f>'Your Debts'!$B$18</f>
        <v/>
      </c>
      <c r="D127" s="27">
        <f>ROUND((F126)*(IF('Your Debts'!$G$5=0,0,INDEX('Your Debts'!$C$5:$C$12,'Your Debts'!$G$5)/12)),2)</f>
        <v/>
      </c>
      <c r="E127" s="27">
        <f>MIN((F126)+D127,MAX(0,$C127-(0)))</f>
        <v/>
      </c>
      <c r="F127" s="27">
        <f>ROUND(MAX(0,(F126)+D127-E127),2)</f>
        <v/>
      </c>
      <c r="G127" s="27">
        <f>ROUND((I126)*(IF('Your Debts'!$G$6=0,0,INDEX('Your Debts'!$C$5:$C$12,'Your Debts'!$G$6)/12)),2)</f>
        <v/>
      </c>
      <c r="H127" s="27">
        <f>MIN((I126)+G127,MAX(0,$C127-(E127)))</f>
        <v/>
      </c>
      <c r="I127" s="27">
        <f>ROUND(MAX(0,(I126)+G127-H127),2)</f>
        <v/>
      </c>
      <c r="J127" s="27">
        <f>ROUND((L126)*(IF('Your Debts'!$G$7=0,0,INDEX('Your Debts'!$C$5:$C$12,'Your Debts'!$G$7)/12)),2)</f>
        <v/>
      </c>
      <c r="K127" s="27">
        <f>MIN((L126)+J127,MAX(0,$C127-(E127+H127)))</f>
        <v/>
      </c>
      <c r="L127" s="27">
        <f>ROUND(MAX(0,(L126)+J127-K127),2)</f>
        <v/>
      </c>
      <c r="M127" s="27">
        <f>ROUND((O126)*(IF('Your Debts'!$G$8=0,0,INDEX('Your Debts'!$C$5:$C$12,'Your Debts'!$G$8)/12)),2)</f>
        <v/>
      </c>
      <c r="N127" s="27">
        <f>MIN((O126)+M127,MAX(0,$C127-(E127+H127+K127)))</f>
        <v/>
      </c>
      <c r="O127" s="27">
        <f>ROUND(MAX(0,(O126)+M127-N127),2)</f>
        <v/>
      </c>
      <c r="P127" s="27">
        <f>ROUND((R126)*(IF('Your Debts'!$G$9=0,0,INDEX('Your Debts'!$C$5:$C$12,'Your Debts'!$G$9)/12)),2)</f>
        <v/>
      </c>
      <c r="Q127" s="27">
        <f>MIN((R126)+P127,MAX(0,$C127-(E127+H127+K127+N127)))</f>
        <v/>
      </c>
      <c r="R127" s="27">
        <f>ROUND(MAX(0,(R126)+P127-Q127),2)</f>
        <v/>
      </c>
      <c r="S127" s="27">
        <f>ROUND((U126)*(IF('Your Debts'!$G$10=0,0,INDEX('Your Debts'!$C$5:$C$12,'Your Debts'!$G$10)/12)),2)</f>
        <v/>
      </c>
      <c r="T127" s="27">
        <f>MIN((U126)+S127,MAX(0,$C127-(E127+H127+K127+N127+Q127)))</f>
        <v/>
      </c>
      <c r="U127" s="27">
        <f>ROUND(MAX(0,(U126)+S127-T127),2)</f>
        <v/>
      </c>
      <c r="V127" s="27">
        <f>ROUND((X126)*(IF('Your Debts'!$G$11=0,0,INDEX('Your Debts'!$C$5:$C$12,'Your Debts'!$G$11)/12)),2)</f>
        <v/>
      </c>
      <c r="W127" s="27">
        <f>MIN((X126)+V127,MAX(0,$C127-(E127+H127+K127+N127+Q127+T127)))</f>
        <v/>
      </c>
      <c r="X127" s="27">
        <f>ROUND(MAX(0,(X126)+V127-W127),2)</f>
        <v/>
      </c>
      <c r="Y127" s="27">
        <f>ROUND((AA126)*(IF('Your Debts'!$G$12=0,0,INDEX('Your Debts'!$C$5:$C$12,'Your Debts'!$G$12)/12)),2)</f>
        <v/>
      </c>
      <c r="Z127" s="27">
        <f>MIN((AA126)+Y127,MAX(0,$C127-(E127+H127+K127+N127+Q127+T127+W127)))</f>
        <v/>
      </c>
      <c r="AA127" s="27">
        <f>ROUND(MAX(0,(AA126)+Y127-Z127),2)</f>
        <v/>
      </c>
      <c r="AB127" s="18">
        <f>F127+I127+L127+O127+R127+U127+X127+AA127</f>
        <v/>
      </c>
      <c r="AC127" s="26">
        <f>AC126+D127+G127+J127+M127+P127+S127+V127+Y127</f>
        <v/>
      </c>
    </row>
    <row r="128">
      <c r="A128" s="24" t="n">
        <v>123</v>
      </c>
      <c r="B128" s="25">
        <f>EDATE('Your Debts'!$B$19,122)</f>
        <v/>
      </c>
      <c r="C128" s="26">
        <f>'Your Debts'!$B$18</f>
        <v/>
      </c>
      <c r="D128" s="27">
        <f>ROUND((F127)*(IF('Your Debts'!$G$5=0,0,INDEX('Your Debts'!$C$5:$C$12,'Your Debts'!$G$5)/12)),2)</f>
        <v/>
      </c>
      <c r="E128" s="27">
        <f>MIN((F127)+D128,MAX(0,$C128-(0)))</f>
        <v/>
      </c>
      <c r="F128" s="27">
        <f>ROUND(MAX(0,(F127)+D128-E128),2)</f>
        <v/>
      </c>
      <c r="G128" s="27">
        <f>ROUND((I127)*(IF('Your Debts'!$G$6=0,0,INDEX('Your Debts'!$C$5:$C$12,'Your Debts'!$G$6)/12)),2)</f>
        <v/>
      </c>
      <c r="H128" s="27">
        <f>MIN((I127)+G128,MAX(0,$C128-(E128)))</f>
        <v/>
      </c>
      <c r="I128" s="27">
        <f>ROUND(MAX(0,(I127)+G128-H128),2)</f>
        <v/>
      </c>
      <c r="J128" s="27">
        <f>ROUND((L127)*(IF('Your Debts'!$G$7=0,0,INDEX('Your Debts'!$C$5:$C$12,'Your Debts'!$G$7)/12)),2)</f>
        <v/>
      </c>
      <c r="K128" s="27">
        <f>MIN((L127)+J128,MAX(0,$C128-(E128+H128)))</f>
        <v/>
      </c>
      <c r="L128" s="27">
        <f>ROUND(MAX(0,(L127)+J128-K128),2)</f>
        <v/>
      </c>
      <c r="M128" s="27">
        <f>ROUND((O127)*(IF('Your Debts'!$G$8=0,0,INDEX('Your Debts'!$C$5:$C$12,'Your Debts'!$G$8)/12)),2)</f>
        <v/>
      </c>
      <c r="N128" s="27">
        <f>MIN((O127)+M128,MAX(0,$C128-(E128+H128+K128)))</f>
        <v/>
      </c>
      <c r="O128" s="27">
        <f>ROUND(MAX(0,(O127)+M128-N128),2)</f>
        <v/>
      </c>
      <c r="P128" s="27">
        <f>ROUND((R127)*(IF('Your Debts'!$G$9=0,0,INDEX('Your Debts'!$C$5:$C$12,'Your Debts'!$G$9)/12)),2)</f>
        <v/>
      </c>
      <c r="Q128" s="27">
        <f>MIN((R127)+P128,MAX(0,$C128-(E128+H128+K128+N128)))</f>
        <v/>
      </c>
      <c r="R128" s="27">
        <f>ROUND(MAX(0,(R127)+P128-Q128),2)</f>
        <v/>
      </c>
      <c r="S128" s="27">
        <f>ROUND((U127)*(IF('Your Debts'!$G$10=0,0,INDEX('Your Debts'!$C$5:$C$12,'Your Debts'!$G$10)/12)),2)</f>
        <v/>
      </c>
      <c r="T128" s="27">
        <f>MIN((U127)+S128,MAX(0,$C128-(E128+H128+K128+N128+Q128)))</f>
        <v/>
      </c>
      <c r="U128" s="27">
        <f>ROUND(MAX(0,(U127)+S128-T128),2)</f>
        <v/>
      </c>
      <c r="V128" s="27">
        <f>ROUND((X127)*(IF('Your Debts'!$G$11=0,0,INDEX('Your Debts'!$C$5:$C$12,'Your Debts'!$G$11)/12)),2)</f>
        <v/>
      </c>
      <c r="W128" s="27">
        <f>MIN((X127)+V128,MAX(0,$C128-(E128+H128+K128+N128+Q128+T128)))</f>
        <v/>
      </c>
      <c r="X128" s="27">
        <f>ROUND(MAX(0,(X127)+V128-W128),2)</f>
        <v/>
      </c>
      <c r="Y128" s="27">
        <f>ROUND((AA127)*(IF('Your Debts'!$G$12=0,0,INDEX('Your Debts'!$C$5:$C$12,'Your Debts'!$G$12)/12)),2)</f>
        <v/>
      </c>
      <c r="Z128" s="27">
        <f>MIN((AA127)+Y128,MAX(0,$C128-(E128+H128+K128+N128+Q128+T128+W128)))</f>
        <v/>
      </c>
      <c r="AA128" s="27">
        <f>ROUND(MAX(0,(AA127)+Y128-Z128),2)</f>
        <v/>
      </c>
      <c r="AB128" s="18">
        <f>F128+I128+L128+O128+R128+U128+X128+AA128</f>
        <v/>
      </c>
      <c r="AC128" s="26">
        <f>AC127+D128+G128+J128+M128+P128+S128+V128+Y128</f>
        <v/>
      </c>
    </row>
    <row r="129">
      <c r="A129" s="24" t="n">
        <v>124</v>
      </c>
      <c r="B129" s="25">
        <f>EDATE('Your Debts'!$B$19,123)</f>
        <v/>
      </c>
      <c r="C129" s="26">
        <f>'Your Debts'!$B$18</f>
        <v/>
      </c>
      <c r="D129" s="27">
        <f>ROUND((F128)*(IF('Your Debts'!$G$5=0,0,INDEX('Your Debts'!$C$5:$C$12,'Your Debts'!$G$5)/12)),2)</f>
        <v/>
      </c>
      <c r="E129" s="27">
        <f>MIN((F128)+D129,MAX(0,$C129-(0)))</f>
        <v/>
      </c>
      <c r="F129" s="27">
        <f>ROUND(MAX(0,(F128)+D129-E129),2)</f>
        <v/>
      </c>
      <c r="G129" s="27">
        <f>ROUND((I128)*(IF('Your Debts'!$G$6=0,0,INDEX('Your Debts'!$C$5:$C$12,'Your Debts'!$G$6)/12)),2)</f>
        <v/>
      </c>
      <c r="H129" s="27">
        <f>MIN((I128)+G129,MAX(0,$C129-(E129)))</f>
        <v/>
      </c>
      <c r="I129" s="27">
        <f>ROUND(MAX(0,(I128)+G129-H129),2)</f>
        <v/>
      </c>
      <c r="J129" s="27">
        <f>ROUND((L128)*(IF('Your Debts'!$G$7=0,0,INDEX('Your Debts'!$C$5:$C$12,'Your Debts'!$G$7)/12)),2)</f>
        <v/>
      </c>
      <c r="K129" s="27">
        <f>MIN((L128)+J129,MAX(0,$C129-(E129+H129)))</f>
        <v/>
      </c>
      <c r="L129" s="27">
        <f>ROUND(MAX(0,(L128)+J129-K129),2)</f>
        <v/>
      </c>
      <c r="M129" s="27">
        <f>ROUND((O128)*(IF('Your Debts'!$G$8=0,0,INDEX('Your Debts'!$C$5:$C$12,'Your Debts'!$G$8)/12)),2)</f>
        <v/>
      </c>
      <c r="N129" s="27">
        <f>MIN((O128)+M129,MAX(0,$C129-(E129+H129+K129)))</f>
        <v/>
      </c>
      <c r="O129" s="27">
        <f>ROUND(MAX(0,(O128)+M129-N129),2)</f>
        <v/>
      </c>
      <c r="P129" s="27">
        <f>ROUND((R128)*(IF('Your Debts'!$G$9=0,0,INDEX('Your Debts'!$C$5:$C$12,'Your Debts'!$G$9)/12)),2)</f>
        <v/>
      </c>
      <c r="Q129" s="27">
        <f>MIN((R128)+P129,MAX(0,$C129-(E129+H129+K129+N129)))</f>
        <v/>
      </c>
      <c r="R129" s="27">
        <f>ROUND(MAX(0,(R128)+P129-Q129),2)</f>
        <v/>
      </c>
      <c r="S129" s="27">
        <f>ROUND((U128)*(IF('Your Debts'!$G$10=0,0,INDEX('Your Debts'!$C$5:$C$12,'Your Debts'!$G$10)/12)),2)</f>
        <v/>
      </c>
      <c r="T129" s="27">
        <f>MIN((U128)+S129,MAX(0,$C129-(E129+H129+K129+N129+Q129)))</f>
        <v/>
      </c>
      <c r="U129" s="27">
        <f>ROUND(MAX(0,(U128)+S129-T129),2)</f>
        <v/>
      </c>
      <c r="V129" s="27">
        <f>ROUND((X128)*(IF('Your Debts'!$G$11=0,0,INDEX('Your Debts'!$C$5:$C$12,'Your Debts'!$G$11)/12)),2)</f>
        <v/>
      </c>
      <c r="W129" s="27">
        <f>MIN((X128)+V129,MAX(0,$C129-(E129+H129+K129+N129+Q129+T129)))</f>
        <v/>
      </c>
      <c r="X129" s="27">
        <f>ROUND(MAX(0,(X128)+V129-W129),2)</f>
        <v/>
      </c>
      <c r="Y129" s="27">
        <f>ROUND((AA128)*(IF('Your Debts'!$G$12=0,0,INDEX('Your Debts'!$C$5:$C$12,'Your Debts'!$G$12)/12)),2)</f>
        <v/>
      </c>
      <c r="Z129" s="27">
        <f>MIN((AA128)+Y129,MAX(0,$C129-(E129+H129+K129+N129+Q129+T129+W129)))</f>
        <v/>
      </c>
      <c r="AA129" s="27">
        <f>ROUND(MAX(0,(AA128)+Y129-Z129),2)</f>
        <v/>
      </c>
      <c r="AB129" s="18">
        <f>F129+I129+L129+O129+R129+U129+X129+AA129</f>
        <v/>
      </c>
      <c r="AC129" s="26">
        <f>AC128+D129+G129+J129+M129+P129+S129+V129+Y129</f>
        <v/>
      </c>
    </row>
    <row r="130">
      <c r="A130" s="24" t="n">
        <v>125</v>
      </c>
      <c r="B130" s="25">
        <f>EDATE('Your Debts'!$B$19,124)</f>
        <v/>
      </c>
      <c r="C130" s="26">
        <f>'Your Debts'!$B$18</f>
        <v/>
      </c>
      <c r="D130" s="27">
        <f>ROUND((F129)*(IF('Your Debts'!$G$5=0,0,INDEX('Your Debts'!$C$5:$C$12,'Your Debts'!$G$5)/12)),2)</f>
        <v/>
      </c>
      <c r="E130" s="27">
        <f>MIN((F129)+D130,MAX(0,$C130-(0)))</f>
        <v/>
      </c>
      <c r="F130" s="27">
        <f>ROUND(MAX(0,(F129)+D130-E130),2)</f>
        <v/>
      </c>
      <c r="G130" s="27">
        <f>ROUND((I129)*(IF('Your Debts'!$G$6=0,0,INDEX('Your Debts'!$C$5:$C$12,'Your Debts'!$G$6)/12)),2)</f>
        <v/>
      </c>
      <c r="H130" s="27">
        <f>MIN((I129)+G130,MAX(0,$C130-(E130)))</f>
        <v/>
      </c>
      <c r="I130" s="27">
        <f>ROUND(MAX(0,(I129)+G130-H130),2)</f>
        <v/>
      </c>
      <c r="J130" s="27">
        <f>ROUND((L129)*(IF('Your Debts'!$G$7=0,0,INDEX('Your Debts'!$C$5:$C$12,'Your Debts'!$G$7)/12)),2)</f>
        <v/>
      </c>
      <c r="K130" s="27">
        <f>MIN((L129)+J130,MAX(0,$C130-(E130+H130)))</f>
        <v/>
      </c>
      <c r="L130" s="27">
        <f>ROUND(MAX(0,(L129)+J130-K130),2)</f>
        <v/>
      </c>
      <c r="M130" s="27">
        <f>ROUND((O129)*(IF('Your Debts'!$G$8=0,0,INDEX('Your Debts'!$C$5:$C$12,'Your Debts'!$G$8)/12)),2)</f>
        <v/>
      </c>
      <c r="N130" s="27">
        <f>MIN((O129)+M130,MAX(0,$C130-(E130+H130+K130)))</f>
        <v/>
      </c>
      <c r="O130" s="27">
        <f>ROUND(MAX(0,(O129)+M130-N130),2)</f>
        <v/>
      </c>
      <c r="P130" s="27">
        <f>ROUND((R129)*(IF('Your Debts'!$G$9=0,0,INDEX('Your Debts'!$C$5:$C$12,'Your Debts'!$G$9)/12)),2)</f>
        <v/>
      </c>
      <c r="Q130" s="27">
        <f>MIN((R129)+P130,MAX(0,$C130-(E130+H130+K130+N130)))</f>
        <v/>
      </c>
      <c r="R130" s="27">
        <f>ROUND(MAX(0,(R129)+P130-Q130),2)</f>
        <v/>
      </c>
      <c r="S130" s="27">
        <f>ROUND((U129)*(IF('Your Debts'!$G$10=0,0,INDEX('Your Debts'!$C$5:$C$12,'Your Debts'!$G$10)/12)),2)</f>
        <v/>
      </c>
      <c r="T130" s="27">
        <f>MIN((U129)+S130,MAX(0,$C130-(E130+H130+K130+N130+Q130)))</f>
        <v/>
      </c>
      <c r="U130" s="27">
        <f>ROUND(MAX(0,(U129)+S130-T130),2)</f>
        <v/>
      </c>
      <c r="V130" s="27">
        <f>ROUND((X129)*(IF('Your Debts'!$G$11=0,0,INDEX('Your Debts'!$C$5:$C$12,'Your Debts'!$G$11)/12)),2)</f>
        <v/>
      </c>
      <c r="W130" s="27">
        <f>MIN((X129)+V130,MAX(0,$C130-(E130+H130+K130+N130+Q130+T130)))</f>
        <v/>
      </c>
      <c r="X130" s="27">
        <f>ROUND(MAX(0,(X129)+V130-W130),2)</f>
        <v/>
      </c>
      <c r="Y130" s="27">
        <f>ROUND((AA129)*(IF('Your Debts'!$G$12=0,0,INDEX('Your Debts'!$C$5:$C$12,'Your Debts'!$G$12)/12)),2)</f>
        <v/>
      </c>
      <c r="Z130" s="27">
        <f>MIN((AA129)+Y130,MAX(0,$C130-(E130+H130+K130+N130+Q130+T130+W130)))</f>
        <v/>
      </c>
      <c r="AA130" s="27">
        <f>ROUND(MAX(0,(AA129)+Y130-Z130),2)</f>
        <v/>
      </c>
      <c r="AB130" s="18">
        <f>F130+I130+L130+O130+R130+U130+X130+AA130</f>
        <v/>
      </c>
      <c r="AC130" s="26">
        <f>AC129+D130+G130+J130+M130+P130+S130+V130+Y130</f>
        <v/>
      </c>
    </row>
    <row r="131">
      <c r="A131" s="24" t="n">
        <v>126</v>
      </c>
      <c r="B131" s="25">
        <f>EDATE('Your Debts'!$B$19,125)</f>
        <v/>
      </c>
      <c r="C131" s="26">
        <f>'Your Debts'!$B$18</f>
        <v/>
      </c>
      <c r="D131" s="27">
        <f>ROUND((F130)*(IF('Your Debts'!$G$5=0,0,INDEX('Your Debts'!$C$5:$C$12,'Your Debts'!$G$5)/12)),2)</f>
        <v/>
      </c>
      <c r="E131" s="27">
        <f>MIN((F130)+D131,MAX(0,$C131-(0)))</f>
        <v/>
      </c>
      <c r="F131" s="27">
        <f>ROUND(MAX(0,(F130)+D131-E131),2)</f>
        <v/>
      </c>
      <c r="G131" s="27">
        <f>ROUND((I130)*(IF('Your Debts'!$G$6=0,0,INDEX('Your Debts'!$C$5:$C$12,'Your Debts'!$G$6)/12)),2)</f>
        <v/>
      </c>
      <c r="H131" s="27">
        <f>MIN((I130)+G131,MAX(0,$C131-(E131)))</f>
        <v/>
      </c>
      <c r="I131" s="27">
        <f>ROUND(MAX(0,(I130)+G131-H131),2)</f>
        <v/>
      </c>
      <c r="J131" s="27">
        <f>ROUND((L130)*(IF('Your Debts'!$G$7=0,0,INDEX('Your Debts'!$C$5:$C$12,'Your Debts'!$G$7)/12)),2)</f>
        <v/>
      </c>
      <c r="K131" s="27">
        <f>MIN((L130)+J131,MAX(0,$C131-(E131+H131)))</f>
        <v/>
      </c>
      <c r="L131" s="27">
        <f>ROUND(MAX(0,(L130)+J131-K131),2)</f>
        <v/>
      </c>
      <c r="M131" s="27">
        <f>ROUND((O130)*(IF('Your Debts'!$G$8=0,0,INDEX('Your Debts'!$C$5:$C$12,'Your Debts'!$G$8)/12)),2)</f>
        <v/>
      </c>
      <c r="N131" s="27">
        <f>MIN((O130)+M131,MAX(0,$C131-(E131+H131+K131)))</f>
        <v/>
      </c>
      <c r="O131" s="27">
        <f>ROUND(MAX(0,(O130)+M131-N131),2)</f>
        <v/>
      </c>
      <c r="P131" s="27">
        <f>ROUND((R130)*(IF('Your Debts'!$G$9=0,0,INDEX('Your Debts'!$C$5:$C$12,'Your Debts'!$G$9)/12)),2)</f>
        <v/>
      </c>
      <c r="Q131" s="27">
        <f>MIN((R130)+P131,MAX(0,$C131-(E131+H131+K131+N131)))</f>
        <v/>
      </c>
      <c r="R131" s="27">
        <f>ROUND(MAX(0,(R130)+P131-Q131),2)</f>
        <v/>
      </c>
      <c r="S131" s="27">
        <f>ROUND((U130)*(IF('Your Debts'!$G$10=0,0,INDEX('Your Debts'!$C$5:$C$12,'Your Debts'!$G$10)/12)),2)</f>
        <v/>
      </c>
      <c r="T131" s="27">
        <f>MIN((U130)+S131,MAX(0,$C131-(E131+H131+K131+N131+Q131)))</f>
        <v/>
      </c>
      <c r="U131" s="27">
        <f>ROUND(MAX(0,(U130)+S131-T131),2)</f>
        <v/>
      </c>
      <c r="V131" s="27">
        <f>ROUND((X130)*(IF('Your Debts'!$G$11=0,0,INDEX('Your Debts'!$C$5:$C$12,'Your Debts'!$G$11)/12)),2)</f>
        <v/>
      </c>
      <c r="W131" s="27">
        <f>MIN((X130)+V131,MAX(0,$C131-(E131+H131+K131+N131+Q131+T131)))</f>
        <v/>
      </c>
      <c r="X131" s="27">
        <f>ROUND(MAX(0,(X130)+V131-W131),2)</f>
        <v/>
      </c>
      <c r="Y131" s="27">
        <f>ROUND((AA130)*(IF('Your Debts'!$G$12=0,0,INDEX('Your Debts'!$C$5:$C$12,'Your Debts'!$G$12)/12)),2)</f>
        <v/>
      </c>
      <c r="Z131" s="27">
        <f>MIN((AA130)+Y131,MAX(0,$C131-(E131+H131+K131+N131+Q131+T131+W131)))</f>
        <v/>
      </c>
      <c r="AA131" s="27">
        <f>ROUND(MAX(0,(AA130)+Y131-Z131),2)</f>
        <v/>
      </c>
      <c r="AB131" s="18">
        <f>F131+I131+L131+O131+R131+U131+X131+AA131</f>
        <v/>
      </c>
      <c r="AC131" s="26">
        <f>AC130+D131+G131+J131+M131+P131+S131+V131+Y131</f>
        <v/>
      </c>
    </row>
    <row r="132">
      <c r="A132" s="24" t="n">
        <v>127</v>
      </c>
      <c r="B132" s="25">
        <f>EDATE('Your Debts'!$B$19,126)</f>
        <v/>
      </c>
      <c r="C132" s="26">
        <f>'Your Debts'!$B$18</f>
        <v/>
      </c>
      <c r="D132" s="27">
        <f>ROUND((F131)*(IF('Your Debts'!$G$5=0,0,INDEX('Your Debts'!$C$5:$C$12,'Your Debts'!$G$5)/12)),2)</f>
        <v/>
      </c>
      <c r="E132" s="27">
        <f>MIN((F131)+D132,MAX(0,$C132-(0)))</f>
        <v/>
      </c>
      <c r="F132" s="27">
        <f>ROUND(MAX(0,(F131)+D132-E132),2)</f>
        <v/>
      </c>
      <c r="G132" s="27">
        <f>ROUND((I131)*(IF('Your Debts'!$G$6=0,0,INDEX('Your Debts'!$C$5:$C$12,'Your Debts'!$G$6)/12)),2)</f>
        <v/>
      </c>
      <c r="H132" s="27">
        <f>MIN((I131)+G132,MAX(0,$C132-(E132)))</f>
        <v/>
      </c>
      <c r="I132" s="27">
        <f>ROUND(MAX(0,(I131)+G132-H132),2)</f>
        <v/>
      </c>
      <c r="J132" s="27">
        <f>ROUND((L131)*(IF('Your Debts'!$G$7=0,0,INDEX('Your Debts'!$C$5:$C$12,'Your Debts'!$G$7)/12)),2)</f>
        <v/>
      </c>
      <c r="K132" s="27">
        <f>MIN((L131)+J132,MAX(0,$C132-(E132+H132)))</f>
        <v/>
      </c>
      <c r="L132" s="27">
        <f>ROUND(MAX(0,(L131)+J132-K132),2)</f>
        <v/>
      </c>
      <c r="M132" s="27">
        <f>ROUND((O131)*(IF('Your Debts'!$G$8=0,0,INDEX('Your Debts'!$C$5:$C$12,'Your Debts'!$G$8)/12)),2)</f>
        <v/>
      </c>
      <c r="N132" s="27">
        <f>MIN((O131)+M132,MAX(0,$C132-(E132+H132+K132)))</f>
        <v/>
      </c>
      <c r="O132" s="27">
        <f>ROUND(MAX(0,(O131)+M132-N132),2)</f>
        <v/>
      </c>
      <c r="P132" s="27">
        <f>ROUND((R131)*(IF('Your Debts'!$G$9=0,0,INDEX('Your Debts'!$C$5:$C$12,'Your Debts'!$G$9)/12)),2)</f>
        <v/>
      </c>
      <c r="Q132" s="27">
        <f>MIN((R131)+P132,MAX(0,$C132-(E132+H132+K132+N132)))</f>
        <v/>
      </c>
      <c r="R132" s="27">
        <f>ROUND(MAX(0,(R131)+P132-Q132),2)</f>
        <v/>
      </c>
      <c r="S132" s="27">
        <f>ROUND((U131)*(IF('Your Debts'!$G$10=0,0,INDEX('Your Debts'!$C$5:$C$12,'Your Debts'!$G$10)/12)),2)</f>
        <v/>
      </c>
      <c r="T132" s="27">
        <f>MIN((U131)+S132,MAX(0,$C132-(E132+H132+K132+N132+Q132)))</f>
        <v/>
      </c>
      <c r="U132" s="27">
        <f>ROUND(MAX(0,(U131)+S132-T132),2)</f>
        <v/>
      </c>
      <c r="V132" s="27">
        <f>ROUND((X131)*(IF('Your Debts'!$G$11=0,0,INDEX('Your Debts'!$C$5:$C$12,'Your Debts'!$G$11)/12)),2)</f>
        <v/>
      </c>
      <c r="W132" s="27">
        <f>MIN((X131)+V132,MAX(0,$C132-(E132+H132+K132+N132+Q132+T132)))</f>
        <v/>
      </c>
      <c r="X132" s="27">
        <f>ROUND(MAX(0,(X131)+V132-W132),2)</f>
        <v/>
      </c>
      <c r="Y132" s="27">
        <f>ROUND((AA131)*(IF('Your Debts'!$G$12=0,0,INDEX('Your Debts'!$C$5:$C$12,'Your Debts'!$G$12)/12)),2)</f>
        <v/>
      </c>
      <c r="Z132" s="27">
        <f>MIN((AA131)+Y132,MAX(0,$C132-(E132+H132+K132+N132+Q132+T132+W132)))</f>
        <v/>
      </c>
      <c r="AA132" s="27">
        <f>ROUND(MAX(0,(AA131)+Y132-Z132),2)</f>
        <v/>
      </c>
      <c r="AB132" s="18">
        <f>F132+I132+L132+O132+R132+U132+X132+AA132</f>
        <v/>
      </c>
      <c r="AC132" s="26">
        <f>AC131+D132+G132+J132+M132+P132+S132+V132+Y132</f>
        <v/>
      </c>
    </row>
    <row r="133">
      <c r="A133" s="24" t="n">
        <v>128</v>
      </c>
      <c r="B133" s="25">
        <f>EDATE('Your Debts'!$B$19,127)</f>
        <v/>
      </c>
      <c r="C133" s="26">
        <f>'Your Debts'!$B$18</f>
        <v/>
      </c>
      <c r="D133" s="27">
        <f>ROUND((F132)*(IF('Your Debts'!$G$5=0,0,INDEX('Your Debts'!$C$5:$C$12,'Your Debts'!$G$5)/12)),2)</f>
        <v/>
      </c>
      <c r="E133" s="27">
        <f>MIN((F132)+D133,MAX(0,$C133-(0)))</f>
        <v/>
      </c>
      <c r="F133" s="27">
        <f>ROUND(MAX(0,(F132)+D133-E133),2)</f>
        <v/>
      </c>
      <c r="G133" s="27">
        <f>ROUND((I132)*(IF('Your Debts'!$G$6=0,0,INDEX('Your Debts'!$C$5:$C$12,'Your Debts'!$G$6)/12)),2)</f>
        <v/>
      </c>
      <c r="H133" s="27">
        <f>MIN((I132)+G133,MAX(0,$C133-(E133)))</f>
        <v/>
      </c>
      <c r="I133" s="27">
        <f>ROUND(MAX(0,(I132)+G133-H133),2)</f>
        <v/>
      </c>
      <c r="J133" s="27">
        <f>ROUND((L132)*(IF('Your Debts'!$G$7=0,0,INDEX('Your Debts'!$C$5:$C$12,'Your Debts'!$G$7)/12)),2)</f>
        <v/>
      </c>
      <c r="K133" s="27">
        <f>MIN((L132)+J133,MAX(0,$C133-(E133+H133)))</f>
        <v/>
      </c>
      <c r="L133" s="27">
        <f>ROUND(MAX(0,(L132)+J133-K133),2)</f>
        <v/>
      </c>
      <c r="M133" s="27">
        <f>ROUND((O132)*(IF('Your Debts'!$G$8=0,0,INDEX('Your Debts'!$C$5:$C$12,'Your Debts'!$G$8)/12)),2)</f>
        <v/>
      </c>
      <c r="N133" s="27">
        <f>MIN((O132)+M133,MAX(0,$C133-(E133+H133+K133)))</f>
        <v/>
      </c>
      <c r="O133" s="27">
        <f>ROUND(MAX(0,(O132)+M133-N133),2)</f>
        <v/>
      </c>
      <c r="P133" s="27">
        <f>ROUND((R132)*(IF('Your Debts'!$G$9=0,0,INDEX('Your Debts'!$C$5:$C$12,'Your Debts'!$G$9)/12)),2)</f>
        <v/>
      </c>
      <c r="Q133" s="27">
        <f>MIN((R132)+P133,MAX(0,$C133-(E133+H133+K133+N133)))</f>
        <v/>
      </c>
      <c r="R133" s="27">
        <f>ROUND(MAX(0,(R132)+P133-Q133),2)</f>
        <v/>
      </c>
      <c r="S133" s="27">
        <f>ROUND((U132)*(IF('Your Debts'!$G$10=0,0,INDEX('Your Debts'!$C$5:$C$12,'Your Debts'!$G$10)/12)),2)</f>
        <v/>
      </c>
      <c r="T133" s="27">
        <f>MIN((U132)+S133,MAX(0,$C133-(E133+H133+K133+N133+Q133)))</f>
        <v/>
      </c>
      <c r="U133" s="27">
        <f>ROUND(MAX(0,(U132)+S133-T133),2)</f>
        <v/>
      </c>
      <c r="V133" s="27">
        <f>ROUND((X132)*(IF('Your Debts'!$G$11=0,0,INDEX('Your Debts'!$C$5:$C$12,'Your Debts'!$G$11)/12)),2)</f>
        <v/>
      </c>
      <c r="W133" s="27">
        <f>MIN((X132)+V133,MAX(0,$C133-(E133+H133+K133+N133+Q133+T133)))</f>
        <v/>
      </c>
      <c r="X133" s="27">
        <f>ROUND(MAX(0,(X132)+V133-W133),2)</f>
        <v/>
      </c>
      <c r="Y133" s="27">
        <f>ROUND((AA132)*(IF('Your Debts'!$G$12=0,0,INDEX('Your Debts'!$C$5:$C$12,'Your Debts'!$G$12)/12)),2)</f>
        <v/>
      </c>
      <c r="Z133" s="27">
        <f>MIN((AA132)+Y133,MAX(0,$C133-(E133+H133+K133+N133+Q133+T133+W133)))</f>
        <v/>
      </c>
      <c r="AA133" s="27">
        <f>ROUND(MAX(0,(AA132)+Y133-Z133),2)</f>
        <v/>
      </c>
      <c r="AB133" s="18">
        <f>F133+I133+L133+O133+R133+U133+X133+AA133</f>
        <v/>
      </c>
      <c r="AC133" s="26">
        <f>AC132+D133+G133+J133+M133+P133+S133+V133+Y133</f>
        <v/>
      </c>
    </row>
    <row r="134">
      <c r="A134" s="24" t="n">
        <v>129</v>
      </c>
      <c r="B134" s="25">
        <f>EDATE('Your Debts'!$B$19,128)</f>
        <v/>
      </c>
      <c r="C134" s="26">
        <f>'Your Debts'!$B$18</f>
        <v/>
      </c>
      <c r="D134" s="27">
        <f>ROUND((F133)*(IF('Your Debts'!$G$5=0,0,INDEX('Your Debts'!$C$5:$C$12,'Your Debts'!$G$5)/12)),2)</f>
        <v/>
      </c>
      <c r="E134" s="27">
        <f>MIN((F133)+D134,MAX(0,$C134-(0)))</f>
        <v/>
      </c>
      <c r="F134" s="27">
        <f>ROUND(MAX(0,(F133)+D134-E134),2)</f>
        <v/>
      </c>
      <c r="G134" s="27">
        <f>ROUND((I133)*(IF('Your Debts'!$G$6=0,0,INDEX('Your Debts'!$C$5:$C$12,'Your Debts'!$G$6)/12)),2)</f>
        <v/>
      </c>
      <c r="H134" s="27">
        <f>MIN((I133)+G134,MAX(0,$C134-(E134)))</f>
        <v/>
      </c>
      <c r="I134" s="27">
        <f>ROUND(MAX(0,(I133)+G134-H134),2)</f>
        <v/>
      </c>
      <c r="J134" s="27">
        <f>ROUND((L133)*(IF('Your Debts'!$G$7=0,0,INDEX('Your Debts'!$C$5:$C$12,'Your Debts'!$G$7)/12)),2)</f>
        <v/>
      </c>
      <c r="K134" s="27">
        <f>MIN((L133)+J134,MAX(0,$C134-(E134+H134)))</f>
        <v/>
      </c>
      <c r="L134" s="27">
        <f>ROUND(MAX(0,(L133)+J134-K134),2)</f>
        <v/>
      </c>
      <c r="M134" s="27">
        <f>ROUND((O133)*(IF('Your Debts'!$G$8=0,0,INDEX('Your Debts'!$C$5:$C$12,'Your Debts'!$G$8)/12)),2)</f>
        <v/>
      </c>
      <c r="N134" s="27">
        <f>MIN((O133)+M134,MAX(0,$C134-(E134+H134+K134)))</f>
        <v/>
      </c>
      <c r="O134" s="27">
        <f>ROUND(MAX(0,(O133)+M134-N134),2)</f>
        <v/>
      </c>
      <c r="P134" s="27">
        <f>ROUND((R133)*(IF('Your Debts'!$G$9=0,0,INDEX('Your Debts'!$C$5:$C$12,'Your Debts'!$G$9)/12)),2)</f>
        <v/>
      </c>
      <c r="Q134" s="27">
        <f>MIN((R133)+P134,MAX(0,$C134-(E134+H134+K134+N134)))</f>
        <v/>
      </c>
      <c r="R134" s="27">
        <f>ROUND(MAX(0,(R133)+P134-Q134),2)</f>
        <v/>
      </c>
      <c r="S134" s="27">
        <f>ROUND((U133)*(IF('Your Debts'!$G$10=0,0,INDEX('Your Debts'!$C$5:$C$12,'Your Debts'!$G$10)/12)),2)</f>
        <v/>
      </c>
      <c r="T134" s="27">
        <f>MIN((U133)+S134,MAX(0,$C134-(E134+H134+K134+N134+Q134)))</f>
        <v/>
      </c>
      <c r="U134" s="27">
        <f>ROUND(MAX(0,(U133)+S134-T134),2)</f>
        <v/>
      </c>
      <c r="V134" s="27">
        <f>ROUND((X133)*(IF('Your Debts'!$G$11=0,0,INDEX('Your Debts'!$C$5:$C$12,'Your Debts'!$G$11)/12)),2)</f>
        <v/>
      </c>
      <c r="W134" s="27">
        <f>MIN((X133)+V134,MAX(0,$C134-(E134+H134+K134+N134+Q134+T134)))</f>
        <v/>
      </c>
      <c r="X134" s="27">
        <f>ROUND(MAX(0,(X133)+V134-W134),2)</f>
        <v/>
      </c>
      <c r="Y134" s="27">
        <f>ROUND((AA133)*(IF('Your Debts'!$G$12=0,0,INDEX('Your Debts'!$C$5:$C$12,'Your Debts'!$G$12)/12)),2)</f>
        <v/>
      </c>
      <c r="Z134" s="27">
        <f>MIN((AA133)+Y134,MAX(0,$C134-(E134+H134+K134+N134+Q134+T134+W134)))</f>
        <v/>
      </c>
      <c r="AA134" s="27">
        <f>ROUND(MAX(0,(AA133)+Y134-Z134),2)</f>
        <v/>
      </c>
      <c r="AB134" s="18">
        <f>F134+I134+L134+O134+R134+U134+X134+AA134</f>
        <v/>
      </c>
      <c r="AC134" s="26">
        <f>AC133+D134+G134+J134+M134+P134+S134+V134+Y134</f>
        <v/>
      </c>
    </row>
    <row r="135">
      <c r="A135" s="24" t="n">
        <v>130</v>
      </c>
      <c r="B135" s="25">
        <f>EDATE('Your Debts'!$B$19,129)</f>
        <v/>
      </c>
      <c r="C135" s="26">
        <f>'Your Debts'!$B$18</f>
        <v/>
      </c>
      <c r="D135" s="27">
        <f>ROUND((F134)*(IF('Your Debts'!$G$5=0,0,INDEX('Your Debts'!$C$5:$C$12,'Your Debts'!$G$5)/12)),2)</f>
        <v/>
      </c>
      <c r="E135" s="27">
        <f>MIN((F134)+D135,MAX(0,$C135-(0)))</f>
        <v/>
      </c>
      <c r="F135" s="27">
        <f>ROUND(MAX(0,(F134)+D135-E135),2)</f>
        <v/>
      </c>
      <c r="G135" s="27">
        <f>ROUND((I134)*(IF('Your Debts'!$G$6=0,0,INDEX('Your Debts'!$C$5:$C$12,'Your Debts'!$G$6)/12)),2)</f>
        <v/>
      </c>
      <c r="H135" s="27">
        <f>MIN((I134)+G135,MAX(0,$C135-(E135)))</f>
        <v/>
      </c>
      <c r="I135" s="27">
        <f>ROUND(MAX(0,(I134)+G135-H135),2)</f>
        <v/>
      </c>
      <c r="J135" s="27">
        <f>ROUND((L134)*(IF('Your Debts'!$G$7=0,0,INDEX('Your Debts'!$C$5:$C$12,'Your Debts'!$G$7)/12)),2)</f>
        <v/>
      </c>
      <c r="K135" s="27">
        <f>MIN((L134)+J135,MAX(0,$C135-(E135+H135)))</f>
        <v/>
      </c>
      <c r="L135" s="27">
        <f>ROUND(MAX(0,(L134)+J135-K135),2)</f>
        <v/>
      </c>
      <c r="M135" s="27">
        <f>ROUND((O134)*(IF('Your Debts'!$G$8=0,0,INDEX('Your Debts'!$C$5:$C$12,'Your Debts'!$G$8)/12)),2)</f>
        <v/>
      </c>
      <c r="N135" s="27">
        <f>MIN((O134)+M135,MAX(0,$C135-(E135+H135+K135)))</f>
        <v/>
      </c>
      <c r="O135" s="27">
        <f>ROUND(MAX(0,(O134)+M135-N135),2)</f>
        <v/>
      </c>
      <c r="P135" s="27">
        <f>ROUND((R134)*(IF('Your Debts'!$G$9=0,0,INDEX('Your Debts'!$C$5:$C$12,'Your Debts'!$G$9)/12)),2)</f>
        <v/>
      </c>
      <c r="Q135" s="27">
        <f>MIN((R134)+P135,MAX(0,$C135-(E135+H135+K135+N135)))</f>
        <v/>
      </c>
      <c r="R135" s="27">
        <f>ROUND(MAX(0,(R134)+P135-Q135),2)</f>
        <v/>
      </c>
      <c r="S135" s="27">
        <f>ROUND((U134)*(IF('Your Debts'!$G$10=0,0,INDEX('Your Debts'!$C$5:$C$12,'Your Debts'!$G$10)/12)),2)</f>
        <v/>
      </c>
      <c r="T135" s="27">
        <f>MIN((U134)+S135,MAX(0,$C135-(E135+H135+K135+N135+Q135)))</f>
        <v/>
      </c>
      <c r="U135" s="27">
        <f>ROUND(MAX(0,(U134)+S135-T135),2)</f>
        <v/>
      </c>
      <c r="V135" s="27">
        <f>ROUND((X134)*(IF('Your Debts'!$G$11=0,0,INDEX('Your Debts'!$C$5:$C$12,'Your Debts'!$G$11)/12)),2)</f>
        <v/>
      </c>
      <c r="W135" s="27">
        <f>MIN((X134)+V135,MAX(0,$C135-(E135+H135+K135+N135+Q135+T135)))</f>
        <v/>
      </c>
      <c r="X135" s="27">
        <f>ROUND(MAX(0,(X134)+V135-W135),2)</f>
        <v/>
      </c>
      <c r="Y135" s="27">
        <f>ROUND((AA134)*(IF('Your Debts'!$G$12=0,0,INDEX('Your Debts'!$C$5:$C$12,'Your Debts'!$G$12)/12)),2)</f>
        <v/>
      </c>
      <c r="Z135" s="27">
        <f>MIN((AA134)+Y135,MAX(0,$C135-(E135+H135+K135+N135+Q135+T135+W135)))</f>
        <v/>
      </c>
      <c r="AA135" s="27">
        <f>ROUND(MAX(0,(AA134)+Y135-Z135),2)</f>
        <v/>
      </c>
      <c r="AB135" s="18">
        <f>F135+I135+L135+O135+R135+U135+X135+AA135</f>
        <v/>
      </c>
      <c r="AC135" s="26">
        <f>AC134+D135+G135+J135+M135+P135+S135+V135+Y135</f>
        <v/>
      </c>
    </row>
    <row r="136">
      <c r="A136" s="24" t="n">
        <v>131</v>
      </c>
      <c r="B136" s="25">
        <f>EDATE('Your Debts'!$B$19,130)</f>
        <v/>
      </c>
      <c r="C136" s="26">
        <f>'Your Debts'!$B$18</f>
        <v/>
      </c>
      <c r="D136" s="27">
        <f>ROUND((F135)*(IF('Your Debts'!$G$5=0,0,INDEX('Your Debts'!$C$5:$C$12,'Your Debts'!$G$5)/12)),2)</f>
        <v/>
      </c>
      <c r="E136" s="27">
        <f>MIN((F135)+D136,MAX(0,$C136-(0)))</f>
        <v/>
      </c>
      <c r="F136" s="27">
        <f>ROUND(MAX(0,(F135)+D136-E136),2)</f>
        <v/>
      </c>
      <c r="G136" s="27">
        <f>ROUND((I135)*(IF('Your Debts'!$G$6=0,0,INDEX('Your Debts'!$C$5:$C$12,'Your Debts'!$G$6)/12)),2)</f>
        <v/>
      </c>
      <c r="H136" s="27">
        <f>MIN((I135)+G136,MAX(0,$C136-(E136)))</f>
        <v/>
      </c>
      <c r="I136" s="27">
        <f>ROUND(MAX(0,(I135)+G136-H136),2)</f>
        <v/>
      </c>
      <c r="J136" s="27">
        <f>ROUND((L135)*(IF('Your Debts'!$G$7=0,0,INDEX('Your Debts'!$C$5:$C$12,'Your Debts'!$G$7)/12)),2)</f>
        <v/>
      </c>
      <c r="K136" s="27">
        <f>MIN((L135)+J136,MAX(0,$C136-(E136+H136)))</f>
        <v/>
      </c>
      <c r="L136" s="27">
        <f>ROUND(MAX(0,(L135)+J136-K136),2)</f>
        <v/>
      </c>
      <c r="M136" s="27">
        <f>ROUND((O135)*(IF('Your Debts'!$G$8=0,0,INDEX('Your Debts'!$C$5:$C$12,'Your Debts'!$G$8)/12)),2)</f>
        <v/>
      </c>
      <c r="N136" s="27">
        <f>MIN((O135)+M136,MAX(0,$C136-(E136+H136+K136)))</f>
        <v/>
      </c>
      <c r="O136" s="27">
        <f>ROUND(MAX(0,(O135)+M136-N136),2)</f>
        <v/>
      </c>
      <c r="P136" s="27">
        <f>ROUND((R135)*(IF('Your Debts'!$G$9=0,0,INDEX('Your Debts'!$C$5:$C$12,'Your Debts'!$G$9)/12)),2)</f>
        <v/>
      </c>
      <c r="Q136" s="27">
        <f>MIN((R135)+P136,MAX(0,$C136-(E136+H136+K136+N136)))</f>
        <v/>
      </c>
      <c r="R136" s="27">
        <f>ROUND(MAX(0,(R135)+P136-Q136),2)</f>
        <v/>
      </c>
      <c r="S136" s="27">
        <f>ROUND((U135)*(IF('Your Debts'!$G$10=0,0,INDEX('Your Debts'!$C$5:$C$12,'Your Debts'!$G$10)/12)),2)</f>
        <v/>
      </c>
      <c r="T136" s="27">
        <f>MIN((U135)+S136,MAX(0,$C136-(E136+H136+K136+N136+Q136)))</f>
        <v/>
      </c>
      <c r="U136" s="27">
        <f>ROUND(MAX(0,(U135)+S136-T136),2)</f>
        <v/>
      </c>
      <c r="V136" s="27">
        <f>ROUND((X135)*(IF('Your Debts'!$G$11=0,0,INDEX('Your Debts'!$C$5:$C$12,'Your Debts'!$G$11)/12)),2)</f>
        <v/>
      </c>
      <c r="W136" s="27">
        <f>MIN((X135)+V136,MAX(0,$C136-(E136+H136+K136+N136+Q136+T136)))</f>
        <v/>
      </c>
      <c r="X136" s="27">
        <f>ROUND(MAX(0,(X135)+V136-W136),2)</f>
        <v/>
      </c>
      <c r="Y136" s="27">
        <f>ROUND((AA135)*(IF('Your Debts'!$G$12=0,0,INDEX('Your Debts'!$C$5:$C$12,'Your Debts'!$G$12)/12)),2)</f>
        <v/>
      </c>
      <c r="Z136" s="27">
        <f>MIN((AA135)+Y136,MAX(0,$C136-(E136+H136+K136+N136+Q136+T136+W136)))</f>
        <v/>
      </c>
      <c r="AA136" s="27">
        <f>ROUND(MAX(0,(AA135)+Y136-Z136),2)</f>
        <v/>
      </c>
      <c r="AB136" s="18">
        <f>F136+I136+L136+O136+R136+U136+X136+AA136</f>
        <v/>
      </c>
      <c r="AC136" s="26">
        <f>AC135+D136+G136+J136+M136+P136+S136+V136+Y136</f>
        <v/>
      </c>
    </row>
    <row r="137">
      <c r="A137" s="24" t="n">
        <v>132</v>
      </c>
      <c r="B137" s="25">
        <f>EDATE('Your Debts'!$B$19,131)</f>
        <v/>
      </c>
      <c r="C137" s="26">
        <f>'Your Debts'!$B$18</f>
        <v/>
      </c>
      <c r="D137" s="27">
        <f>ROUND((F136)*(IF('Your Debts'!$G$5=0,0,INDEX('Your Debts'!$C$5:$C$12,'Your Debts'!$G$5)/12)),2)</f>
        <v/>
      </c>
      <c r="E137" s="27">
        <f>MIN((F136)+D137,MAX(0,$C137-(0)))</f>
        <v/>
      </c>
      <c r="F137" s="27">
        <f>ROUND(MAX(0,(F136)+D137-E137),2)</f>
        <v/>
      </c>
      <c r="G137" s="27">
        <f>ROUND((I136)*(IF('Your Debts'!$G$6=0,0,INDEX('Your Debts'!$C$5:$C$12,'Your Debts'!$G$6)/12)),2)</f>
        <v/>
      </c>
      <c r="H137" s="27">
        <f>MIN((I136)+G137,MAX(0,$C137-(E137)))</f>
        <v/>
      </c>
      <c r="I137" s="27">
        <f>ROUND(MAX(0,(I136)+G137-H137),2)</f>
        <v/>
      </c>
      <c r="J137" s="27">
        <f>ROUND((L136)*(IF('Your Debts'!$G$7=0,0,INDEX('Your Debts'!$C$5:$C$12,'Your Debts'!$G$7)/12)),2)</f>
        <v/>
      </c>
      <c r="K137" s="27">
        <f>MIN((L136)+J137,MAX(0,$C137-(E137+H137)))</f>
        <v/>
      </c>
      <c r="L137" s="27">
        <f>ROUND(MAX(0,(L136)+J137-K137),2)</f>
        <v/>
      </c>
      <c r="M137" s="27">
        <f>ROUND((O136)*(IF('Your Debts'!$G$8=0,0,INDEX('Your Debts'!$C$5:$C$12,'Your Debts'!$G$8)/12)),2)</f>
        <v/>
      </c>
      <c r="N137" s="27">
        <f>MIN((O136)+M137,MAX(0,$C137-(E137+H137+K137)))</f>
        <v/>
      </c>
      <c r="O137" s="27">
        <f>ROUND(MAX(0,(O136)+M137-N137),2)</f>
        <v/>
      </c>
      <c r="P137" s="27">
        <f>ROUND((R136)*(IF('Your Debts'!$G$9=0,0,INDEX('Your Debts'!$C$5:$C$12,'Your Debts'!$G$9)/12)),2)</f>
        <v/>
      </c>
      <c r="Q137" s="27">
        <f>MIN((R136)+P137,MAX(0,$C137-(E137+H137+K137+N137)))</f>
        <v/>
      </c>
      <c r="R137" s="27">
        <f>ROUND(MAX(0,(R136)+P137-Q137),2)</f>
        <v/>
      </c>
      <c r="S137" s="27">
        <f>ROUND((U136)*(IF('Your Debts'!$G$10=0,0,INDEX('Your Debts'!$C$5:$C$12,'Your Debts'!$G$10)/12)),2)</f>
        <v/>
      </c>
      <c r="T137" s="27">
        <f>MIN((U136)+S137,MAX(0,$C137-(E137+H137+K137+N137+Q137)))</f>
        <v/>
      </c>
      <c r="U137" s="27">
        <f>ROUND(MAX(0,(U136)+S137-T137),2)</f>
        <v/>
      </c>
      <c r="V137" s="27">
        <f>ROUND((X136)*(IF('Your Debts'!$G$11=0,0,INDEX('Your Debts'!$C$5:$C$12,'Your Debts'!$G$11)/12)),2)</f>
        <v/>
      </c>
      <c r="W137" s="27">
        <f>MIN((X136)+V137,MAX(0,$C137-(E137+H137+K137+N137+Q137+T137)))</f>
        <v/>
      </c>
      <c r="X137" s="27">
        <f>ROUND(MAX(0,(X136)+V137-W137),2)</f>
        <v/>
      </c>
      <c r="Y137" s="27">
        <f>ROUND((AA136)*(IF('Your Debts'!$G$12=0,0,INDEX('Your Debts'!$C$5:$C$12,'Your Debts'!$G$12)/12)),2)</f>
        <v/>
      </c>
      <c r="Z137" s="27">
        <f>MIN((AA136)+Y137,MAX(0,$C137-(E137+H137+K137+N137+Q137+T137+W137)))</f>
        <v/>
      </c>
      <c r="AA137" s="27">
        <f>ROUND(MAX(0,(AA136)+Y137-Z137),2)</f>
        <v/>
      </c>
      <c r="AB137" s="18">
        <f>F137+I137+L137+O137+R137+U137+X137+AA137</f>
        <v/>
      </c>
      <c r="AC137" s="26">
        <f>AC136+D137+G137+J137+M137+P137+S137+V137+Y137</f>
        <v/>
      </c>
    </row>
    <row r="138">
      <c r="A138" s="24" t="n">
        <v>133</v>
      </c>
      <c r="B138" s="25">
        <f>EDATE('Your Debts'!$B$19,132)</f>
        <v/>
      </c>
      <c r="C138" s="26">
        <f>'Your Debts'!$B$18</f>
        <v/>
      </c>
      <c r="D138" s="27">
        <f>ROUND((F137)*(IF('Your Debts'!$G$5=0,0,INDEX('Your Debts'!$C$5:$C$12,'Your Debts'!$G$5)/12)),2)</f>
        <v/>
      </c>
      <c r="E138" s="27">
        <f>MIN((F137)+D138,MAX(0,$C138-(0)))</f>
        <v/>
      </c>
      <c r="F138" s="27">
        <f>ROUND(MAX(0,(F137)+D138-E138),2)</f>
        <v/>
      </c>
      <c r="G138" s="27">
        <f>ROUND((I137)*(IF('Your Debts'!$G$6=0,0,INDEX('Your Debts'!$C$5:$C$12,'Your Debts'!$G$6)/12)),2)</f>
        <v/>
      </c>
      <c r="H138" s="27">
        <f>MIN((I137)+G138,MAX(0,$C138-(E138)))</f>
        <v/>
      </c>
      <c r="I138" s="27">
        <f>ROUND(MAX(0,(I137)+G138-H138),2)</f>
        <v/>
      </c>
      <c r="J138" s="27">
        <f>ROUND((L137)*(IF('Your Debts'!$G$7=0,0,INDEX('Your Debts'!$C$5:$C$12,'Your Debts'!$G$7)/12)),2)</f>
        <v/>
      </c>
      <c r="K138" s="27">
        <f>MIN((L137)+J138,MAX(0,$C138-(E138+H138)))</f>
        <v/>
      </c>
      <c r="L138" s="27">
        <f>ROUND(MAX(0,(L137)+J138-K138),2)</f>
        <v/>
      </c>
      <c r="M138" s="27">
        <f>ROUND((O137)*(IF('Your Debts'!$G$8=0,0,INDEX('Your Debts'!$C$5:$C$12,'Your Debts'!$G$8)/12)),2)</f>
        <v/>
      </c>
      <c r="N138" s="27">
        <f>MIN((O137)+M138,MAX(0,$C138-(E138+H138+K138)))</f>
        <v/>
      </c>
      <c r="O138" s="27">
        <f>ROUND(MAX(0,(O137)+M138-N138),2)</f>
        <v/>
      </c>
      <c r="P138" s="27">
        <f>ROUND((R137)*(IF('Your Debts'!$G$9=0,0,INDEX('Your Debts'!$C$5:$C$12,'Your Debts'!$G$9)/12)),2)</f>
        <v/>
      </c>
      <c r="Q138" s="27">
        <f>MIN((R137)+P138,MAX(0,$C138-(E138+H138+K138+N138)))</f>
        <v/>
      </c>
      <c r="R138" s="27">
        <f>ROUND(MAX(0,(R137)+P138-Q138),2)</f>
        <v/>
      </c>
      <c r="S138" s="27">
        <f>ROUND((U137)*(IF('Your Debts'!$G$10=0,0,INDEX('Your Debts'!$C$5:$C$12,'Your Debts'!$G$10)/12)),2)</f>
        <v/>
      </c>
      <c r="T138" s="27">
        <f>MIN((U137)+S138,MAX(0,$C138-(E138+H138+K138+N138+Q138)))</f>
        <v/>
      </c>
      <c r="U138" s="27">
        <f>ROUND(MAX(0,(U137)+S138-T138),2)</f>
        <v/>
      </c>
      <c r="V138" s="27">
        <f>ROUND((X137)*(IF('Your Debts'!$G$11=0,0,INDEX('Your Debts'!$C$5:$C$12,'Your Debts'!$G$11)/12)),2)</f>
        <v/>
      </c>
      <c r="W138" s="27">
        <f>MIN((X137)+V138,MAX(0,$C138-(E138+H138+K138+N138+Q138+T138)))</f>
        <v/>
      </c>
      <c r="X138" s="27">
        <f>ROUND(MAX(0,(X137)+V138-W138),2)</f>
        <v/>
      </c>
      <c r="Y138" s="27">
        <f>ROUND((AA137)*(IF('Your Debts'!$G$12=0,0,INDEX('Your Debts'!$C$5:$C$12,'Your Debts'!$G$12)/12)),2)</f>
        <v/>
      </c>
      <c r="Z138" s="27">
        <f>MIN((AA137)+Y138,MAX(0,$C138-(E138+H138+K138+N138+Q138+T138+W138)))</f>
        <v/>
      </c>
      <c r="AA138" s="27">
        <f>ROUND(MAX(0,(AA137)+Y138-Z138),2)</f>
        <v/>
      </c>
      <c r="AB138" s="18">
        <f>F138+I138+L138+O138+R138+U138+X138+AA138</f>
        <v/>
      </c>
      <c r="AC138" s="26">
        <f>AC137+D138+G138+J138+M138+P138+S138+V138+Y138</f>
        <v/>
      </c>
    </row>
    <row r="139">
      <c r="A139" s="24" t="n">
        <v>134</v>
      </c>
      <c r="B139" s="25">
        <f>EDATE('Your Debts'!$B$19,133)</f>
        <v/>
      </c>
      <c r="C139" s="26">
        <f>'Your Debts'!$B$18</f>
        <v/>
      </c>
      <c r="D139" s="27">
        <f>ROUND((F138)*(IF('Your Debts'!$G$5=0,0,INDEX('Your Debts'!$C$5:$C$12,'Your Debts'!$G$5)/12)),2)</f>
        <v/>
      </c>
      <c r="E139" s="27">
        <f>MIN((F138)+D139,MAX(0,$C139-(0)))</f>
        <v/>
      </c>
      <c r="F139" s="27">
        <f>ROUND(MAX(0,(F138)+D139-E139),2)</f>
        <v/>
      </c>
      <c r="G139" s="27">
        <f>ROUND((I138)*(IF('Your Debts'!$G$6=0,0,INDEX('Your Debts'!$C$5:$C$12,'Your Debts'!$G$6)/12)),2)</f>
        <v/>
      </c>
      <c r="H139" s="27">
        <f>MIN((I138)+G139,MAX(0,$C139-(E139)))</f>
        <v/>
      </c>
      <c r="I139" s="27">
        <f>ROUND(MAX(0,(I138)+G139-H139),2)</f>
        <v/>
      </c>
      <c r="J139" s="27">
        <f>ROUND((L138)*(IF('Your Debts'!$G$7=0,0,INDEX('Your Debts'!$C$5:$C$12,'Your Debts'!$G$7)/12)),2)</f>
        <v/>
      </c>
      <c r="K139" s="27">
        <f>MIN((L138)+J139,MAX(0,$C139-(E139+H139)))</f>
        <v/>
      </c>
      <c r="L139" s="27">
        <f>ROUND(MAX(0,(L138)+J139-K139),2)</f>
        <v/>
      </c>
      <c r="M139" s="27">
        <f>ROUND((O138)*(IF('Your Debts'!$G$8=0,0,INDEX('Your Debts'!$C$5:$C$12,'Your Debts'!$G$8)/12)),2)</f>
        <v/>
      </c>
      <c r="N139" s="27">
        <f>MIN((O138)+M139,MAX(0,$C139-(E139+H139+K139)))</f>
        <v/>
      </c>
      <c r="O139" s="27">
        <f>ROUND(MAX(0,(O138)+M139-N139),2)</f>
        <v/>
      </c>
      <c r="P139" s="27">
        <f>ROUND((R138)*(IF('Your Debts'!$G$9=0,0,INDEX('Your Debts'!$C$5:$C$12,'Your Debts'!$G$9)/12)),2)</f>
        <v/>
      </c>
      <c r="Q139" s="27">
        <f>MIN((R138)+P139,MAX(0,$C139-(E139+H139+K139+N139)))</f>
        <v/>
      </c>
      <c r="R139" s="27">
        <f>ROUND(MAX(0,(R138)+P139-Q139),2)</f>
        <v/>
      </c>
      <c r="S139" s="27">
        <f>ROUND((U138)*(IF('Your Debts'!$G$10=0,0,INDEX('Your Debts'!$C$5:$C$12,'Your Debts'!$G$10)/12)),2)</f>
        <v/>
      </c>
      <c r="T139" s="27">
        <f>MIN((U138)+S139,MAX(0,$C139-(E139+H139+K139+N139+Q139)))</f>
        <v/>
      </c>
      <c r="U139" s="27">
        <f>ROUND(MAX(0,(U138)+S139-T139),2)</f>
        <v/>
      </c>
      <c r="V139" s="27">
        <f>ROUND((X138)*(IF('Your Debts'!$G$11=0,0,INDEX('Your Debts'!$C$5:$C$12,'Your Debts'!$G$11)/12)),2)</f>
        <v/>
      </c>
      <c r="W139" s="27">
        <f>MIN((X138)+V139,MAX(0,$C139-(E139+H139+K139+N139+Q139+T139)))</f>
        <v/>
      </c>
      <c r="X139" s="27">
        <f>ROUND(MAX(0,(X138)+V139-W139),2)</f>
        <v/>
      </c>
      <c r="Y139" s="27">
        <f>ROUND((AA138)*(IF('Your Debts'!$G$12=0,0,INDEX('Your Debts'!$C$5:$C$12,'Your Debts'!$G$12)/12)),2)</f>
        <v/>
      </c>
      <c r="Z139" s="27">
        <f>MIN((AA138)+Y139,MAX(0,$C139-(E139+H139+K139+N139+Q139+T139+W139)))</f>
        <v/>
      </c>
      <c r="AA139" s="27">
        <f>ROUND(MAX(0,(AA138)+Y139-Z139),2)</f>
        <v/>
      </c>
      <c r="AB139" s="18">
        <f>F139+I139+L139+O139+R139+U139+X139+AA139</f>
        <v/>
      </c>
      <c r="AC139" s="26">
        <f>AC138+D139+G139+J139+M139+P139+S139+V139+Y139</f>
        <v/>
      </c>
    </row>
    <row r="140">
      <c r="A140" s="24" t="n">
        <v>135</v>
      </c>
      <c r="B140" s="25">
        <f>EDATE('Your Debts'!$B$19,134)</f>
        <v/>
      </c>
      <c r="C140" s="26">
        <f>'Your Debts'!$B$18</f>
        <v/>
      </c>
      <c r="D140" s="27">
        <f>ROUND((F139)*(IF('Your Debts'!$G$5=0,0,INDEX('Your Debts'!$C$5:$C$12,'Your Debts'!$G$5)/12)),2)</f>
        <v/>
      </c>
      <c r="E140" s="27">
        <f>MIN((F139)+D140,MAX(0,$C140-(0)))</f>
        <v/>
      </c>
      <c r="F140" s="27">
        <f>ROUND(MAX(0,(F139)+D140-E140),2)</f>
        <v/>
      </c>
      <c r="G140" s="27">
        <f>ROUND((I139)*(IF('Your Debts'!$G$6=0,0,INDEX('Your Debts'!$C$5:$C$12,'Your Debts'!$G$6)/12)),2)</f>
        <v/>
      </c>
      <c r="H140" s="27">
        <f>MIN((I139)+G140,MAX(0,$C140-(E140)))</f>
        <v/>
      </c>
      <c r="I140" s="27">
        <f>ROUND(MAX(0,(I139)+G140-H140),2)</f>
        <v/>
      </c>
      <c r="J140" s="27">
        <f>ROUND((L139)*(IF('Your Debts'!$G$7=0,0,INDEX('Your Debts'!$C$5:$C$12,'Your Debts'!$G$7)/12)),2)</f>
        <v/>
      </c>
      <c r="K140" s="27">
        <f>MIN((L139)+J140,MAX(0,$C140-(E140+H140)))</f>
        <v/>
      </c>
      <c r="L140" s="27">
        <f>ROUND(MAX(0,(L139)+J140-K140),2)</f>
        <v/>
      </c>
      <c r="M140" s="27">
        <f>ROUND((O139)*(IF('Your Debts'!$G$8=0,0,INDEX('Your Debts'!$C$5:$C$12,'Your Debts'!$G$8)/12)),2)</f>
        <v/>
      </c>
      <c r="N140" s="27">
        <f>MIN((O139)+M140,MAX(0,$C140-(E140+H140+K140)))</f>
        <v/>
      </c>
      <c r="O140" s="27">
        <f>ROUND(MAX(0,(O139)+M140-N140),2)</f>
        <v/>
      </c>
      <c r="P140" s="27">
        <f>ROUND((R139)*(IF('Your Debts'!$G$9=0,0,INDEX('Your Debts'!$C$5:$C$12,'Your Debts'!$G$9)/12)),2)</f>
        <v/>
      </c>
      <c r="Q140" s="27">
        <f>MIN((R139)+P140,MAX(0,$C140-(E140+H140+K140+N140)))</f>
        <v/>
      </c>
      <c r="R140" s="27">
        <f>ROUND(MAX(0,(R139)+P140-Q140),2)</f>
        <v/>
      </c>
      <c r="S140" s="27">
        <f>ROUND((U139)*(IF('Your Debts'!$G$10=0,0,INDEX('Your Debts'!$C$5:$C$12,'Your Debts'!$G$10)/12)),2)</f>
        <v/>
      </c>
      <c r="T140" s="27">
        <f>MIN((U139)+S140,MAX(0,$C140-(E140+H140+K140+N140+Q140)))</f>
        <v/>
      </c>
      <c r="U140" s="27">
        <f>ROUND(MAX(0,(U139)+S140-T140),2)</f>
        <v/>
      </c>
      <c r="V140" s="27">
        <f>ROUND((X139)*(IF('Your Debts'!$G$11=0,0,INDEX('Your Debts'!$C$5:$C$12,'Your Debts'!$G$11)/12)),2)</f>
        <v/>
      </c>
      <c r="W140" s="27">
        <f>MIN((X139)+V140,MAX(0,$C140-(E140+H140+K140+N140+Q140+T140)))</f>
        <v/>
      </c>
      <c r="X140" s="27">
        <f>ROUND(MAX(0,(X139)+V140-W140),2)</f>
        <v/>
      </c>
      <c r="Y140" s="27">
        <f>ROUND((AA139)*(IF('Your Debts'!$G$12=0,0,INDEX('Your Debts'!$C$5:$C$12,'Your Debts'!$G$12)/12)),2)</f>
        <v/>
      </c>
      <c r="Z140" s="27">
        <f>MIN((AA139)+Y140,MAX(0,$C140-(E140+H140+K140+N140+Q140+T140+W140)))</f>
        <v/>
      </c>
      <c r="AA140" s="27">
        <f>ROUND(MAX(0,(AA139)+Y140-Z140),2)</f>
        <v/>
      </c>
      <c r="AB140" s="18">
        <f>F140+I140+L140+O140+R140+U140+X140+AA140</f>
        <v/>
      </c>
      <c r="AC140" s="26">
        <f>AC139+D140+G140+J140+M140+P140+S140+V140+Y140</f>
        <v/>
      </c>
    </row>
    <row r="141">
      <c r="A141" s="24" t="n">
        <v>136</v>
      </c>
      <c r="B141" s="25">
        <f>EDATE('Your Debts'!$B$19,135)</f>
        <v/>
      </c>
      <c r="C141" s="26">
        <f>'Your Debts'!$B$18</f>
        <v/>
      </c>
      <c r="D141" s="27">
        <f>ROUND((F140)*(IF('Your Debts'!$G$5=0,0,INDEX('Your Debts'!$C$5:$C$12,'Your Debts'!$G$5)/12)),2)</f>
        <v/>
      </c>
      <c r="E141" s="27">
        <f>MIN((F140)+D141,MAX(0,$C141-(0)))</f>
        <v/>
      </c>
      <c r="F141" s="27">
        <f>ROUND(MAX(0,(F140)+D141-E141),2)</f>
        <v/>
      </c>
      <c r="G141" s="27">
        <f>ROUND((I140)*(IF('Your Debts'!$G$6=0,0,INDEX('Your Debts'!$C$5:$C$12,'Your Debts'!$G$6)/12)),2)</f>
        <v/>
      </c>
      <c r="H141" s="27">
        <f>MIN((I140)+G141,MAX(0,$C141-(E141)))</f>
        <v/>
      </c>
      <c r="I141" s="27">
        <f>ROUND(MAX(0,(I140)+G141-H141),2)</f>
        <v/>
      </c>
      <c r="J141" s="27">
        <f>ROUND((L140)*(IF('Your Debts'!$G$7=0,0,INDEX('Your Debts'!$C$5:$C$12,'Your Debts'!$G$7)/12)),2)</f>
        <v/>
      </c>
      <c r="K141" s="27">
        <f>MIN((L140)+J141,MAX(0,$C141-(E141+H141)))</f>
        <v/>
      </c>
      <c r="L141" s="27">
        <f>ROUND(MAX(0,(L140)+J141-K141),2)</f>
        <v/>
      </c>
      <c r="M141" s="27">
        <f>ROUND((O140)*(IF('Your Debts'!$G$8=0,0,INDEX('Your Debts'!$C$5:$C$12,'Your Debts'!$G$8)/12)),2)</f>
        <v/>
      </c>
      <c r="N141" s="27">
        <f>MIN((O140)+M141,MAX(0,$C141-(E141+H141+K141)))</f>
        <v/>
      </c>
      <c r="O141" s="27">
        <f>ROUND(MAX(0,(O140)+M141-N141),2)</f>
        <v/>
      </c>
      <c r="P141" s="27">
        <f>ROUND((R140)*(IF('Your Debts'!$G$9=0,0,INDEX('Your Debts'!$C$5:$C$12,'Your Debts'!$G$9)/12)),2)</f>
        <v/>
      </c>
      <c r="Q141" s="27">
        <f>MIN((R140)+P141,MAX(0,$C141-(E141+H141+K141+N141)))</f>
        <v/>
      </c>
      <c r="R141" s="27">
        <f>ROUND(MAX(0,(R140)+P141-Q141),2)</f>
        <v/>
      </c>
      <c r="S141" s="27">
        <f>ROUND((U140)*(IF('Your Debts'!$G$10=0,0,INDEX('Your Debts'!$C$5:$C$12,'Your Debts'!$G$10)/12)),2)</f>
        <v/>
      </c>
      <c r="T141" s="27">
        <f>MIN((U140)+S141,MAX(0,$C141-(E141+H141+K141+N141+Q141)))</f>
        <v/>
      </c>
      <c r="U141" s="27">
        <f>ROUND(MAX(0,(U140)+S141-T141),2)</f>
        <v/>
      </c>
      <c r="V141" s="27">
        <f>ROUND((X140)*(IF('Your Debts'!$G$11=0,0,INDEX('Your Debts'!$C$5:$C$12,'Your Debts'!$G$11)/12)),2)</f>
        <v/>
      </c>
      <c r="W141" s="27">
        <f>MIN((X140)+V141,MAX(0,$C141-(E141+H141+K141+N141+Q141+T141)))</f>
        <v/>
      </c>
      <c r="X141" s="27">
        <f>ROUND(MAX(0,(X140)+V141-W141),2)</f>
        <v/>
      </c>
      <c r="Y141" s="27">
        <f>ROUND((AA140)*(IF('Your Debts'!$G$12=0,0,INDEX('Your Debts'!$C$5:$C$12,'Your Debts'!$G$12)/12)),2)</f>
        <v/>
      </c>
      <c r="Z141" s="27">
        <f>MIN((AA140)+Y141,MAX(0,$C141-(E141+H141+K141+N141+Q141+T141+W141)))</f>
        <v/>
      </c>
      <c r="AA141" s="27">
        <f>ROUND(MAX(0,(AA140)+Y141-Z141),2)</f>
        <v/>
      </c>
      <c r="AB141" s="18">
        <f>F141+I141+L141+O141+R141+U141+X141+AA141</f>
        <v/>
      </c>
      <c r="AC141" s="26">
        <f>AC140+D141+G141+J141+M141+P141+S141+V141+Y141</f>
        <v/>
      </c>
    </row>
    <row r="142">
      <c r="A142" s="24" t="n">
        <v>137</v>
      </c>
      <c r="B142" s="25">
        <f>EDATE('Your Debts'!$B$19,136)</f>
        <v/>
      </c>
      <c r="C142" s="26">
        <f>'Your Debts'!$B$18</f>
        <v/>
      </c>
      <c r="D142" s="27">
        <f>ROUND((F141)*(IF('Your Debts'!$G$5=0,0,INDEX('Your Debts'!$C$5:$C$12,'Your Debts'!$G$5)/12)),2)</f>
        <v/>
      </c>
      <c r="E142" s="27">
        <f>MIN((F141)+D142,MAX(0,$C142-(0)))</f>
        <v/>
      </c>
      <c r="F142" s="27">
        <f>ROUND(MAX(0,(F141)+D142-E142),2)</f>
        <v/>
      </c>
      <c r="G142" s="27">
        <f>ROUND((I141)*(IF('Your Debts'!$G$6=0,0,INDEX('Your Debts'!$C$5:$C$12,'Your Debts'!$G$6)/12)),2)</f>
        <v/>
      </c>
      <c r="H142" s="27">
        <f>MIN((I141)+G142,MAX(0,$C142-(E142)))</f>
        <v/>
      </c>
      <c r="I142" s="27">
        <f>ROUND(MAX(0,(I141)+G142-H142),2)</f>
        <v/>
      </c>
      <c r="J142" s="27">
        <f>ROUND((L141)*(IF('Your Debts'!$G$7=0,0,INDEX('Your Debts'!$C$5:$C$12,'Your Debts'!$G$7)/12)),2)</f>
        <v/>
      </c>
      <c r="K142" s="27">
        <f>MIN((L141)+J142,MAX(0,$C142-(E142+H142)))</f>
        <v/>
      </c>
      <c r="L142" s="27">
        <f>ROUND(MAX(0,(L141)+J142-K142),2)</f>
        <v/>
      </c>
      <c r="M142" s="27">
        <f>ROUND((O141)*(IF('Your Debts'!$G$8=0,0,INDEX('Your Debts'!$C$5:$C$12,'Your Debts'!$G$8)/12)),2)</f>
        <v/>
      </c>
      <c r="N142" s="27">
        <f>MIN((O141)+M142,MAX(0,$C142-(E142+H142+K142)))</f>
        <v/>
      </c>
      <c r="O142" s="27">
        <f>ROUND(MAX(0,(O141)+M142-N142),2)</f>
        <v/>
      </c>
      <c r="P142" s="27">
        <f>ROUND((R141)*(IF('Your Debts'!$G$9=0,0,INDEX('Your Debts'!$C$5:$C$12,'Your Debts'!$G$9)/12)),2)</f>
        <v/>
      </c>
      <c r="Q142" s="27">
        <f>MIN((R141)+P142,MAX(0,$C142-(E142+H142+K142+N142)))</f>
        <v/>
      </c>
      <c r="R142" s="27">
        <f>ROUND(MAX(0,(R141)+P142-Q142),2)</f>
        <v/>
      </c>
      <c r="S142" s="27">
        <f>ROUND((U141)*(IF('Your Debts'!$G$10=0,0,INDEX('Your Debts'!$C$5:$C$12,'Your Debts'!$G$10)/12)),2)</f>
        <v/>
      </c>
      <c r="T142" s="27">
        <f>MIN((U141)+S142,MAX(0,$C142-(E142+H142+K142+N142+Q142)))</f>
        <v/>
      </c>
      <c r="U142" s="27">
        <f>ROUND(MAX(0,(U141)+S142-T142),2)</f>
        <v/>
      </c>
      <c r="V142" s="27">
        <f>ROUND((X141)*(IF('Your Debts'!$G$11=0,0,INDEX('Your Debts'!$C$5:$C$12,'Your Debts'!$G$11)/12)),2)</f>
        <v/>
      </c>
      <c r="W142" s="27">
        <f>MIN((X141)+V142,MAX(0,$C142-(E142+H142+K142+N142+Q142+T142)))</f>
        <v/>
      </c>
      <c r="X142" s="27">
        <f>ROUND(MAX(0,(X141)+V142-W142),2)</f>
        <v/>
      </c>
      <c r="Y142" s="27">
        <f>ROUND((AA141)*(IF('Your Debts'!$G$12=0,0,INDEX('Your Debts'!$C$5:$C$12,'Your Debts'!$G$12)/12)),2)</f>
        <v/>
      </c>
      <c r="Z142" s="27">
        <f>MIN((AA141)+Y142,MAX(0,$C142-(E142+H142+K142+N142+Q142+T142+W142)))</f>
        <v/>
      </c>
      <c r="AA142" s="27">
        <f>ROUND(MAX(0,(AA141)+Y142-Z142),2)</f>
        <v/>
      </c>
      <c r="AB142" s="18">
        <f>F142+I142+L142+O142+R142+U142+X142+AA142</f>
        <v/>
      </c>
      <c r="AC142" s="26">
        <f>AC141+D142+G142+J142+M142+P142+S142+V142+Y142</f>
        <v/>
      </c>
    </row>
    <row r="143">
      <c r="A143" s="24" t="n">
        <v>138</v>
      </c>
      <c r="B143" s="25">
        <f>EDATE('Your Debts'!$B$19,137)</f>
        <v/>
      </c>
      <c r="C143" s="26">
        <f>'Your Debts'!$B$18</f>
        <v/>
      </c>
      <c r="D143" s="27">
        <f>ROUND((F142)*(IF('Your Debts'!$G$5=0,0,INDEX('Your Debts'!$C$5:$C$12,'Your Debts'!$G$5)/12)),2)</f>
        <v/>
      </c>
      <c r="E143" s="27">
        <f>MIN((F142)+D143,MAX(0,$C143-(0)))</f>
        <v/>
      </c>
      <c r="F143" s="27">
        <f>ROUND(MAX(0,(F142)+D143-E143),2)</f>
        <v/>
      </c>
      <c r="G143" s="27">
        <f>ROUND((I142)*(IF('Your Debts'!$G$6=0,0,INDEX('Your Debts'!$C$5:$C$12,'Your Debts'!$G$6)/12)),2)</f>
        <v/>
      </c>
      <c r="H143" s="27">
        <f>MIN((I142)+G143,MAX(0,$C143-(E143)))</f>
        <v/>
      </c>
      <c r="I143" s="27">
        <f>ROUND(MAX(0,(I142)+G143-H143),2)</f>
        <v/>
      </c>
      <c r="J143" s="27">
        <f>ROUND((L142)*(IF('Your Debts'!$G$7=0,0,INDEX('Your Debts'!$C$5:$C$12,'Your Debts'!$G$7)/12)),2)</f>
        <v/>
      </c>
      <c r="K143" s="27">
        <f>MIN((L142)+J143,MAX(0,$C143-(E143+H143)))</f>
        <v/>
      </c>
      <c r="L143" s="27">
        <f>ROUND(MAX(0,(L142)+J143-K143),2)</f>
        <v/>
      </c>
      <c r="M143" s="27">
        <f>ROUND((O142)*(IF('Your Debts'!$G$8=0,0,INDEX('Your Debts'!$C$5:$C$12,'Your Debts'!$G$8)/12)),2)</f>
        <v/>
      </c>
      <c r="N143" s="27">
        <f>MIN((O142)+M143,MAX(0,$C143-(E143+H143+K143)))</f>
        <v/>
      </c>
      <c r="O143" s="27">
        <f>ROUND(MAX(0,(O142)+M143-N143),2)</f>
        <v/>
      </c>
      <c r="P143" s="27">
        <f>ROUND((R142)*(IF('Your Debts'!$G$9=0,0,INDEX('Your Debts'!$C$5:$C$12,'Your Debts'!$G$9)/12)),2)</f>
        <v/>
      </c>
      <c r="Q143" s="27">
        <f>MIN((R142)+P143,MAX(0,$C143-(E143+H143+K143+N143)))</f>
        <v/>
      </c>
      <c r="R143" s="27">
        <f>ROUND(MAX(0,(R142)+P143-Q143),2)</f>
        <v/>
      </c>
      <c r="S143" s="27">
        <f>ROUND((U142)*(IF('Your Debts'!$G$10=0,0,INDEX('Your Debts'!$C$5:$C$12,'Your Debts'!$G$10)/12)),2)</f>
        <v/>
      </c>
      <c r="T143" s="27">
        <f>MIN((U142)+S143,MAX(0,$C143-(E143+H143+K143+N143+Q143)))</f>
        <v/>
      </c>
      <c r="U143" s="27">
        <f>ROUND(MAX(0,(U142)+S143-T143),2)</f>
        <v/>
      </c>
      <c r="V143" s="27">
        <f>ROUND((X142)*(IF('Your Debts'!$G$11=0,0,INDEX('Your Debts'!$C$5:$C$12,'Your Debts'!$G$11)/12)),2)</f>
        <v/>
      </c>
      <c r="W143" s="27">
        <f>MIN((X142)+V143,MAX(0,$C143-(E143+H143+K143+N143+Q143+T143)))</f>
        <v/>
      </c>
      <c r="X143" s="27">
        <f>ROUND(MAX(0,(X142)+V143-W143),2)</f>
        <v/>
      </c>
      <c r="Y143" s="27">
        <f>ROUND((AA142)*(IF('Your Debts'!$G$12=0,0,INDEX('Your Debts'!$C$5:$C$12,'Your Debts'!$G$12)/12)),2)</f>
        <v/>
      </c>
      <c r="Z143" s="27">
        <f>MIN((AA142)+Y143,MAX(0,$C143-(E143+H143+K143+N143+Q143+T143+W143)))</f>
        <v/>
      </c>
      <c r="AA143" s="27">
        <f>ROUND(MAX(0,(AA142)+Y143-Z143),2)</f>
        <v/>
      </c>
      <c r="AB143" s="18">
        <f>F143+I143+L143+O143+R143+U143+X143+AA143</f>
        <v/>
      </c>
      <c r="AC143" s="26">
        <f>AC142+D143+G143+J143+M143+P143+S143+V143+Y143</f>
        <v/>
      </c>
    </row>
    <row r="144">
      <c r="A144" s="24" t="n">
        <v>139</v>
      </c>
      <c r="B144" s="25">
        <f>EDATE('Your Debts'!$B$19,138)</f>
        <v/>
      </c>
      <c r="C144" s="26">
        <f>'Your Debts'!$B$18</f>
        <v/>
      </c>
      <c r="D144" s="27">
        <f>ROUND((F143)*(IF('Your Debts'!$G$5=0,0,INDEX('Your Debts'!$C$5:$C$12,'Your Debts'!$G$5)/12)),2)</f>
        <v/>
      </c>
      <c r="E144" s="27">
        <f>MIN((F143)+D144,MAX(0,$C144-(0)))</f>
        <v/>
      </c>
      <c r="F144" s="27">
        <f>ROUND(MAX(0,(F143)+D144-E144),2)</f>
        <v/>
      </c>
      <c r="G144" s="27">
        <f>ROUND((I143)*(IF('Your Debts'!$G$6=0,0,INDEX('Your Debts'!$C$5:$C$12,'Your Debts'!$G$6)/12)),2)</f>
        <v/>
      </c>
      <c r="H144" s="27">
        <f>MIN((I143)+G144,MAX(0,$C144-(E144)))</f>
        <v/>
      </c>
      <c r="I144" s="27">
        <f>ROUND(MAX(0,(I143)+G144-H144),2)</f>
        <v/>
      </c>
      <c r="J144" s="27">
        <f>ROUND((L143)*(IF('Your Debts'!$G$7=0,0,INDEX('Your Debts'!$C$5:$C$12,'Your Debts'!$G$7)/12)),2)</f>
        <v/>
      </c>
      <c r="K144" s="27">
        <f>MIN((L143)+J144,MAX(0,$C144-(E144+H144)))</f>
        <v/>
      </c>
      <c r="L144" s="27">
        <f>ROUND(MAX(0,(L143)+J144-K144),2)</f>
        <v/>
      </c>
      <c r="M144" s="27">
        <f>ROUND((O143)*(IF('Your Debts'!$G$8=0,0,INDEX('Your Debts'!$C$5:$C$12,'Your Debts'!$G$8)/12)),2)</f>
        <v/>
      </c>
      <c r="N144" s="27">
        <f>MIN((O143)+M144,MAX(0,$C144-(E144+H144+K144)))</f>
        <v/>
      </c>
      <c r="O144" s="27">
        <f>ROUND(MAX(0,(O143)+M144-N144),2)</f>
        <v/>
      </c>
      <c r="P144" s="27">
        <f>ROUND((R143)*(IF('Your Debts'!$G$9=0,0,INDEX('Your Debts'!$C$5:$C$12,'Your Debts'!$G$9)/12)),2)</f>
        <v/>
      </c>
      <c r="Q144" s="27">
        <f>MIN((R143)+P144,MAX(0,$C144-(E144+H144+K144+N144)))</f>
        <v/>
      </c>
      <c r="R144" s="27">
        <f>ROUND(MAX(0,(R143)+P144-Q144),2)</f>
        <v/>
      </c>
      <c r="S144" s="27">
        <f>ROUND((U143)*(IF('Your Debts'!$G$10=0,0,INDEX('Your Debts'!$C$5:$C$12,'Your Debts'!$G$10)/12)),2)</f>
        <v/>
      </c>
      <c r="T144" s="27">
        <f>MIN((U143)+S144,MAX(0,$C144-(E144+H144+K144+N144+Q144)))</f>
        <v/>
      </c>
      <c r="U144" s="27">
        <f>ROUND(MAX(0,(U143)+S144-T144),2)</f>
        <v/>
      </c>
      <c r="V144" s="27">
        <f>ROUND((X143)*(IF('Your Debts'!$G$11=0,0,INDEX('Your Debts'!$C$5:$C$12,'Your Debts'!$G$11)/12)),2)</f>
        <v/>
      </c>
      <c r="W144" s="27">
        <f>MIN((X143)+V144,MAX(0,$C144-(E144+H144+K144+N144+Q144+T144)))</f>
        <v/>
      </c>
      <c r="X144" s="27">
        <f>ROUND(MAX(0,(X143)+V144-W144),2)</f>
        <v/>
      </c>
      <c r="Y144" s="27">
        <f>ROUND((AA143)*(IF('Your Debts'!$G$12=0,0,INDEX('Your Debts'!$C$5:$C$12,'Your Debts'!$G$12)/12)),2)</f>
        <v/>
      </c>
      <c r="Z144" s="27">
        <f>MIN((AA143)+Y144,MAX(0,$C144-(E144+H144+K144+N144+Q144+T144+W144)))</f>
        <v/>
      </c>
      <c r="AA144" s="27">
        <f>ROUND(MAX(0,(AA143)+Y144-Z144),2)</f>
        <v/>
      </c>
      <c r="AB144" s="18">
        <f>F144+I144+L144+O144+R144+U144+X144+AA144</f>
        <v/>
      </c>
      <c r="AC144" s="26">
        <f>AC143+D144+G144+J144+M144+P144+S144+V144+Y144</f>
        <v/>
      </c>
    </row>
    <row r="145">
      <c r="A145" s="24" t="n">
        <v>140</v>
      </c>
      <c r="B145" s="25">
        <f>EDATE('Your Debts'!$B$19,139)</f>
        <v/>
      </c>
      <c r="C145" s="26">
        <f>'Your Debts'!$B$18</f>
        <v/>
      </c>
      <c r="D145" s="27">
        <f>ROUND((F144)*(IF('Your Debts'!$G$5=0,0,INDEX('Your Debts'!$C$5:$C$12,'Your Debts'!$G$5)/12)),2)</f>
        <v/>
      </c>
      <c r="E145" s="27">
        <f>MIN((F144)+D145,MAX(0,$C145-(0)))</f>
        <v/>
      </c>
      <c r="F145" s="27">
        <f>ROUND(MAX(0,(F144)+D145-E145),2)</f>
        <v/>
      </c>
      <c r="G145" s="27">
        <f>ROUND((I144)*(IF('Your Debts'!$G$6=0,0,INDEX('Your Debts'!$C$5:$C$12,'Your Debts'!$G$6)/12)),2)</f>
        <v/>
      </c>
      <c r="H145" s="27">
        <f>MIN((I144)+G145,MAX(0,$C145-(E145)))</f>
        <v/>
      </c>
      <c r="I145" s="27">
        <f>ROUND(MAX(0,(I144)+G145-H145),2)</f>
        <v/>
      </c>
      <c r="J145" s="27">
        <f>ROUND((L144)*(IF('Your Debts'!$G$7=0,0,INDEX('Your Debts'!$C$5:$C$12,'Your Debts'!$G$7)/12)),2)</f>
        <v/>
      </c>
      <c r="K145" s="27">
        <f>MIN((L144)+J145,MAX(0,$C145-(E145+H145)))</f>
        <v/>
      </c>
      <c r="L145" s="27">
        <f>ROUND(MAX(0,(L144)+J145-K145),2)</f>
        <v/>
      </c>
      <c r="M145" s="27">
        <f>ROUND((O144)*(IF('Your Debts'!$G$8=0,0,INDEX('Your Debts'!$C$5:$C$12,'Your Debts'!$G$8)/12)),2)</f>
        <v/>
      </c>
      <c r="N145" s="27">
        <f>MIN((O144)+M145,MAX(0,$C145-(E145+H145+K145)))</f>
        <v/>
      </c>
      <c r="O145" s="27">
        <f>ROUND(MAX(0,(O144)+M145-N145),2)</f>
        <v/>
      </c>
      <c r="P145" s="27">
        <f>ROUND((R144)*(IF('Your Debts'!$G$9=0,0,INDEX('Your Debts'!$C$5:$C$12,'Your Debts'!$G$9)/12)),2)</f>
        <v/>
      </c>
      <c r="Q145" s="27">
        <f>MIN((R144)+P145,MAX(0,$C145-(E145+H145+K145+N145)))</f>
        <v/>
      </c>
      <c r="R145" s="27">
        <f>ROUND(MAX(0,(R144)+P145-Q145),2)</f>
        <v/>
      </c>
      <c r="S145" s="27">
        <f>ROUND((U144)*(IF('Your Debts'!$G$10=0,0,INDEX('Your Debts'!$C$5:$C$12,'Your Debts'!$G$10)/12)),2)</f>
        <v/>
      </c>
      <c r="T145" s="27">
        <f>MIN((U144)+S145,MAX(0,$C145-(E145+H145+K145+N145+Q145)))</f>
        <v/>
      </c>
      <c r="U145" s="27">
        <f>ROUND(MAX(0,(U144)+S145-T145),2)</f>
        <v/>
      </c>
      <c r="V145" s="27">
        <f>ROUND((X144)*(IF('Your Debts'!$G$11=0,0,INDEX('Your Debts'!$C$5:$C$12,'Your Debts'!$G$11)/12)),2)</f>
        <v/>
      </c>
      <c r="W145" s="27">
        <f>MIN((X144)+V145,MAX(0,$C145-(E145+H145+K145+N145+Q145+T145)))</f>
        <v/>
      </c>
      <c r="X145" s="27">
        <f>ROUND(MAX(0,(X144)+V145-W145),2)</f>
        <v/>
      </c>
      <c r="Y145" s="27">
        <f>ROUND((AA144)*(IF('Your Debts'!$G$12=0,0,INDEX('Your Debts'!$C$5:$C$12,'Your Debts'!$G$12)/12)),2)</f>
        <v/>
      </c>
      <c r="Z145" s="27">
        <f>MIN((AA144)+Y145,MAX(0,$C145-(E145+H145+K145+N145+Q145+T145+W145)))</f>
        <v/>
      </c>
      <c r="AA145" s="27">
        <f>ROUND(MAX(0,(AA144)+Y145-Z145),2)</f>
        <v/>
      </c>
      <c r="AB145" s="18">
        <f>F145+I145+L145+O145+R145+U145+X145+AA145</f>
        <v/>
      </c>
      <c r="AC145" s="26">
        <f>AC144+D145+G145+J145+M145+P145+S145+V145+Y145</f>
        <v/>
      </c>
    </row>
    <row r="146">
      <c r="A146" s="24" t="n">
        <v>141</v>
      </c>
      <c r="B146" s="25">
        <f>EDATE('Your Debts'!$B$19,140)</f>
        <v/>
      </c>
      <c r="C146" s="26">
        <f>'Your Debts'!$B$18</f>
        <v/>
      </c>
      <c r="D146" s="27">
        <f>ROUND((F145)*(IF('Your Debts'!$G$5=0,0,INDEX('Your Debts'!$C$5:$C$12,'Your Debts'!$G$5)/12)),2)</f>
        <v/>
      </c>
      <c r="E146" s="27">
        <f>MIN((F145)+D146,MAX(0,$C146-(0)))</f>
        <v/>
      </c>
      <c r="F146" s="27">
        <f>ROUND(MAX(0,(F145)+D146-E146),2)</f>
        <v/>
      </c>
      <c r="G146" s="27">
        <f>ROUND((I145)*(IF('Your Debts'!$G$6=0,0,INDEX('Your Debts'!$C$5:$C$12,'Your Debts'!$G$6)/12)),2)</f>
        <v/>
      </c>
      <c r="H146" s="27">
        <f>MIN((I145)+G146,MAX(0,$C146-(E146)))</f>
        <v/>
      </c>
      <c r="I146" s="27">
        <f>ROUND(MAX(0,(I145)+G146-H146),2)</f>
        <v/>
      </c>
      <c r="J146" s="27">
        <f>ROUND((L145)*(IF('Your Debts'!$G$7=0,0,INDEX('Your Debts'!$C$5:$C$12,'Your Debts'!$G$7)/12)),2)</f>
        <v/>
      </c>
      <c r="K146" s="27">
        <f>MIN((L145)+J146,MAX(0,$C146-(E146+H146)))</f>
        <v/>
      </c>
      <c r="L146" s="27">
        <f>ROUND(MAX(0,(L145)+J146-K146),2)</f>
        <v/>
      </c>
      <c r="M146" s="27">
        <f>ROUND((O145)*(IF('Your Debts'!$G$8=0,0,INDEX('Your Debts'!$C$5:$C$12,'Your Debts'!$G$8)/12)),2)</f>
        <v/>
      </c>
      <c r="N146" s="27">
        <f>MIN((O145)+M146,MAX(0,$C146-(E146+H146+K146)))</f>
        <v/>
      </c>
      <c r="O146" s="27">
        <f>ROUND(MAX(0,(O145)+M146-N146),2)</f>
        <v/>
      </c>
      <c r="P146" s="27">
        <f>ROUND((R145)*(IF('Your Debts'!$G$9=0,0,INDEX('Your Debts'!$C$5:$C$12,'Your Debts'!$G$9)/12)),2)</f>
        <v/>
      </c>
      <c r="Q146" s="27">
        <f>MIN((R145)+P146,MAX(0,$C146-(E146+H146+K146+N146)))</f>
        <v/>
      </c>
      <c r="R146" s="27">
        <f>ROUND(MAX(0,(R145)+P146-Q146),2)</f>
        <v/>
      </c>
      <c r="S146" s="27">
        <f>ROUND((U145)*(IF('Your Debts'!$G$10=0,0,INDEX('Your Debts'!$C$5:$C$12,'Your Debts'!$G$10)/12)),2)</f>
        <v/>
      </c>
      <c r="T146" s="27">
        <f>MIN((U145)+S146,MAX(0,$C146-(E146+H146+K146+N146+Q146)))</f>
        <v/>
      </c>
      <c r="U146" s="27">
        <f>ROUND(MAX(0,(U145)+S146-T146),2)</f>
        <v/>
      </c>
      <c r="V146" s="27">
        <f>ROUND((X145)*(IF('Your Debts'!$G$11=0,0,INDEX('Your Debts'!$C$5:$C$12,'Your Debts'!$G$11)/12)),2)</f>
        <v/>
      </c>
      <c r="W146" s="27">
        <f>MIN((X145)+V146,MAX(0,$C146-(E146+H146+K146+N146+Q146+T146)))</f>
        <v/>
      </c>
      <c r="X146" s="27">
        <f>ROUND(MAX(0,(X145)+V146-W146),2)</f>
        <v/>
      </c>
      <c r="Y146" s="27">
        <f>ROUND((AA145)*(IF('Your Debts'!$G$12=0,0,INDEX('Your Debts'!$C$5:$C$12,'Your Debts'!$G$12)/12)),2)</f>
        <v/>
      </c>
      <c r="Z146" s="27">
        <f>MIN((AA145)+Y146,MAX(0,$C146-(E146+H146+K146+N146+Q146+T146+W146)))</f>
        <v/>
      </c>
      <c r="AA146" s="27">
        <f>ROUND(MAX(0,(AA145)+Y146-Z146),2)</f>
        <v/>
      </c>
      <c r="AB146" s="18">
        <f>F146+I146+L146+O146+R146+U146+X146+AA146</f>
        <v/>
      </c>
      <c r="AC146" s="26">
        <f>AC145+D146+G146+J146+M146+P146+S146+V146+Y146</f>
        <v/>
      </c>
    </row>
    <row r="147">
      <c r="A147" s="24" t="n">
        <v>142</v>
      </c>
      <c r="B147" s="25">
        <f>EDATE('Your Debts'!$B$19,141)</f>
        <v/>
      </c>
      <c r="C147" s="26">
        <f>'Your Debts'!$B$18</f>
        <v/>
      </c>
      <c r="D147" s="27">
        <f>ROUND((F146)*(IF('Your Debts'!$G$5=0,0,INDEX('Your Debts'!$C$5:$C$12,'Your Debts'!$G$5)/12)),2)</f>
        <v/>
      </c>
      <c r="E147" s="27">
        <f>MIN((F146)+D147,MAX(0,$C147-(0)))</f>
        <v/>
      </c>
      <c r="F147" s="27">
        <f>ROUND(MAX(0,(F146)+D147-E147),2)</f>
        <v/>
      </c>
      <c r="G147" s="27">
        <f>ROUND((I146)*(IF('Your Debts'!$G$6=0,0,INDEX('Your Debts'!$C$5:$C$12,'Your Debts'!$G$6)/12)),2)</f>
        <v/>
      </c>
      <c r="H147" s="27">
        <f>MIN((I146)+G147,MAX(0,$C147-(E147)))</f>
        <v/>
      </c>
      <c r="I147" s="27">
        <f>ROUND(MAX(0,(I146)+G147-H147),2)</f>
        <v/>
      </c>
      <c r="J147" s="27">
        <f>ROUND((L146)*(IF('Your Debts'!$G$7=0,0,INDEX('Your Debts'!$C$5:$C$12,'Your Debts'!$G$7)/12)),2)</f>
        <v/>
      </c>
      <c r="K147" s="27">
        <f>MIN((L146)+J147,MAX(0,$C147-(E147+H147)))</f>
        <v/>
      </c>
      <c r="L147" s="27">
        <f>ROUND(MAX(0,(L146)+J147-K147),2)</f>
        <v/>
      </c>
      <c r="M147" s="27">
        <f>ROUND((O146)*(IF('Your Debts'!$G$8=0,0,INDEX('Your Debts'!$C$5:$C$12,'Your Debts'!$G$8)/12)),2)</f>
        <v/>
      </c>
      <c r="N147" s="27">
        <f>MIN((O146)+M147,MAX(0,$C147-(E147+H147+K147)))</f>
        <v/>
      </c>
      <c r="O147" s="27">
        <f>ROUND(MAX(0,(O146)+M147-N147),2)</f>
        <v/>
      </c>
      <c r="P147" s="27">
        <f>ROUND((R146)*(IF('Your Debts'!$G$9=0,0,INDEX('Your Debts'!$C$5:$C$12,'Your Debts'!$G$9)/12)),2)</f>
        <v/>
      </c>
      <c r="Q147" s="27">
        <f>MIN((R146)+P147,MAX(0,$C147-(E147+H147+K147+N147)))</f>
        <v/>
      </c>
      <c r="R147" s="27">
        <f>ROUND(MAX(0,(R146)+P147-Q147),2)</f>
        <v/>
      </c>
      <c r="S147" s="27">
        <f>ROUND((U146)*(IF('Your Debts'!$G$10=0,0,INDEX('Your Debts'!$C$5:$C$12,'Your Debts'!$G$10)/12)),2)</f>
        <v/>
      </c>
      <c r="T147" s="27">
        <f>MIN((U146)+S147,MAX(0,$C147-(E147+H147+K147+N147+Q147)))</f>
        <v/>
      </c>
      <c r="U147" s="27">
        <f>ROUND(MAX(0,(U146)+S147-T147),2)</f>
        <v/>
      </c>
      <c r="V147" s="27">
        <f>ROUND((X146)*(IF('Your Debts'!$G$11=0,0,INDEX('Your Debts'!$C$5:$C$12,'Your Debts'!$G$11)/12)),2)</f>
        <v/>
      </c>
      <c r="W147" s="27">
        <f>MIN((X146)+V147,MAX(0,$C147-(E147+H147+K147+N147+Q147+T147)))</f>
        <v/>
      </c>
      <c r="X147" s="27">
        <f>ROUND(MAX(0,(X146)+V147-W147),2)</f>
        <v/>
      </c>
      <c r="Y147" s="27">
        <f>ROUND((AA146)*(IF('Your Debts'!$G$12=0,0,INDEX('Your Debts'!$C$5:$C$12,'Your Debts'!$G$12)/12)),2)</f>
        <v/>
      </c>
      <c r="Z147" s="27">
        <f>MIN((AA146)+Y147,MAX(0,$C147-(E147+H147+K147+N147+Q147+T147+W147)))</f>
        <v/>
      </c>
      <c r="AA147" s="27">
        <f>ROUND(MAX(0,(AA146)+Y147-Z147),2)</f>
        <v/>
      </c>
      <c r="AB147" s="18">
        <f>F147+I147+L147+O147+R147+U147+X147+AA147</f>
        <v/>
      </c>
      <c r="AC147" s="26">
        <f>AC146+D147+G147+J147+M147+P147+S147+V147+Y147</f>
        <v/>
      </c>
    </row>
    <row r="148">
      <c r="A148" s="24" t="n">
        <v>143</v>
      </c>
      <c r="B148" s="25">
        <f>EDATE('Your Debts'!$B$19,142)</f>
        <v/>
      </c>
      <c r="C148" s="26">
        <f>'Your Debts'!$B$18</f>
        <v/>
      </c>
      <c r="D148" s="27">
        <f>ROUND((F147)*(IF('Your Debts'!$G$5=0,0,INDEX('Your Debts'!$C$5:$C$12,'Your Debts'!$G$5)/12)),2)</f>
        <v/>
      </c>
      <c r="E148" s="27">
        <f>MIN((F147)+D148,MAX(0,$C148-(0)))</f>
        <v/>
      </c>
      <c r="F148" s="27">
        <f>ROUND(MAX(0,(F147)+D148-E148),2)</f>
        <v/>
      </c>
      <c r="G148" s="27">
        <f>ROUND((I147)*(IF('Your Debts'!$G$6=0,0,INDEX('Your Debts'!$C$5:$C$12,'Your Debts'!$G$6)/12)),2)</f>
        <v/>
      </c>
      <c r="H148" s="27">
        <f>MIN((I147)+G148,MAX(0,$C148-(E148)))</f>
        <v/>
      </c>
      <c r="I148" s="27">
        <f>ROUND(MAX(0,(I147)+G148-H148),2)</f>
        <v/>
      </c>
      <c r="J148" s="27">
        <f>ROUND((L147)*(IF('Your Debts'!$G$7=0,0,INDEX('Your Debts'!$C$5:$C$12,'Your Debts'!$G$7)/12)),2)</f>
        <v/>
      </c>
      <c r="K148" s="27">
        <f>MIN((L147)+J148,MAX(0,$C148-(E148+H148)))</f>
        <v/>
      </c>
      <c r="L148" s="27">
        <f>ROUND(MAX(0,(L147)+J148-K148),2)</f>
        <v/>
      </c>
      <c r="M148" s="27">
        <f>ROUND((O147)*(IF('Your Debts'!$G$8=0,0,INDEX('Your Debts'!$C$5:$C$12,'Your Debts'!$G$8)/12)),2)</f>
        <v/>
      </c>
      <c r="N148" s="27">
        <f>MIN((O147)+M148,MAX(0,$C148-(E148+H148+K148)))</f>
        <v/>
      </c>
      <c r="O148" s="27">
        <f>ROUND(MAX(0,(O147)+M148-N148),2)</f>
        <v/>
      </c>
      <c r="P148" s="27">
        <f>ROUND((R147)*(IF('Your Debts'!$G$9=0,0,INDEX('Your Debts'!$C$5:$C$12,'Your Debts'!$G$9)/12)),2)</f>
        <v/>
      </c>
      <c r="Q148" s="27">
        <f>MIN((R147)+P148,MAX(0,$C148-(E148+H148+K148+N148)))</f>
        <v/>
      </c>
      <c r="R148" s="27">
        <f>ROUND(MAX(0,(R147)+P148-Q148),2)</f>
        <v/>
      </c>
      <c r="S148" s="27">
        <f>ROUND((U147)*(IF('Your Debts'!$G$10=0,0,INDEX('Your Debts'!$C$5:$C$12,'Your Debts'!$G$10)/12)),2)</f>
        <v/>
      </c>
      <c r="T148" s="27">
        <f>MIN((U147)+S148,MAX(0,$C148-(E148+H148+K148+N148+Q148)))</f>
        <v/>
      </c>
      <c r="U148" s="27">
        <f>ROUND(MAX(0,(U147)+S148-T148),2)</f>
        <v/>
      </c>
      <c r="V148" s="27">
        <f>ROUND((X147)*(IF('Your Debts'!$G$11=0,0,INDEX('Your Debts'!$C$5:$C$12,'Your Debts'!$G$11)/12)),2)</f>
        <v/>
      </c>
      <c r="W148" s="27">
        <f>MIN((X147)+V148,MAX(0,$C148-(E148+H148+K148+N148+Q148+T148)))</f>
        <v/>
      </c>
      <c r="X148" s="27">
        <f>ROUND(MAX(0,(X147)+V148-W148),2)</f>
        <v/>
      </c>
      <c r="Y148" s="27">
        <f>ROUND((AA147)*(IF('Your Debts'!$G$12=0,0,INDEX('Your Debts'!$C$5:$C$12,'Your Debts'!$G$12)/12)),2)</f>
        <v/>
      </c>
      <c r="Z148" s="27">
        <f>MIN((AA147)+Y148,MAX(0,$C148-(E148+H148+K148+N148+Q148+T148+W148)))</f>
        <v/>
      </c>
      <c r="AA148" s="27">
        <f>ROUND(MAX(0,(AA147)+Y148-Z148),2)</f>
        <v/>
      </c>
      <c r="AB148" s="18">
        <f>F148+I148+L148+O148+R148+U148+X148+AA148</f>
        <v/>
      </c>
      <c r="AC148" s="26">
        <f>AC147+D148+G148+J148+M148+P148+S148+V148+Y148</f>
        <v/>
      </c>
    </row>
    <row r="149">
      <c r="A149" s="24" t="n">
        <v>144</v>
      </c>
      <c r="B149" s="25">
        <f>EDATE('Your Debts'!$B$19,143)</f>
        <v/>
      </c>
      <c r="C149" s="26">
        <f>'Your Debts'!$B$18</f>
        <v/>
      </c>
      <c r="D149" s="27">
        <f>ROUND((F148)*(IF('Your Debts'!$G$5=0,0,INDEX('Your Debts'!$C$5:$C$12,'Your Debts'!$G$5)/12)),2)</f>
        <v/>
      </c>
      <c r="E149" s="27">
        <f>MIN((F148)+D149,MAX(0,$C149-(0)))</f>
        <v/>
      </c>
      <c r="F149" s="27">
        <f>ROUND(MAX(0,(F148)+D149-E149),2)</f>
        <v/>
      </c>
      <c r="G149" s="27">
        <f>ROUND((I148)*(IF('Your Debts'!$G$6=0,0,INDEX('Your Debts'!$C$5:$C$12,'Your Debts'!$G$6)/12)),2)</f>
        <v/>
      </c>
      <c r="H149" s="27">
        <f>MIN((I148)+G149,MAX(0,$C149-(E149)))</f>
        <v/>
      </c>
      <c r="I149" s="27">
        <f>ROUND(MAX(0,(I148)+G149-H149),2)</f>
        <v/>
      </c>
      <c r="J149" s="27">
        <f>ROUND((L148)*(IF('Your Debts'!$G$7=0,0,INDEX('Your Debts'!$C$5:$C$12,'Your Debts'!$G$7)/12)),2)</f>
        <v/>
      </c>
      <c r="K149" s="27">
        <f>MIN((L148)+J149,MAX(0,$C149-(E149+H149)))</f>
        <v/>
      </c>
      <c r="L149" s="27">
        <f>ROUND(MAX(0,(L148)+J149-K149),2)</f>
        <v/>
      </c>
      <c r="M149" s="27">
        <f>ROUND((O148)*(IF('Your Debts'!$G$8=0,0,INDEX('Your Debts'!$C$5:$C$12,'Your Debts'!$G$8)/12)),2)</f>
        <v/>
      </c>
      <c r="N149" s="27">
        <f>MIN((O148)+M149,MAX(0,$C149-(E149+H149+K149)))</f>
        <v/>
      </c>
      <c r="O149" s="27">
        <f>ROUND(MAX(0,(O148)+M149-N149),2)</f>
        <v/>
      </c>
      <c r="P149" s="27">
        <f>ROUND((R148)*(IF('Your Debts'!$G$9=0,0,INDEX('Your Debts'!$C$5:$C$12,'Your Debts'!$G$9)/12)),2)</f>
        <v/>
      </c>
      <c r="Q149" s="27">
        <f>MIN((R148)+P149,MAX(0,$C149-(E149+H149+K149+N149)))</f>
        <v/>
      </c>
      <c r="R149" s="27">
        <f>ROUND(MAX(0,(R148)+P149-Q149),2)</f>
        <v/>
      </c>
      <c r="S149" s="27">
        <f>ROUND((U148)*(IF('Your Debts'!$G$10=0,0,INDEX('Your Debts'!$C$5:$C$12,'Your Debts'!$G$10)/12)),2)</f>
        <v/>
      </c>
      <c r="T149" s="27">
        <f>MIN((U148)+S149,MAX(0,$C149-(E149+H149+K149+N149+Q149)))</f>
        <v/>
      </c>
      <c r="U149" s="27">
        <f>ROUND(MAX(0,(U148)+S149-T149),2)</f>
        <v/>
      </c>
      <c r="V149" s="27">
        <f>ROUND((X148)*(IF('Your Debts'!$G$11=0,0,INDEX('Your Debts'!$C$5:$C$12,'Your Debts'!$G$11)/12)),2)</f>
        <v/>
      </c>
      <c r="W149" s="27">
        <f>MIN((X148)+V149,MAX(0,$C149-(E149+H149+K149+N149+Q149+T149)))</f>
        <v/>
      </c>
      <c r="X149" s="27">
        <f>ROUND(MAX(0,(X148)+V149-W149),2)</f>
        <v/>
      </c>
      <c r="Y149" s="27">
        <f>ROUND((AA148)*(IF('Your Debts'!$G$12=0,0,INDEX('Your Debts'!$C$5:$C$12,'Your Debts'!$G$12)/12)),2)</f>
        <v/>
      </c>
      <c r="Z149" s="27">
        <f>MIN((AA148)+Y149,MAX(0,$C149-(E149+H149+K149+N149+Q149+T149+W149)))</f>
        <v/>
      </c>
      <c r="AA149" s="27">
        <f>ROUND(MAX(0,(AA148)+Y149-Z149),2)</f>
        <v/>
      </c>
      <c r="AB149" s="18">
        <f>F149+I149+L149+O149+R149+U149+X149+AA149</f>
        <v/>
      </c>
      <c r="AC149" s="26">
        <f>AC148+D149+G149+J149+M149+P149+S149+V149+Y149</f>
        <v/>
      </c>
    </row>
    <row r="150">
      <c r="A150" s="24" t="n">
        <v>145</v>
      </c>
      <c r="B150" s="25">
        <f>EDATE('Your Debts'!$B$19,144)</f>
        <v/>
      </c>
      <c r="C150" s="26">
        <f>'Your Debts'!$B$18</f>
        <v/>
      </c>
      <c r="D150" s="27">
        <f>ROUND((F149)*(IF('Your Debts'!$G$5=0,0,INDEX('Your Debts'!$C$5:$C$12,'Your Debts'!$G$5)/12)),2)</f>
        <v/>
      </c>
      <c r="E150" s="27">
        <f>MIN((F149)+D150,MAX(0,$C150-(0)))</f>
        <v/>
      </c>
      <c r="F150" s="27">
        <f>ROUND(MAX(0,(F149)+D150-E150),2)</f>
        <v/>
      </c>
      <c r="G150" s="27">
        <f>ROUND((I149)*(IF('Your Debts'!$G$6=0,0,INDEX('Your Debts'!$C$5:$C$12,'Your Debts'!$G$6)/12)),2)</f>
        <v/>
      </c>
      <c r="H150" s="27">
        <f>MIN((I149)+G150,MAX(0,$C150-(E150)))</f>
        <v/>
      </c>
      <c r="I150" s="27">
        <f>ROUND(MAX(0,(I149)+G150-H150),2)</f>
        <v/>
      </c>
      <c r="J150" s="27">
        <f>ROUND((L149)*(IF('Your Debts'!$G$7=0,0,INDEX('Your Debts'!$C$5:$C$12,'Your Debts'!$G$7)/12)),2)</f>
        <v/>
      </c>
      <c r="K150" s="27">
        <f>MIN((L149)+J150,MAX(0,$C150-(E150+H150)))</f>
        <v/>
      </c>
      <c r="L150" s="27">
        <f>ROUND(MAX(0,(L149)+J150-K150),2)</f>
        <v/>
      </c>
      <c r="M150" s="27">
        <f>ROUND((O149)*(IF('Your Debts'!$G$8=0,0,INDEX('Your Debts'!$C$5:$C$12,'Your Debts'!$G$8)/12)),2)</f>
        <v/>
      </c>
      <c r="N150" s="27">
        <f>MIN((O149)+M150,MAX(0,$C150-(E150+H150+K150)))</f>
        <v/>
      </c>
      <c r="O150" s="27">
        <f>ROUND(MAX(0,(O149)+M150-N150),2)</f>
        <v/>
      </c>
      <c r="P150" s="27">
        <f>ROUND((R149)*(IF('Your Debts'!$G$9=0,0,INDEX('Your Debts'!$C$5:$C$12,'Your Debts'!$G$9)/12)),2)</f>
        <v/>
      </c>
      <c r="Q150" s="27">
        <f>MIN((R149)+P150,MAX(0,$C150-(E150+H150+K150+N150)))</f>
        <v/>
      </c>
      <c r="R150" s="27">
        <f>ROUND(MAX(0,(R149)+P150-Q150),2)</f>
        <v/>
      </c>
      <c r="S150" s="27">
        <f>ROUND((U149)*(IF('Your Debts'!$G$10=0,0,INDEX('Your Debts'!$C$5:$C$12,'Your Debts'!$G$10)/12)),2)</f>
        <v/>
      </c>
      <c r="T150" s="27">
        <f>MIN((U149)+S150,MAX(0,$C150-(E150+H150+K150+N150+Q150)))</f>
        <v/>
      </c>
      <c r="U150" s="27">
        <f>ROUND(MAX(0,(U149)+S150-T150),2)</f>
        <v/>
      </c>
      <c r="V150" s="27">
        <f>ROUND((X149)*(IF('Your Debts'!$G$11=0,0,INDEX('Your Debts'!$C$5:$C$12,'Your Debts'!$G$11)/12)),2)</f>
        <v/>
      </c>
      <c r="W150" s="27">
        <f>MIN((X149)+V150,MAX(0,$C150-(E150+H150+K150+N150+Q150+T150)))</f>
        <v/>
      </c>
      <c r="X150" s="27">
        <f>ROUND(MAX(0,(X149)+V150-W150),2)</f>
        <v/>
      </c>
      <c r="Y150" s="27">
        <f>ROUND((AA149)*(IF('Your Debts'!$G$12=0,0,INDEX('Your Debts'!$C$5:$C$12,'Your Debts'!$G$12)/12)),2)</f>
        <v/>
      </c>
      <c r="Z150" s="27">
        <f>MIN((AA149)+Y150,MAX(0,$C150-(E150+H150+K150+N150+Q150+T150+W150)))</f>
        <v/>
      </c>
      <c r="AA150" s="27">
        <f>ROUND(MAX(0,(AA149)+Y150-Z150),2)</f>
        <v/>
      </c>
      <c r="AB150" s="18">
        <f>F150+I150+L150+O150+R150+U150+X150+AA150</f>
        <v/>
      </c>
      <c r="AC150" s="26">
        <f>AC149+D150+G150+J150+M150+P150+S150+V150+Y150</f>
        <v/>
      </c>
    </row>
    <row r="151">
      <c r="A151" s="24" t="n">
        <v>146</v>
      </c>
      <c r="B151" s="25">
        <f>EDATE('Your Debts'!$B$19,145)</f>
        <v/>
      </c>
      <c r="C151" s="26">
        <f>'Your Debts'!$B$18</f>
        <v/>
      </c>
      <c r="D151" s="27">
        <f>ROUND((F150)*(IF('Your Debts'!$G$5=0,0,INDEX('Your Debts'!$C$5:$C$12,'Your Debts'!$G$5)/12)),2)</f>
        <v/>
      </c>
      <c r="E151" s="27">
        <f>MIN((F150)+D151,MAX(0,$C151-(0)))</f>
        <v/>
      </c>
      <c r="F151" s="27">
        <f>ROUND(MAX(0,(F150)+D151-E151),2)</f>
        <v/>
      </c>
      <c r="G151" s="27">
        <f>ROUND((I150)*(IF('Your Debts'!$G$6=0,0,INDEX('Your Debts'!$C$5:$C$12,'Your Debts'!$G$6)/12)),2)</f>
        <v/>
      </c>
      <c r="H151" s="27">
        <f>MIN((I150)+G151,MAX(0,$C151-(E151)))</f>
        <v/>
      </c>
      <c r="I151" s="27">
        <f>ROUND(MAX(0,(I150)+G151-H151),2)</f>
        <v/>
      </c>
      <c r="J151" s="27">
        <f>ROUND((L150)*(IF('Your Debts'!$G$7=0,0,INDEX('Your Debts'!$C$5:$C$12,'Your Debts'!$G$7)/12)),2)</f>
        <v/>
      </c>
      <c r="K151" s="27">
        <f>MIN((L150)+J151,MAX(0,$C151-(E151+H151)))</f>
        <v/>
      </c>
      <c r="L151" s="27">
        <f>ROUND(MAX(0,(L150)+J151-K151),2)</f>
        <v/>
      </c>
      <c r="M151" s="27">
        <f>ROUND((O150)*(IF('Your Debts'!$G$8=0,0,INDEX('Your Debts'!$C$5:$C$12,'Your Debts'!$G$8)/12)),2)</f>
        <v/>
      </c>
      <c r="N151" s="27">
        <f>MIN((O150)+M151,MAX(0,$C151-(E151+H151+K151)))</f>
        <v/>
      </c>
      <c r="O151" s="27">
        <f>ROUND(MAX(0,(O150)+M151-N151),2)</f>
        <v/>
      </c>
      <c r="P151" s="27">
        <f>ROUND((R150)*(IF('Your Debts'!$G$9=0,0,INDEX('Your Debts'!$C$5:$C$12,'Your Debts'!$G$9)/12)),2)</f>
        <v/>
      </c>
      <c r="Q151" s="27">
        <f>MIN((R150)+P151,MAX(0,$C151-(E151+H151+K151+N151)))</f>
        <v/>
      </c>
      <c r="R151" s="27">
        <f>ROUND(MAX(0,(R150)+P151-Q151),2)</f>
        <v/>
      </c>
      <c r="S151" s="27">
        <f>ROUND((U150)*(IF('Your Debts'!$G$10=0,0,INDEX('Your Debts'!$C$5:$C$12,'Your Debts'!$G$10)/12)),2)</f>
        <v/>
      </c>
      <c r="T151" s="27">
        <f>MIN((U150)+S151,MAX(0,$C151-(E151+H151+K151+N151+Q151)))</f>
        <v/>
      </c>
      <c r="U151" s="27">
        <f>ROUND(MAX(0,(U150)+S151-T151),2)</f>
        <v/>
      </c>
      <c r="V151" s="27">
        <f>ROUND((X150)*(IF('Your Debts'!$G$11=0,0,INDEX('Your Debts'!$C$5:$C$12,'Your Debts'!$G$11)/12)),2)</f>
        <v/>
      </c>
      <c r="W151" s="27">
        <f>MIN((X150)+V151,MAX(0,$C151-(E151+H151+K151+N151+Q151+T151)))</f>
        <v/>
      </c>
      <c r="X151" s="27">
        <f>ROUND(MAX(0,(X150)+V151-W151),2)</f>
        <v/>
      </c>
      <c r="Y151" s="27">
        <f>ROUND((AA150)*(IF('Your Debts'!$G$12=0,0,INDEX('Your Debts'!$C$5:$C$12,'Your Debts'!$G$12)/12)),2)</f>
        <v/>
      </c>
      <c r="Z151" s="27">
        <f>MIN((AA150)+Y151,MAX(0,$C151-(E151+H151+K151+N151+Q151+T151+W151)))</f>
        <v/>
      </c>
      <c r="AA151" s="27">
        <f>ROUND(MAX(0,(AA150)+Y151-Z151),2)</f>
        <v/>
      </c>
      <c r="AB151" s="18">
        <f>F151+I151+L151+O151+R151+U151+X151+AA151</f>
        <v/>
      </c>
      <c r="AC151" s="26">
        <f>AC150+D151+G151+J151+M151+P151+S151+V151+Y151</f>
        <v/>
      </c>
    </row>
    <row r="152">
      <c r="A152" s="24" t="n">
        <v>147</v>
      </c>
      <c r="B152" s="25">
        <f>EDATE('Your Debts'!$B$19,146)</f>
        <v/>
      </c>
      <c r="C152" s="26">
        <f>'Your Debts'!$B$18</f>
        <v/>
      </c>
      <c r="D152" s="27">
        <f>ROUND((F151)*(IF('Your Debts'!$G$5=0,0,INDEX('Your Debts'!$C$5:$C$12,'Your Debts'!$G$5)/12)),2)</f>
        <v/>
      </c>
      <c r="E152" s="27">
        <f>MIN((F151)+D152,MAX(0,$C152-(0)))</f>
        <v/>
      </c>
      <c r="F152" s="27">
        <f>ROUND(MAX(0,(F151)+D152-E152),2)</f>
        <v/>
      </c>
      <c r="G152" s="27">
        <f>ROUND((I151)*(IF('Your Debts'!$G$6=0,0,INDEX('Your Debts'!$C$5:$C$12,'Your Debts'!$G$6)/12)),2)</f>
        <v/>
      </c>
      <c r="H152" s="27">
        <f>MIN((I151)+G152,MAX(0,$C152-(E152)))</f>
        <v/>
      </c>
      <c r="I152" s="27">
        <f>ROUND(MAX(0,(I151)+G152-H152),2)</f>
        <v/>
      </c>
      <c r="J152" s="27">
        <f>ROUND((L151)*(IF('Your Debts'!$G$7=0,0,INDEX('Your Debts'!$C$5:$C$12,'Your Debts'!$G$7)/12)),2)</f>
        <v/>
      </c>
      <c r="K152" s="27">
        <f>MIN((L151)+J152,MAX(0,$C152-(E152+H152)))</f>
        <v/>
      </c>
      <c r="L152" s="27">
        <f>ROUND(MAX(0,(L151)+J152-K152),2)</f>
        <v/>
      </c>
      <c r="M152" s="27">
        <f>ROUND((O151)*(IF('Your Debts'!$G$8=0,0,INDEX('Your Debts'!$C$5:$C$12,'Your Debts'!$G$8)/12)),2)</f>
        <v/>
      </c>
      <c r="N152" s="27">
        <f>MIN((O151)+M152,MAX(0,$C152-(E152+H152+K152)))</f>
        <v/>
      </c>
      <c r="O152" s="27">
        <f>ROUND(MAX(0,(O151)+M152-N152),2)</f>
        <v/>
      </c>
      <c r="P152" s="27">
        <f>ROUND((R151)*(IF('Your Debts'!$G$9=0,0,INDEX('Your Debts'!$C$5:$C$12,'Your Debts'!$G$9)/12)),2)</f>
        <v/>
      </c>
      <c r="Q152" s="27">
        <f>MIN((R151)+P152,MAX(0,$C152-(E152+H152+K152+N152)))</f>
        <v/>
      </c>
      <c r="R152" s="27">
        <f>ROUND(MAX(0,(R151)+P152-Q152),2)</f>
        <v/>
      </c>
      <c r="S152" s="27">
        <f>ROUND((U151)*(IF('Your Debts'!$G$10=0,0,INDEX('Your Debts'!$C$5:$C$12,'Your Debts'!$G$10)/12)),2)</f>
        <v/>
      </c>
      <c r="T152" s="27">
        <f>MIN((U151)+S152,MAX(0,$C152-(E152+H152+K152+N152+Q152)))</f>
        <v/>
      </c>
      <c r="U152" s="27">
        <f>ROUND(MAX(0,(U151)+S152-T152),2)</f>
        <v/>
      </c>
      <c r="V152" s="27">
        <f>ROUND((X151)*(IF('Your Debts'!$G$11=0,0,INDEX('Your Debts'!$C$5:$C$12,'Your Debts'!$G$11)/12)),2)</f>
        <v/>
      </c>
      <c r="W152" s="27">
        <f>MIN((X151)+V152,MAX(0,$C152-(E152+H152+K152+N152+Q152+T152)))</f>
        <v/>
      </c>
      <c r="X152" s="27">
        <f>ROUND(MAX(0,(X151)+V152-W152),2)</f>
        <v/>
      </c>
      <c r="Y152" s="27">
        <f>ROUND((AA151)*(IF('Your Debts'!$G$12=0,0,INDEX('Your Debts'!$C$5:$C$12,'Your Debts'!$G$12)/12)),2)</f>
        <v/>
      </c>
      <c r="Z152" s="27">
        <f>MIN((AA151)+Y152,MAX(0,$C152-(E152+H152+K152+N152+Q152+T152+W152)))</f>
        <v/>
      </c>
      <c r="AA152" s="27">
        <f>ROUND(MAX(0,(AA151)+Y152-Z152),2)</f>
        <v/>
      </c>
      <c r="AB152" s="18">
        <f>F152+I152+L152+O152+R152+U152+X152+AA152</f>
        <v/>
      </c>
      <c r="AC152" s="26">
        <f>AC151+D152+G152+J152+M152+P152+S152+V152+Y152</f>
        <v/>
      </c>
    </row>
    <row r="153">
      <c r="A153" s="24" t="n">
        <v>148</v>
      </c>
      <c r="B153" s="25">
        <f>EDATE('Your Debts'!$B$19,147)</f>
        <v/>
      </c>
      <c r="C153" s="26">
        <f>'Your Debts'!$B$18</f>
        <v/>
      </c>
      <c r="D153" s="27">
        <f>ROUND((F152)*(IF('Your Debts'!$G$5=0,0,INDEX('Your Debts'!$C$5:$C$12,'Your Debts'!$G$5)/12)),2)</f>
        <v/>
      </c>
      <c r="E153" s="27">
        <f>MIN((F152)+D153,MAX(0,$C153-(0)))</f>
        <v/>
      </c>
      <c r="F153" s="27">
        <f>ROUND(MAX(0,(F152)+D153-E153),2)</f>
        <v/>
      </c>
      <c r="G153" s="27">
        <f>ROUND((I152)*(IF('Your Debts'!$G$6=0,0,INDEX('Your Debts'!$C$5:$C$12,'Your Debts'!$G$6)/12)),2)</f>
        <v/>
      </c>
      <c r="H153" s="27">
        <f>MIN((I152)+G153,MAX(0,$C153-(E153)))</f>
        <v/>
      </c>
      <c r="I153" s="27">
        <f>ROUND(MAX(0,(I152)+G153-H153),2)</f>
        <v/>
      </c>
      <c r="J153" s="27">
        <f>ROUND((L152)*(IF('Your Debts'!$G$7=0,0,INDEX('Your Debts'!$C$5:$C$12,'Your Debts'!$G$7)/12)),2)</f>
        <v/>
      </c>
      <c r="K153" s="27">
        <f>MIN((L152)+J153,MAX(0,$C153-(E153+H153)))</f>
        <v/>
      </c>
      <c r="L153" s="27">
        <f>ROUND(MAX(0,(L152)+J153-K153),2)</f>
        <v/>
      </c>
      <c r="M153" s="27">
        <f>ROUND((O152)*(IF('Your Debts'!$G$8=0,0,INDEX('Your Debts'!$C$5:$C$12,'Your Debts'!$G$8)/12)),2)</f>
        <v/>
      </c>
      <c r="N153" s="27">
        <f>MIN((O152)+M153,MAX(0,$C153-(E153+H153+K153)))</f>
        <v/>
      </c>
      <c r="O153" s="27">
        <f>ROUND(MAX(0,(O152)+M153-N153),2)</f>
        <v/>
      </c>
      <c r="P153" s="27">
        <f>ROUND((R152)*(IF('Your Debts'!$G$9=0,0,INDEX('Your Debts'!$C$5:$C$12,'Your Debts'!$G$9)/12)),2)</f>
        <v/>
      </c>
      <c r="Q153" s="27">
        <f>MIN((R152)+P153,MAX(0,$C153-(E153+H153+K153+N153)))</f>
        <v/>
      </c>
      <c r="R153" s="27">
        <f>ROUND(MAX(0,(R152)+P153-Q153),2)</f>
        <v/>
      </c>
      <c r="S153" s="27">
        <f>ROUND((U152)*(IF('Your Debts'!$G$10=0,0,INDEX('Your Debts'!$C$5:$C$12,'Your Debts'!$G$10)/12)),2)</f>
        <v/>
      </c>
      <c r="T153" s="27">
        <f>MIN((U152)+S153,MAX(0,$C153-(E153+H153+K153+N153+Q153)))</f>
        <v/>
      </c>
      <c r="U153" s="27">
        <f>ROUND(MAX(0,(U152)+S153-T153),2)</f>
        <v/>
      </c>
      <c r="V153" s="27">
        <f>ROUND((X152)*(IF('Your Debts'!$G$11=0,0,INDEX('Your Debts'!$C$5:$C$12,'Your Debts'!$G$11)/12)),2)</f>
        <v/>
      </c>
      <c r="W153" s="27">
        <f>MIN((X152)+V153,MAX(0,$C153-(E153+H153+K153+N153+Q153+T153)))</f>
        <v/>
      </c>
      <c r="X153" s="27">
        <f>ROUND(MAX(0,(X152)+V153-W153),2)</f>
        <v/>
      </c>
      <c r="Y153" s="27">
        <f>ROUND((AA152)*(IF('Your Debts'!$G$12=0,0,INDEX('Your Debts'!$C$5:$C$12,'Your Debts'!$G$12)/12)),2)</f>
        <v/>
      </c>
      <c r="Z153" s="27">
        <f>MIN((AA152)+Y153,MAX(0,$C153-(E153+H153+K153+N153+Q153+T153+W153)))</f>
        <v/>
      </c>
      <c r="AA153" s="27">
        <f>ROUND(MAX(0,(AA152)+Y153-Z153),2)</f>
        <v/>
      </c>
      <c r="AB153" s="18">
        <f>F153+I153+L153+O153+R153+U153+X153+AA153</f>
        <v/>
      </c>
      <c r="AC153" s="26">
        <f>AC152+D153+G153+J153+M153+P153+S153+V153+Y153</f>
        <v/>
      </c>
    </row>
    <row r="154">
      <c r="A154" s="24" t="n">
        <v>149</v>
      </c>
      <c r="B154" s="25">
        <f>EDATE('Your Debts'!$B$19,148)</f>
        <v/>
      </c>
      <c r="C154" s="26">
        <f>'Your Debts'!$B$18</f>
        <v/>
      </c>
      <c r="D154" s="27">
        <f>ROUND((F153)*(IF('Your Debts'!$G$5=0,0,INDEX('Your Debts'!$C$5:$C$12,'Your Debts'!$G$5)/12)),2)</f>
        <v/>
      </c>
      <c r="E154" s="27">
        <f>MIN((F153)+D154,MAX(0,$C154-(0)))</f>
        <v/>
      </c>
      <c r="F154" s="27">
        <f>ROUND(MAX(0,(F153)+D154-E154),2)</f>
        <v/>
      </c>
      <c r="G154" s="27">
        <f>ROUND((I153)*(IF('Your Debts'!$G$6=0,0,INDEX('Your Debts'!$C$5:$C$12,'Your Debts'!$G$6)/12)),2)</f>
        <v/>
      </c>
      <c r="H154" s="27">
        <f>MIN((I153)+G154,MAX(0,$C154-(E154)))</f>
        <v/>
      </c>
      <c r="I154" s="27">
        <f>ROUND(MAX(0,(I153)+G154-H154),2)</f>
        <v/>
      </c>
      <c r="J154" s="27">
        <f>ROUND((L153)*(IF('Your Debts'!$G$7=0,0,INDEX('Your Debts'!$C$5:$C$12,'Your Debts'!$G$7)/12)),2)</f>
        <v/>
      </c>
      <c r="K154" s="27">
        <f>MIN((L153)+J154,MAX(0,$C154-(E154+H154)))</f>
        <v/>
      </c>
      <c r="L154" s="27">
        <f>ROUND(MAX(0,(L153)+J154-K154),2)</f>
        <v/>
      </c>
      <c r="M154" s="27">
        <f>ROUND((O153)*(IF('Your Debts'!$G$8=0,0,INDEX('Your Debts'!$C$5:$C$12,'Your Debts'!$G$8)/12)),2)</f>
        <v/>
      </c>
      <c r="N154" s="27">
        <f>MIN((O153)+M154,MAX(0,$C154-(E154+H154+K154)))</f>
        <v/>
      </c>
      <c r="O154" s="27">
        <f>ROUND(MAX(0,(O153)+M154-N154),2)</f>
        <v/>
      </c>
      <c r="P154" s="27">
        <f>ROUND((R153)*(IF('Your Debts'!$G$9=0,0,INDEX('Your Debts'!$C$5:$C$12,'Your Debts'!$G$9)/12)),2)</f>
        <v/>
      </c>
      <c r="Q154" s="27">
        <f>MIN((R153)+P154,MAX(0,$C154-(E154+H154+K154+N154)))</f>
        <v/>
      </c>
      <c r="R154" s="27">
        <f>ROUND(MAX(0,(R153)+P154-Q154),2)</f>
        <v/>
      </c>
      <c r="S154" s="27">
        <f>ROUND((U153)*(IF('Your Debts'!$G$10=0,0,INDEX('Your Debts'!$C$5:$C$12,'Your Debts'!$G$10)/12)),2)</f>
        <v/>
      </c>
      <c r="T154" s="27">
        <f>MIN((U153)+S154,MAX(0,$C154-(E154+H154+K154+N154+Q154)))</f>
        <v/>
      </c>
      <c r="U154" s="27">
        <f>ROUND(MAX(0,(U153)+S154-T154),2)</f>
        <v/>
      </c>
      <c r="V154" s="27">
        <f>ROUND((X153)*(IF('Your Debts'!$G$11=0,0,INDEX('Your Debts'!$C$5:$C$12,'Your Debts'!$G$11)/12)),2)</f>
        <v/>
      </c>
      <c r="W154" s="27">
        <f>MIN((X153)+V154,MAX(0,$C154-(E154+H154+K154+N154+Q154+T154)))</f>
        <v/>
      </c>
      <c r="X154" s="27">
        <f>ROUND(MAX(0,(X153)+V154-W154),2)</f>
        <v/>
      </c>
      <c r="Y154" s="27">
        <f>ROUND((AA153)*(IF('Your Debts'!$G$12=0,0,INDEX('Your Debts'!$C$5:$C$12,'Your Debts'!$G$12)/12)),2)</f>
        <v/>
      </c>
      <c r="Z154" s="27">
        <f>MIN((AA153)+Y154,MAX(0,$C154-(E154+H154+K154+N154+Q154+T154+W154)))</f>
        <v/>
      </c>
      <c r="AA154" s="27">
        <f>ROUND(MAX(0,(AA153)+Y154-Z154),2)</f>
        <v/>
      </c>
      <c r="AB154" s="18">
        <f>F154+I154+L154+O154+R154+U154+X154+AA154</f>
        <v/>
      </c>
      <c r="AC154" s="26">
        <f>AC153+D154+G154+J154+M154+P154+S154+V154+Y154</f>
        <v/>
      </c>
    </row>
    <row r="155">
      <c r="A155" s="24" t="n">
        <v>150</v>
      </c>
      <c r="B155" s="25">
        <f>EDATE('Your Debts'!$B$19,149)</f>
        <v/>
      </c>
      <c r="C155" s="26">
        <f>'Your Debts'!$B$18</f>
        <v/>
      </c>
      <c r="D155" s="27">
        <f>ROUND((F154)*(IF('Your Debts'!$G$5=0,0,INDEX('Your Debts'!$C$5:$C$12,'Your Debts'!$G$5)/12)),2)</f>
        <v/>
      </c>
      <c r="E155" s="27">
        <f>MIN((F154)+D155,MAX(0,$C155-(0)))</f>
        <v/>
      </c>
      <c r="F155" s="27">
        <f>ROUND(MAX(0,(F154)+D155-E155),2)</f>
        <v/>
      </c>
      <c r="G155" s="27">
        <f>ROUND((I154)*(IF('Your Debts'!$G$6=0,0,INDEX('Your Debts'!$C$5:$C$12,'Your Debts'!$G$6)/12)),2)</f>
        <v/>
      </c>
      <c r="H155" s="27">
        <f>MIN((I154)+G155,MAX(0,$C155-(E155)))</f>
        <v/>
      </c>
      <c r="I155" s="27">
        <f>ROUND(MAX(0,(I154)+G155-H155),2)</f>
        <v/>
      </c>
      <c r="J155" s="27">
        <f>ROUND((L154)*(IF('Your Debts'!$G$7=0,0,INDEX('Your Debts'!$C$5:$C$12,'Your Debts'!$G$7)/12)),2)</f>
        <v/>
      </c>
      <c r="K155" s="27">
        <f>MIN((L154)+J155,MAX(0,$C155-(E155+H155)))</f>
        <v/>
      </c>
      <c r="L155" s="27">
        <f>ROUND(MAX(0,(L154)+J155-K155),2)</f>
        <v/>
      </c>
      <c r="M155" s="27">
        <f>ROUND((O154)*(IF('Your Debts'!$G$8=0,0,INDEX('Your Debts'!$C$5:$C$12,'Your Debts'!$G$8)/12)),2)</f>
        <v/>
      </c>
      <c r="N155" s="27">
        <f>MIN((O154)+M155,MAX(0,$C155-(E155+H155+K155)))</f>
        <v/>
      </c>
      <c r="O155" s="27">
        <f>ROUND(MAX(0,(O154)+M155-N155),2)</f>
        <v/>
      </c>
      <c r="P155" s="27">
        <f>ROUND((R154)*(IF('Your Debts'!$G$9=0,0,INDEX('Your Debts'!$C$5:$C$12,'Your Debts'!$G$9)/12)),2)</f>
        <v/>
      </c>
      <c r="Q155" s="27">
        <f>MIN((R154)+P155,MAX(0,$C155-(E155+H155+K155+N155)))</f>
        <v/>
      </c>
      <c r="R155" s="27">
        <f>ROUND(MAX(0,(R154)+P155-Q155),2)</f>
        <v/>
      </c>
      <c r="S155" s="27">
        <f>ROUND((U154)*(IF('Your Debts'!$G$10=0,0,INDEX('Your Debts'!$C$5:$C$12,'Your Debts'!$G$10)/12)),2)</f>
        <v/>
      </c>
      <c r="T155" s="27">
        <f>MIN((U154)+S155,MAX(0,$C155-(E155+H155+K155+N155+Q155)))</f>
        <v/>
      </c>
      <c r="U155" s="27">
        <f>ROUND(MAX(0,(U154)+S155-T155),2)</f>
        <v/>
      </c>
      <c r="V155" s="27">
        <f>ROUND((X154)*(IF('Your Debts'!$G$11=0,0,INDEX('Your Debts'!$C$5:$C$12,'Your Debts'!$G$11)/12)),2)</f>
        <v/>
      </c>
      <c r="W155" s="27">
        <f>MIN((X154)+V155,MAX(0,$C155-(E155+H155+K155+N155+Q155+T155)))</f>
        <v/>
      </c>
      <c r="X155" s="27">
        <f>ROUND(MAX(0,(X154)+V155-W155),2)</f>
        <v/>
      </c>
      <c r="Y155" s="27">
        <f>ROUND((AA154)*(IF('Your Debts'!$G$12=0,0,INDEX('Your Debts'!$C$5:$C$12,'Your Debts'!$G$12)/12)),2)</f>
        <v/>
      </c>
      <c r="Z155" s="27">
        <f>MIN((AA154)+Y155,MAX(0,$C155-(E155+H155+K155+N155+Q155+T155+W155)))</f>
        <v/>
      </c>
      <c r="AA155" s="27">
        <f>ROUND(MAX(0,(AA154)+Y155-Z155),2)</f>
        <v/>
      </c>
      <c r="AB155" s="18">
        <f>F155+I155+L155+O155+R155+U155+X155+AA155</f>
        <v/>
      </c>
      <c r="AC155" s="26">
        <f>AC154+D155+G155+J155+M155+P155+S155+V155+Y155</f>
        <v/>
      </c>
    </row>
    <row r="156">
      <c r="A156" s="24" t="n">
        <v>151</v>
      </c>
      <c r="B156" s="25">
        <f>EDATE('Your Debts'!$B$19,150)</f>
        <v/>
      </c>
      <c r="C156" s="26">
        <f>'Your Debts'!$B$18</f>
        <v/>
      </c>
      <c r="D156" s="27">
        <f>ROUND((F155)*(IF('Your Debts'!$G$5=0,0,INDEX('Your Debts'!$C$5:$C$12,'Your Debts'!$G$5)/12)),2)</f>
        <v/>
      </c>
      <c r="E156" s="27">
        <f>MIN((F155)+D156,MAX(0,$C156-(0)))</f>
        <v/>
      </c>
      <c r="F156" s="27">
        <f>ROUND(MAX(0,(F155)+D156-E156),2)</f>
        <v/>
      </c>
      <c r="G156" s="27">
        <f>ROUND((I155)*(IF('Your Debts'!$G$6=0,0,INDEX('Your Debts'!$C$5:$C$12,'Your Debts'!$G$6)/12)),2)</f>
        <v/>
      </c>
      <c r="H156" s="27">
        <f>MIN((I155)+G156,MAX(0,$C156-(E156)))</f>
        <v/>
      </c>
      <c r="I156" s="27">
        <f>ROUND(MAX(0,(I155)+G156-H156),2)</f>
        <v/>
      </c>
      <c r="J156" s="27">
        <f>ROUND((L155)*(IF('Your Debts'!$G$7=0,0,INDEX('Your Debts'!$C$5:$C$12,'Your Debts'!$G$7)/12)),2)</f>
        <v/>
      </c>
      <c r="K156" s="27">
        <f>MIN((L155)+J156,MAX(0,$C156-(E156+H156)))</f>
        <v/>
      </c>
      <c r="L156" s="27">
        <f>ROUND(MAX(0,(L155)+J156-K156),2)</f>
        <v/>
      </c>
      <c r="M156" s="27">
        <f>ROUND((O155)*(IF('Your Debts'!$G$8=0,0,INDEX('Your Debts'!$C$5:$C$12,'Your Debts'!$G$8)/12)),2)</f>
        <v/>
      </c>
      <c r="N156" s="27">
        <f>MIN((O155)+M156,MAX(0,$C156-(E156+H156+K156)))</f>
        <v/>
      </c>
      <c r="O156" s="27">
        <f>ROUND(MAX(0,(O155)+M156-N156),2)</f>
        <v/>
      </c>
      <c r="P156" s="27">
        <f>ROUND((R155)*(IF('Your Debts'!$G$9=0,0,INDEX('Your Debts'!$C$5:$C$12,'Your Debts'!$G$9)/12)),2)</f>
        <v/>
      </c>
      <c r="Q156" s="27">
        <f>MIN((R155)+P156,MAX(0,$C156-(E156+H156+K156+N156)))</f>
        <v/>
      </c>
      <c r="R156" s="27">
        <f>ROUND(MAX(0,(R155)+P156-Q156),2)</f>
        <v/>
      </c>
      <c r="S156" s="27">
        <f>ROUND((U155)*(IF('Your Debts'!$G$10=0,0,INDEX('Your Debts'!$C$5:$C$12,'Your Debts'!$G$10)/12)),2)</f>
        <v/>
      </c>
      <c r="T156" s="27">
        <f>MIN((U155)+S156,MAX(0,$C156-(E156+H156+K156+N156+Q156)))</f>
        <v/>
      </c>
      <c r="U156" s="27">
        <f>ROUND(MAX(0,(U155)+S156-T156),2)</f>
        <v/>
      </c>
      <c r="V156" s="27">
        <f>ROUND((X155)*(IF('Your Debts'!$G$11=0,0,INDEX('Your Debts'!$C$5:$C$12,'Your Debts'!$G$11)/12)),2)</f>
        <v/>
      </c>
      <c r="W156" s="27">
        <f>MIN((X155)+V156,MAX(0,$C156-(E156+H156+K156+N156+Q156+T156)))</f>
        <v/>
      </c>
      <c r="X156" s="27">
        <f>ROUND(MAX(0,(X155)+V156-W156),2)</f>
        <v/>
      </c>
      <c r="Y156" s="27">
        <f>ROUND((AA155)*(IF('Your Debts'!$G$12=0,0,INDEX('Your Debts'!$C$5:$C$12,'Your Debts'!$G$12)/12)),2)</f>
        <v/>
      </c>
      <c r="Z156" s="27">
        <f>MIN((AA155)+Y156,MAX(0,$C156-(E156+H156+K156+N156+Q156+T156+W156)))</f>
        <v/>
      </c>
      <c r="AA156" s="27">
        <f>ROUND(MAX(0,(AA155)+Y156-Z156),2)</f>
        <v/>
      </c>
      <c r="AB156" s="18">
        <f>F156+I156+L156+O156+R156+U156+X156+AA156</f>
        <v/>
      </c>
      <c r="AC156" s="26">
        <f>AC155+D156+G156+J156+M156+P156+S156+V156+Y156</f>
        <v/>
      </c>
    </row>
    <row r="157">
      <c r="A157" s="24" t="n">
        <v>152</v>
      </c>
      <c r="B157" s="25">
        <f>EDATE('Your Debts'!$B$19,151)</f>
        <v/>
      </c>
      <c r="C157" s="26">
        <f>'Your Debts'!$B$18</f>
        <v/>
      </c>
      <c r="D157" s="27">
        <f>ROUND((F156)*(IF('Your Debts'!$G$5=0,0,INDEX('Your Debts'!$C$5:$C$12,'Your Debts'!$G$5)/12)),2)</f>
        <v/>
      </c>
      <c r="E157" s="27">
        <f>MIN((F156)+D157,MAX(0,$C157-(0)))</f>
        <v/>
      </c>
      <c r="F157" s="27">
        <f>ROUND(MAX(0,(F156)+D157-E157),2)</f>
        <v/>
      </c>
      <c r="G157" s="27">
        <f>ROUND((I156)*(IF('Your Debts'!$G$6=0,0,INDEX('Your Debts'!$C$5:$C$12,'Your Debts'!$G$6)/12)),2)</f>
        <v/>
      </c>
      <c r="H157" s="27">
        <f>MIN((I156)+G157,MAX(0,$C157-(E157)))</f>
        <v/>
      </c>
      <c r="I157" s="27">
        <f>ROUND(MAX(0,(I156)+G157-H157),2)</f>
        <v/>
      </c>
      <c r="J157" s="27">
        <f>ROUND((L156)*(IF('Your Debts'!$G$7=0,0,INDEX('Your Debts'!$C$5:$C$12,'Your Debts'!$G$7)/12)),2)</f>
        <v/>
      </c>
      <c r="K157" s="27">
        <f>MIN((L156)+J157,MAX(0,$C157-(E157+H157)))</f>
        <v/>
      </c>
      <c r="L157" s="27">
        <f>ROUND(MAX(0,(L156)+J157-K157),2)</f>
        <v/>
      </c>
      <c r="M157" s="27">
        <f>ROUND((O156)*(IF('Your Debts'!$G$8=0,0,INDEX('Your Debts'!$C$5:$C$12,'Your Debts'!$G$8)/12)),2)</f>
        <v/>
      </c>
      <c r="N157" s="27">
        <f>MIN((O156)+M157,MAX(0,$C157-(E157+H157+K157)))</f>
        <v/>
      </c>
      <c r="O157" s="27">
        <f>ROUND(MAX(0,(O156)+M157-N157),2)</f>
        <v/>
      </c>
      <c r="P157" s="27">
        <f>ROUND((R156)*(IF('Your Debts'!$G$9=0,0,INDEX('Your Debts'!$C$5:$C$12,'Your Debts'!$G$9)/12)),2)</f>
        <v/>
      </c>
      <c r="Q157" s="27">
        <f>MIN((R156)+P157,MAX(0,$C157-(E157+H157+K157+N157)))</f>
        <v/>
      </c>
      <c r="R157" s="27">
        <f>ROUND(MAX(0,(R156)+P157-Q157),2)</f>
        <v/>
      </c>
      <c r="S157" s="27">
        <f>ROUND((U156)*(IF('Your Debts'!$G$10=0,0,INDEX('Your Debts'!$C$5:$C$12,'Your Debts'!$G$10)/12)),2)</f>
        <v/>
      </c>
      <c r="T157" s="27">
        <f>MIN((U156)+S157,MAX(0,$C157-(E157+H157+K157+N157+Q157)))</f>
        <v/>
      </c>
      <c r="U157" s="27">
        <f>ROUND(MAX(0,(U156)+S157-T157),2)</f>
        <v/>
      </c>
      <c r="V157" s="27">
        <f>ROUND((X156)*(IF('Your Debts'!$G$11=0,0,INDEX('Your Debts'!$C$5:$C$12,'Your Debts'!$G$11)/12)),2)</f>
        <v/>
      </c>
      <c r="W157" s="27">
        <f>MIN((X156)+V157,MAX(0,$C157-(E157+H157+K157+N157+Q157+T157)))</f>
        <v/>
      </c>
      <c r="X157" s="27">
        <f>ROUND(MAX(0,(X156)+V157-W157),2)</f>
        <v/>
      </c>
      <c r="Y157" s="27">
        <f>ROUND((AA156)*(IF('Your Debts'!$G$12=0,0,INDEX('Your Debts'!$C$5:$C$12,'Your Debts'!$G$12)/12)),2)</f>
        <v/>
      </c>
      <c r="Z157" s="27">
        <f>MIN((AA156)+Y157,MAX(0,$C157-(E157+H157+K157+N157+Q157+T157+W157)))</f>
        <v/>
      </c>
      <c r="AA157" s="27">
        <f>ROUND(MAX(0,(AA156)+Y157-Z157),2)</f>
        <v/>
      </c>
      <c r="AB157" s="18">
        <f>F157+I157+L157+O157+R157+U157+X157+AA157</f>
        <v/>
      </c>
      <c r="AC157" s="26">
        <f>AC156+D157+G157+J157+M157+P157+S157+V157+Y157</f>
        <v/>
      </c>
    </row>
    <row r="158">
      <c r="A158" s="24" t="n">
        <v>153</v>
      </c>
      <c r="B158" s="25">
        <f>EDATE('Your Debts'!$B$19,152)</f>
        <v/>
      </c>
      <c r="C158" s="26">
        <f>'Your Debts'!$B$18</f>
        <v/>
      </c>
      <c r="D158" s="27">
        <f>ROUND((F157)*(IF('Your Debts'!$G$5=0,0,INDEX('Your Debts'!$C$5:$C$12,'Your Debts'!$G$5)/12)),2)</f>
        <v/>
      </c>
      <c r="E158" s="27">
        <f>MIN((F157)+D158,MAX(0,$C158-(0)))</f>
        <v/>
      </c>
      <c r="F158" s="27">
        <f>ROUND(MAX(0,(F157)+D158-E158),2)</f>
        <v/>
      </c>
      <c r="G158" s="27">
        <f>ROUND((I157)*(IF('Your Debts'!$G$6=0,0,INDEX('Your Debts'!$C$5:$C$12,'Your Debts'!$G$6)/12)),2)</f>
        <v/>
      </c>
      <c r="H158" s="27">
        <f>MIN((I157)+G158,MAX(0,$C158-(E158)))</f>
        <v/>
      </c>
      <c r="I158" s="27">
        <f>ROUND(MAX(0,(I157)+G158-H158),2)</f>
        <v/>
      </c>
      <c r="J158" s="27">
        <f>ROUND((L157)*(IF('Your Debts'!$G$7=0,0,INDEX('Your Debts'!$C$5:$C$12,'Your Debts'!$G$7)/12)),2)</f>
        <v/>
      </c>
      <c r="K158" s="27">
        <f>MIN((L157)+J158,MAX(0,$C158-(E158+H158)))</f>
        <v/>
      </c>
      <c r="L158" s="27">
        <f>ROUND(MAX(0,(L157)+J158-K158),2)</f>
        <v/>
      </c>
      <c r="M158" s="27">
        <f>ROUND((O157)*(IF('Your Debts'!$G$8=0,0,INDEX('Your Debts'!$C$5:$C$12,'Your Debts'!$G$8)/12)),2)</f>
        <v/>
      </c>
      <c r="N158" s="27">
        <f>MIN((O157)+M158,MAX(0,$C158-(E158+H158+K158)))</f>
        <v/>
      </c>
      <c r="O158" s="27">
        <f>ROUND(MAX(0,(O157)+M158-N158),2)</f>
        <v/>
      </c>
      <c r="P158" s="27">
        <f>ROUND((R157)*(IF('Your Debts'!$G$9=0,0,INDEX('Your Debts'!$C$5:$C$12,'Your Debts'!$G$9)/12)),2)</f>
        <v/>
      </c>
      <c r="Q158" s="27">
        <f>MIN((R157)+P158,MAX(0,$C158-(E158+H158+K158+N158)))</f>
        <v/>
      </c>
      <c r="R158" s="27">
        <f>ROUND(MAX(0,(R157)+P158-Q158),2)</f>
        <v/>
      </c>
      <c r="S158" s="27">
        <f>ROUND((U157)*(IF('Your Debts'!$G$10=0,0,INDEX('Your Debts'!$C$5:$C$12,'Your Debts'!$G$10)/12)),2)</f>
        <v/>
      </c>
      <c r="T158" s="27">
        <f>MIN((U157)+S158,MAX(0,$C158-(E158+H158+K158+N158+Q158)))</f>
        <v/>
      </c>
      <c r="U158" s="27">
        <f>ROUND(MAX(0,(U157)+S158-T158),2)</f>
        <v/>
      </c>
      <c r="V158" s="27">
        <f>ROUND((X157)*(IF('Your Debts'!$G$11=0,0,INDEX('Your Debts'!$C$5:$C$12,'Your Debts'!$G$11)/12)),2)</f>
        <v/>
      </c>
      <c r="W158" s="27">
        <f>MIN((X157)+V158,MAX(0,$C158-(E158+H158+K158+N158+Q158+T158)))</f>
        <v/>
      </c>
      <c r="X158" s="27">
        <f>ROUND(MAX(0,(X157)+V158-W158),2)</f>
        <v/>
      </c>
      <c r="Y158" s="27">
        <f>ROUND((AA157)*(IF('Your Debts'!$G$12=0,0,INDEX('Your Debts'!$C$5:$C$12,'Your Debts'!$G$12)/12)),2)</f>
        <v/>
      </c>
      <c r="Z158" s="27">
        <f>MIN((AA157)+Y158,MAX(0,$C158-(E158+H158+K158+N158+Q158+T158+W158)))</f>
        <v/>
      </c>
      <c r="AA158" s="27">
        <f>ROUND(MAX(0,(AA157)+Y158-Z158),2)</f>
        <v/>
      </c>
      <c r="AB158" s="18">
        <f>F158+I158+L158+O158+R158+U158+X158+AA158</f>
        <v/>
      </c>
      <c r="AC158" s="26">
        <f>AC157+D158+G158+J158+M158+P158+S158+V158+Y158</f>
        <v/>
      </c>
    </row>
    <row r="159">
      <c r="A159" s="24" t="n">
        <v>154</v>
      </c>
      <c r="B159" s="25">
        <f>EDATE('Your Debts'!$B$19,153)</f>
        <v/>
      </c>
      <c r="C159" s="26">
        <f>'Your Debts'!$B$18</f>
        <v/>
      </c>
      <c r="D159" s="27">
        <f>ROUND((F158)*(IF('Your Debts'!$G$5=0,0,INDEX('Your Debts'!$C$5:$C$12,'Your Debts'!$G$5)/12)),2)</f>
        <v/>
      </c>
      <c r="E159" s="27">
        <f>MIN((F158)+D159,MAX(0,$C159-(0)))</f>
        <v/>
      </c>
      <c r="F159" s="27">
        <f>ROUND(MAX(0,(F158)+D159-E159),2)</f>
        <v/>
      </c>
      <c r="G159" s="27">
        <f>ROUND((I158)*(IF('Your Debts'!$G$6=0,0,INDEX('Your Debts'!$C$5:$C$12,'Your Debts'!$G$6)/12)),2)</f>
        <v/>
      </c>
      <c r="H159" s="27">
        <f>MIN((I158)+G159,MAX(0,$C159-(E159)))</f>
        <v/>
      </c>
      <c r="I159" s="27">
        <f>ROUND(MAX(0,(I158)+G159-H159),2)</f>
        <v/>
      </c>
      <c r="J159" s="27">
        <f>ROUND((L158)*(IF('Your Debts'!$G$7=0,0,INDEX('Your Debts'!$C$5:$C$12,'Your Debts'!$G$7)/12)),2)</f>
        <v/>
      </c>
      <c r="K159" s="27">
        <f>MIN((L158)+J159,MAX(0,$C159-(E159+H159)))</f>
        <v/>
      </c>
      <c r="L159" s="27">
        <f>ROUND(MAX(0,(L158)+J159-K159),2)</f>
        <v/>
      </c>
      <c r="M159" s="27">
        <f>ROUND((O158)*(IF('Your Debts'!$G$8=0,0,INDEX('Your Debts'!$C$5:$C$12,'Your Debts'!$G$8)/12)),2)</f>
        <v/>
      </c>
      <c r="N159" s="27">
        <f>MIN((O158)+M159,MAX(0,$C159-(E159+H159+K159)))</f>
        <v/>
      </c>
      <c r="O159" s="27">
        <f>ROUND(MAX(0,(O158)+M159-N159),2)</f>
        <v/>
      </c>
      <c r="P159" s="27">
        <f>ROUND((R158)*(IF('Your Debts'!$G$9=0,0,INDEX('Your Debts'!$C$5:$C$12,'Your Debts'!$G$9)/12)),2)</f>
        <v/>
      </c>
      <c r="Q159" s="27">
        <f>MIN((R158)+P159,MAX(0,$C159-(E159+H159+K159+N159)))</f>
        <v/>
      </c>
      <c r="R159" s="27">
        <f>ROUND(MAX(0,(R158)+P159-Q159),2)</f>
        <v/>
      </c>
      <c r="S159" s="27">
        <f>ROUND((U158)*(IF('Your Debts'!$G$10=0,0,INDEX('Your Debts'!$C$5:$C$12,'Your Debts'!$G$10)/12)),2)</f>
        <v/>
      </c>
      <c r="T159" s="27">
        <f>MIN((U158)+S159,MAX(0,$C159-(E159+H159+K159+N159+Q159)))</f>
        <v/>
      </c>
      <c r="U159" s="27">
        <f>ROUND(MAX(0,(U158)+S159-T159),2)</f>
        <v/>
      </c>
      <c r="V159" s="27">
        <f>ROUND((X158)*(IF('Your Debts'!$G$11=0,0,INDEX('Your Debts'!$C$5:$C$12,'Your Debts'!$G$11)/12)),2)</f>
        <v/>
      </c>
      <c r="W159" s="27">
        <f>MIN((X158)+V159,MAX(0,$C159-(E159+H159+K159+N159+Q159+T159)))</f>
        <v/>
      </c>
      <c r="X159" s="27">
        <f>ROUND(MAX(0,(X158)+V159-W159),2)</f>
        <v/>
      </c>
      <c r="Y159" s="27">
        <f>ROUND((AA158)*(IF('Your Debts'!$G$12=0,0,INDEX('Your Debts'!$C$5:$C$12,'Your Debts'!$G$12)/12)),2)</f>
        <v/>
      </c>
      <c r="Z159" s="27">
        <f>MIN((AA158)+Y159,MAX(0,$C159-(E159+H159+K159+N159+Q159+T159+W159)))</f>
        <v/>
      </c>
      <c r="AA159" s="27">
        <f>ROUND(MAX(0,(AA158)+Y159-Z159),2)</f>
        <v/>
      </c>
      <c r="AB159" s="18">
        <f>F159+I159+L159+O159+R159+U159+X159+AA159</f>
        <v/>
      </c>
      <c r="AC159" s="26">
        <f>AC158+D159+G159+J159+M159+P159+S159+V159+Y159</f>
        <v/>
      </c>
    </row>
    <row r="160">
      <c r="A160" s="24" t="n">
        <v>155</v>
      </c>
      <c r="B160" s="25">
        <f>EDATE('Your Debts'!$B$19,154)</f>
        <v/>
      </c>
      <c r="C160" s="26">
        <f>'Your Debts'!$B$18</f>
        <v/>
      </c>
      <c r="D160" s="27">
        <f>ROUND((F159)*(IF('Your Debts'!$G$5=0,0,INDEX('Your Debts'!$C$5:$C$12,'Your Debts'!$G$5)/12)),2)</f>
        <v/>
      </c>
      <c r="E160" s="27">
        <f>MIN((F159)+D160,MAX(0,$C160-(0)))</f>
        <v/>
      </c>
      <c r="F160" s="27">
        <f>ROUND(MAX(0,(F159)+D160-E160),2)</f>
        <v/>
      </c>
      <c r="G160" s="27">
        <f>ROUND((I159)*(IF('Your Debts'!$G$6=0,0,INDEX('Your Debts'!$C$5:$C$12,'Your Debts'!$G$6)/12)),2)</f>
        <v/>
      </c>
      <c r="H160" s="27">
        <f>MIN((I159)+G160,MAX(0,$C160-(E160)))</f>
        <v/>
      </c>
      <c r="I160" s="27">
        <f>ROUND(MAX(0,(I159)+G160-H160),2)</f>
        <v/>
      </c>
      <c r="J160" s="27">
        <f>ROUND((L159)*(IF('Your Debts'!$G$7=0,0,INDEX('Your Debts'!$C$5:$C$12,'Your Debts'!$G$7)/12)),2)</f>
        <v/>
      </c>
      <c r="K160" s="27">
        <f>MIN((L159)+J160,MAX(0,$C160-(E160+H160)))</f>
        <v/>
      </c>
      <c r="L160" s="27">
        <f>ROUND(MAX(0,(L159)+J160-K160),2)</f>
        <v/>
      </c>
      <c r="M160" s="27">
        <f>ROUND((O159)*(IF('Your Debts'!$G$8=0,0,INDEX('Your Debts'!$C$5:$C$12,'Your Debts'!$G$8)/12)),2)</f>
        <v/>
      </c>
      <c r="N160" s="27">
        <f>MIN((O159)+M160,MAX(0,$C160-(E160+H160+K160)))</f>
        <v/>
      </c>
      <c r="O160" s="27">
        <f>ROUND(MAX(0,(O159)+M160-N160),2)</f>
        <v/>
      </c>
      <c r="P160" s="27">
        <f>ROUND((R159)*(IF('Your Debts'!$G$9=0,0,INDEX('Your Debts'!$C$5:$C$12,'Your Debts'!$G$9)/12)),2)</f>
        <v/>
      </c>
      <c r="Q160" s="27">
        <f>MIN((R159)+P160,MAX(0,$C160-(E160+H160+K160+N160)))</f>
        <v/>
      </c>
      <c r="R160" s="27">
        <f>ROUND(MAX(0,(R159)+P160-Q160),2)</f>
        <v/>
      </c>
      <c r="S160" s="27">
        <f>ROUND((U159)*(IF('Your Debts'!$G$10=0,0,INDEX('Your Debts'!$C$5:$C$12,'Your Debts'!$G$10)/12)),2)</f>
        <v/>
      </c>
      <c r="T160" s="27">
        <f>MIN((U159)+S160,MAX(0,$C160-(E160+H160+K160+N160+Q160)))</f>
        <v/>
      </c>
      <c r="U160" s="27">
        <f>ROUND(MAX(0,(U159)+S160-T160),2)</f>
        <v/>
      </c>
      <c r="V160" s="27">
        <f>ROUND((X159)*(IF('Your Debts'!$G$11=0,0,INDEX('Your Debts'!$C$5:$C$12,'Your Debts'!$G$11)/12)),2)</f>
        <v/>
      </c>
      <c r="W160" s="27">
        <f>MIN((X159)+V160,MAX(0,$C160-(E160+H160+K160+N160+Q160+T160)))</f>
        <v/>
      </c>
      <c r="X160" s="27">
        <f>ROUND(MAX(0,(X159)+V160-W160),2)</f>
        <v/>
      </c>
      <c r="Y160" s="27">
        <f>ROUND((AA159)*(IF('Your Debts'!$G$12=0,0,INDEX('Your Debts'!$C$5:$C$12,'Your Debts'!$G$12)/12)),2)</f>
        <v/>
      </c>
      <c r="Z160" s="27">
        <f>MIN((AA159)+Y160,MAX(0,$C160-(E160+H160+K160+N160+Q160+T160+W160)))</f>
        <v/>
      </c>
      <c r="AA160" s="27">
        <f>ROUND(MAX(0,(AA159)+Y160-Z160),2)</f>
        <v/>
      </c>
      <c r="AB160" s="18">
        <f>F160+I160+L160+O160+R160+U160+X160+AA160</f>
        <v/>
      </c>
      <c r="AC160" s="26">
        <f>AC159+D160+G160+J160+M160+P160+S160+V160+Y160</f>
        <v/>
      </c>
    </row>
    <row r="161">
      <c r="A161" s="24" t="n">
        <v>156</v>
      </c>
      <c r="B161" s="25">
        <f>EDATE('Your Debts'!$B$19,155)</f>
        <v/>
      </c>
      <c r="C161" s="26">
        <f>'Your Debts'!$B$18</f>
        <v/>
      </c>
      <c r="D161" s="27">
        <f>ROUND((F160)*(IF('Your Debts'!$G$5=0,0,INDEX('Your Debts'!$C$5:$C$12,'Your Debts'!$G$5)/12)),2)</f>
        <v/>
      </c>
      <c r="E161" s="27">
        <f>MIN((F160)+D161,MAX(0,$C161-(0)))</f>
        <v/>
      </c>
      <c r="F161" s="27">
        <f>ROUND(MAX(0,(F160)+D161-E161),2)</f>
        <v/>
      </c>
      <c r="G161" s="27">
        <f>ROUND((I160)*(IF('Your Debts'!$G$6=0,0,INDEX('Your Debts'!$C$5:$C$12,'Your Debts'!$G$6)/12)),2)</f>
        <v/>
      </c>
      <c r="H161" s="27">
        <f>MIN((I160)+G161,MAX(0,$C161-(E161)))</f>
        <v/>
      </c>
      <c r="I161" s="27">
        <f>ROUND(MAX(0,(I160)+G161-H161),2)</f>
        <v/>
      </c>
      <c r="J161" s="27">
        <f>ROUND((L160)*(IF('Your Debts'!$G$7=0,0,INDEX('Your Debts'!$C$5:$C$12,'Your Debts'!$G$7)/12)),2)</f>
        <v/>
      </c>
      <c r="K161" s="27">
        <f>MIN((L160)+J161,MAX(0,$C161-(E161+H161)))</f>
        <v/>
      </c>
      <c r="L161" s="27">
        <f>ROUND(MAX(0,(L160)+J161-K161),2)</f>
        <v/>
      </c>
      <c r="M161" s="27">
        <f>ROUND((O160)*(IF('Your Debts'!$G$8=0,0,INDEX('Your Debts'!$C$5:$C$12,'Your Debts'!$G$8)/12)),2)</f>
        <v/>
      </c>
      <c r="N161" s="27">
        <f>MIN((O160)+M161,MAX(0,$C161-(E161+H161+K161)))</f>
        <v/>
      </c>
      <c r="O161" s="27">
        <f>ROUND(MAX(0,(O160)+M161-N161),2)</f>
        <v/>
      </c>
      <c r="P161" s="27">
        <f>ROUND((R160)*(IF('Your Debts'!$G$9=0,0,INDEX('Your Debts'!$C$5:$C$12,'Your Debts'!$G$9)/12)),2)</f>
        <v/>
      </c>
      <c r="Q161" s="27">
        <f>MIN((R160)+P161,MAX(0,$C161-(E161+H161+K161+N161)))</f>
        <v/>
      </c>
      <c r="R161" s="27">
        <f>ROUND(MAX(0,(R160)+P161-Q161),2)</f>
        <v/>
      </c>
      <c r="S161" s="27">
        <f>ROUND((U160)*(IF('Your Debts'!$G$10=0,0,INDEX('Your Debts'!$C$5:$C$12,'Your Debts'!$G$10)/12)),2)</f>
        <v/>
      </c>
      <c r="T161" s="27">
        <f>MIN((U160)+S161,MAX(0,$C161-(E161+H161+K161+N161+Q161)))</f>
        <v/>
      </c>
      <c r="U161" s="27">
        <f>ROUND(MAX(0,(U160)+S161-T161),2)</f>
        <v/>
      </c>
      <c r="V161" s="27">
        <f>ROUND((X160)*(IF('Your Debts'!$G$11=0,0,INDEX('Your Debts'!$C$5:$C$12,'Your Debts'!$G$11)/12)),2)</f>
        <v/>
      </c>
      <c r="W161" s="27">
        <f>MIN((X160)+V161,MAX(0,$C161-(E161+H161+K161+N161+Q161+T161)))</f>
        <v/>
      </c>
      <c r="X161" s="27">
        <f>ROUND(MAX(0,(X160)+V161-W161),2)</f>
        <v/>
      </c>
      <c r="Y161" s="27">
        <f>ROUND((AA160)*(IF('Your Debts'!$G$12=0,0,INDEX('Your Debts'!$C$5:$C$12,'Your Debts'!$G$12)/12)),2)</f>
        <v/>
      </c>
      <c r="Z161" s="27">
        <f>MIN((AA160)+Y161,MAX(0,$C161-(E161+H161+K161+N161+Q161+T161+W161)))</f>
        <v/>
      </c>
      <c r="AA161" s="27">
        <f>ROUND(MAX(0,(AA160)+Y161-Z161),2)</f>
        <v/>
      </c>
      <c r="AB161" s="18">
        <f>F161+I161+L161+O161+R161+U161+X161+AA161</f>
        <v/>
      </c>
      <c r="AC161" s="26">
        <f>AC160+D161+G161+J161+M161+P161+S161+V161+Y161</f>
        <v/>
      </c>
    </row>
    <row r="162">
      <c r="A162" s="24" t="n">
        <v>157</v>
      </c>
      <c r="B162" s="25">
        <f>EDATE('Your Debts'!$B$19,156)</f>
        <v/>
      </c>
      <c r="C162" s="26">
        <f>'Your Debts'!$B$18</f>
        <v/>
      </c>
      <c r="D162" s="27">
        <f>ROUND((F161)*(IF('Your Debts'!$G$5=0,0,INDEX('Your Debts'!$C$5:$C$12,'Your Debts'!$G$5)/12)),2)</f>
        <v/>
      </c>
      <c r="E162" s="27">
        <f>MIN((F161)+D162,MAX(0,$C162-(0)))</f>
        <v/>
      </c>
      <c r="F162" s="27">
        <f>ROUND(MAX(0,(F161)+D162-E162),2)</f>
        <v/>
      </c>
      <c r="G162" s="27">
        <f>ROUND((I161)*(IF('Your Debts'!$G$6=0,0,INDEX('Your Debts'!$C$5:$C$12,'Your Debts'!$G$6)/12)),2)</f>
        <v/>
      </c>
      <c r="H162" s="27">
        <f>MIN((I161)+G162,MAX(0,$C162-(E162)))</f>
        <v/>
      </c>
      <c r="I162" s="27">
        <f>ROUND(MAX(0,(I161)+G162-H162),2)</f>
        <v/>
      </c>
      <c r="J162" s="27">
        <f>ROUND((L161)*(IF('Your Debts'!$G$7=0,0,INDEX('Your Debts'!$C$5:$C$12,'Your Debts'!$G$7)/12)),2)</f>
        <v/>
      </c>
      <c r="K162" s="27">
        <f>MIN((L161)+J162,MAX(0,$C162-(E162+H162)))</f>
        <v/>
      </c>
      <c r="L162" s="27">
        <f>ROUND(MAX(0,(L161)+J162-K162),2)</f>
        <v/>
      </c>
      <c r="M162" s="27">
        <f>ROUND((O161)*(IF('Your Debts'!$G$8=0,0,INDEX('Your Debts'!$C$5:$C$12,'Your Debts'!$G$8)/12)),2)</f>
        <v/>
      </c>
      <c r="N162" s="27">
        <f>MIN((O161)+M162,MAX(0,$C162-(E162+H162+K162)))</f>
        <v/>
      </c>
      <c r="O162" s="27">
        <f>ROUND(MAX(0,(O161)+M162-N162),2)</f>
        <v/>
      </c>
      <c r="P162" s="27">
        <f>ROUND((R161)*(IF('Your Debts'!$G$9=0,0,INDEX('Your Debts'!$C$5:$C$12,'Your Debts'!$G$9)/12)),2)</f>
        <v/>
      </c>
      <c r="Q162" s="27">
        <f>MIN((R161)+P162,MAX(0,$C162-(E162+H162+K162+N162)))</f>
        <v/>
      </c>
      <c r="R162" s="27">
        <f>ROUND(MAX(0,(R161)+P162-Q162),2)</f>
        <v/>
      </c>
      <c r="S162" s="27">
        <f>ROUND((U161)*(IF('Your Debts'!$G$10=0,0,INDEX('Your Debts'!$C$5:$C$12,'Your Debts'!$G$10)/12)),2)</f>
        <v/>
      </c>
      <c r="T162" s="27">
        <f>MIN((U161)+S162,MAX(0,$C162-(E162+H162+K162+N162+Q162)))</f>
        <v/>
      </c>
      <c r="U162" s="27">
        <f>ROUND(MAX(0,(U161)+S162-T162),2)</f>
        <v/>
      </c>
      <c r="V162" s="27">
        <f>ROUND((X161)*(IF('Your Debts'!$G$11=0,0,INDEX('Your Debts'!$C$5:$C$12,'Your Debts'!$G$11)/12)),2)</f>
        <v/>
      </c>
      <c r="W162" s="27">
        <f>MIN((X161)+V162,MAX(0,$C162-(E162+H162+K162+N162+Q162+T162)))</f>
        <v/>
      </c>
      <c r="X162" s="27">
        <f>ROUND(MAX(0,(X161)+V162-W162),2)</f>
        <v/>
      </c>
      <c r="Y162" s="27">
        <f>ROUND((AA161)*(IF('Your Debts'!$G$12=0,0,INDEX('Your Debts'!$C$5:$C$12,'Your Debts'!$G$12)/12)),2)</f>
        <v/>
      </c>
      <c r="Z162" s="27">
        <f>MIN((AA161)+Y162,MAX(0,$C162-(E162+H162+K162+N162+Q162+T162+W162)))</f>
        <v/>
      </c>
      <c r="AA162" s="27">
        <f>ROUND(MAX(0,(AA161)+Y162-Z162),2)</f>
        <v/>
      </c>
      <c r="AB162" s="18">
        <f>F162+I162+L162+O162+R162+U162+X162+AA162</f>
        <v/>
      </c>
      <c r="AC162" s="26">
        <f>AC161+D162+G162+J162+M162+P162+S162+V162+Y162</f>
        <v/>
      </c>
    </row>
    <row r="163">
      <c r="A163" s="24" t="n">
        <v>158</v>
      </c>
      <c r="B163" s="25">
        <f>EDATE('Your Debts'!$B$19,157)</f>
        <v/>
      </c>
      <c r="C163" s="26">
        <f>'Your Debts'!$B$18</f>
        <v/>
      </c>
      <c r="D163" s="27">
        <f>ROUND((F162)*(IF('Your Debts'!$G$5=0,0,INDEX('Your Debts'!$C$5:$C$12,'Your Debts'!$G$5)/12)),2)</f>
        <v/>
      </c>
      <c r="E163" s="27">
        <f>MIN((F162)+D163,MAX(0,$C163-(0)))</f>
        <v/>
      </c>
      <c r="F163" s="27">
        <f>ROUND(MAX(0,(F162)+D163-E163),2)</f>
        <v/>
      </c>
      <c r="G163" s="27">
        <f>ROUND((I162)*(IF('Your Debts'!$G$6=0,0,INDEX('Your Debts'!$C$5:$C$12,'Your Debts'!$G$6)/12)),2)</f>
        <v/>
      </c>
      <c r="H163" s="27">
        <f>MIN((I162)+G163,MAX(0,$C163-(E163)))</f>
        <v/>
      </c>
      <c r="I163" s="27">
        <f>ROUND(MAX(0,(I162)+G163-H163),2)</f>
        <v/>
      </c>
      <c r="J163" s="27">
        <f>ROUND((L162)*(IF('Your Debts'!$G$7=0,0,INDEX('Your Debts'!$C$5:$C$12,'Your Debts'!$G$7)/12)),2)</f>
        <v/>
      </c>
      <c r="K163" s="27">
        <f>MIN((L162)+J163,MAX(0,$C163-(E163+H163)))</f>
        <v/>
      </c>
      <c r="L163" s="27">
        <f>ROUND(MAX(0,(L162)+J163-K163),2)</f>
        <v/>
      </c>
      <c r="M163" s="27">
        <f>ROUND((O162)*(IF('Your Debts'!$G$8=0,0,INDEX('Your Debts'!$C$5:$C$12,'Your Debts'!$G$8)/12)),2)</f>
        <v/>
      </c>
      <c r="N163" s="27">
        <f>MIN((O162)+M163,MAX(0,$C163-(E163+H163+K163)))</f>
        <v/>
      </c>
      <c r="O163" s="27">
        <f>ROUND(MAX(0,(O162)+M163-N163),2)</f>
        <v/>
      </c>
      <c r="P163" s="27">
        <f>ROUND((R162)*(IF('Your Debts'!$G$9=0,0,INDEX('Your Debts'!$C$5:$C$12,'Your Debts'!$G$9)/12)),2)</f>
        <v/>
      </c>
      <c r="Q163" s="27">
        <f>MIN((R162)+P163,MAX(0,$C163-(E163+H163+K163+N163)))</f>
        <v/>
      </c>
      <c r="R163" s="27">
        <f>ROUND(MAX(0,(R162)+P163-Q163),2)</f>
        <v/>
      </c>
      <c r="S163" s="27">
        <f>ROUND((U162)*(IF('Your Debts'!$G$10=0,0,INDEX('Your Debts'!$C$5:$C$12,'Your Debts'!$G$10)/12)),2)</f>
        <v/>
      </c>
      <c r="T163" s="27">
        <f>MIN((U162)+S163,MAX(0,$C163-(E163+H163+K163+N163+Q163)))</f>
        <v/>
      </c>
      <c r="U163" s="27">
        <f>ROUND(MAX(0,(U162)+S163-T163),2)</f>
        <v/>
      </c>
      <c r="V163" s="27">
        <f>ROUND((X162)*(IF('Your Debts'!$G$11=0,0,INDEX('Your Debts'!$C$5:$C$12,'Your Debts'!$G$11)/12)),2)</f>
        <v/>
      </c>
      <c r="W163" s="27">
        <f>MIN((X162)+V163,MAX(0,$C163-(E163+H163+K163+N163+Q163+T163)))</f>
        <v/>
      </c>
      <c r="X163" s="27">
        <f>ROUND(MAX(0,(X162)+V163-W163),2)</f>
        <v/>
      </c>
      <c r="Y163" s="27">
        <f>ROUND((AA162)*(IF('Your Debts'!$G$12=0,0,INDEX('Your Debts'!$C$5:$C$12,'Your Debts'!$G$12)/12)),2)</f>
        <v/>
      </c>
      <c r="Z163" s="27">
        <f>MIN((AA162)+Y163,MAX(0,$C163-(E163+H163+K163+N163+Q163+T163+W163)))</f>
        <v/>
      </c>
      <c r="AA163" s="27">
        <f>ROUND(MAX(0,(AA162)+Y163-Z163),2)</f>
        <v/>
      </c>
      <c r="AB163" s="18">
        <f>F163+I163+L163+O163+R163+U163+X163+AA163</f>
        <v/>
      </c>
      <c r="AC163" s="26">
        <f>AC162+D163+G163+J163+M163+P163+S163+V163+Y163</f>
        <v/>
      </c>
    </row>
    <row r="164">
      <c r="A164" s="24" t="n">
        <v>159</v>
      </c>
      <c r="B164" s="25">
        <f>EDATE('Your Debts'!$B$19,158)</f>
        <v/>
      </c>
      <c r="C164" s="26">
        <f>'Your Debts'!$B$18</f>
        <v/>
      </c>
      <c r="D164" s="27">
        <f>ROUND((F163)*(IF('Your Debts'!$G$5=0,0,INDEX('Your Debts'!$C$5:$C$12,'Your Debts'!$G$5)/12)),2)</f>
        <v/>
      </c>
      <c r="E164" s="27">
        <f>MIN((F163)+D164,MAX(0,$C164-(0)))</f>
        <v/>
      </c>
      <c r="F164" s="27">
        <f>ROUND(MAX(0,(F163)+D164-E164),2)</f>
        <v/>
      </c>
      <c r="G164" s="27">
        <f>ROUND((I163)*(IF('Your Debts'!$G$6=0,0,INDEX('Your Debts'!$C$5:$C$12,'Your Debts'!$G$6)/12)),2)</f>
        <v/>
      </c>
      <c r="H164" s="27">
        <f>MIN((I163)+G164,MAX(0,$C164-(E164)))</f>
        <v/>
      </c>
      <c r="I164" s="27">
        <f>ROUND(MAX(0,(I163)+G164-H164),2)</f>
        <v/>
      </c>
      <c r="J164" s="27">
        <f>ROUND((L163)*(IF('Your Debts'!$G$7=0,0,INDEX('Your Debts'!$C$5:$C$12,'Your Debts'!$G$7)/12)),2)</f>
        <v/>
      </c>
      <c r="K164" s="27">
        <f>MIN((L163)+J164,MAX(0,$C164-(E164+H164)))</f>
        <v/>
      </c>
      <c r="L164" s="27">
        <f>ROUND(MAX(0,(L163)+J164-K164),2)</f>
        <v/>
      </c>
      <c r="M164" s="27">
        <f>ROUND((O163)*(IF('Your Debts'!$G$8=0,0,INDEX('Your Debts'!$C$5:$C$12,'Your Debts'!$G$8)/12)),2)</f>
        <v/>
      </c>
      <c r="N164" s="27">
        <f>MIN((O163)+M164,MAX(0,$C164-(E164+H164+K164)))</f>
        <v/>
      </c>
      <c r="O164" s="27">
        <f>ROUND(MAX(0,(O163)+M164-N164),2)</f>
        <v/>
      </c>
      <c r="P164" s="27">
        <f>ROUND((R163)*(IF('Your Debts'!$G$9=0,0,INDEX('Your Debts'!$C$5:$C$12,'Your Debts'!$G$9)/12)),2)</f>
        <v/>
      </c>
      <c r="Q164" s="27">
        <f>MIN((R163)+P164,MAX(0,$C164-(E164+H164+K164+N164)))</f>
        <v/>
      </c>
      <c r="R164" s="27">
        <f>ROUND(MAX(0,(R163)+P164-Q164),2)</f>
        <v/>
      </c>
      <c r="S164" s="27">
        <f>ROUND((U163)*(IF('Your Debts'!$G$10=0,0,INDEX('Your Debts'!$C$5:$C$12,'Your Debts'!$G$10)/12)),2)</f>
        <v/>
      </c>
      <c r="T164" s="27">
        <f>MIN((U163)+S164,MAX(0,$C164-(E164+H164+K164+N164+Q164)))</f>
        <v/>
      </c>
      <c r="U164" s="27">
        <f>ROUND(MAX(0,(U163)+S164-T164),2)</f>
        <v/>
      </c>
      <c r="V164" s="27">
        <f>ROUND((X163)*(IF('Your Debts'!$G$11=0,0,INDEX('Your Debts'!$C$5:$C$12,'Your Debts'!$G$11)/12)),2)</f>
        <v/>
      </c>
      <c r="W164" s="27">
        <f>MIN((X163)+V164,MAX(0,$C164-(E164+H164+K164+N164+Q164+T164)))</f>
        <v/>
      </c>
      <c r="X164" s="27">
        <f>ROUND(MAX(0,(X163)+V164-W164),2)</f>
        <v/>
      </c>
      <c r="Y164" s="27">
        <f>ROUND((AA163)*(IF('Your Debts'!$G$12=0,0,INDEX('Your Debts'!$C$5:$C$12,'Your Debts'!$G$12)/12)),2)</f>
        <v/>
      </c>
      <c r="Z164" s="27">
        <f>MIN((AA163)+Y164,MAX(0,$C164-(E164+H164+K164+N164+Q164+T164+W164)))</f>
        <v/>
      </c>
      <c r="AA164" s="27">
        <f>ROUND(MAX(0,(AA163)+Y164-Z164),2)</f>
        <v/>
      </c>
      <c r="AB164" s="18">
        <f>F164+I164+L164+O164+R164+U164+X164+AA164</f>
        <v/>
      </c>
      <c r="AC164" s="26">
        <f>AC163+D164+G164+J164+M164+P164+S164+V164+Y164</f>
        <v/>
      </c>
    </row>
    <row r="165">
      <c r="A165" s="24" t="n">
        <v>160</v>
      </c>
      <c r="B165" s="25">
        <f>EDATE('Your Debts'!$B$19,159)</f>
        <v/>
      </c>
      <c r="C165" s="26">
        <f>'Your Debts'!$B$18</f>
        <v/>
      </c>
      <c r="D165" s="27">
        <f>ROUND((F164)*(IF('Your Debts'!$G$5=0,0,INDEX('Your Debts'!$C$5:$C$12,'Your Debts'!$G$5)/12)),2)</f>
        <v/>
      </c>
      <c r="E165" s="27">
        <f>MIN((F164)+D165,MAX(0,$C165-(0)))</f>
        <v/>
      </c>
      <c r="F165" s="27">
        <f>ROUND(MAX(0,(F164)+D165-E165),2)</f>
        <v/>
      </c>
      <c r="G165" s="27">
        <f>ROUND((I164)*(IF('Your Debts'!$G$6=0,0,INDEX('Your Debts'!$C$5:$C$12,'Your Debts'!$G$6)/12)),2)</f>
        <v/>
      </c>
      <c r="H165" s="27">
        <f>MIN((I164)+G165,MAX(0,$C165-(E165)))</f>
        <v/>
      </c>
      <c r="I165" s="27">
        <f>ROUND(MAX(0,(I164)+G165-H165),2)</f>
        <v/>
      </c>
      <c r="J165" s="27">
        <f>ROUND((L164)*(IF('Your Debts'!$G$7=0,0,INDEX('Your Debts'!$C$5:$C$12,'Your Debts'!$G$7)/12)),2)</f>
        <v/>
      </c>
      <c r="K165" s="27">
        <f>MIN((L164)+J165,MAX(0,$C165-(E165+H165)))</f>
        <v/>
      </c>
      <c r="L165" s="27">
        <f>ROUND(MAX(0,(L164)+J165-K165),2)</f>
        <v/>
      </c>
      <c r="M165" s="27">
        <f>ROUND((O164)*(IF('Your Debts'!$G$8=0,0,INDEX('Your Debts'!$C$5:$C$12,'Your Debts'!$G$8)/12)),2)</f>
        <v/>
      </c>
      <c r="N165" s="27">
        <f>MIN((O164)+M165,MAX(0,$C165-(E165+H165+K165)))</f>
        <v/>
      </c>
      <c r="O165" s="27">
        <f>ROUND(MAX(0,(O164)+M165-N165),2)</f>
        <v/>
      </c>
      <c r="P165" s="27">
        <f>ROUND((R164)*(IF('Your Debts'!$G$9=0,0,INDEX('Your Debts'!$C$5:$C$12,'Your Debts'!$G$9)/12)),2)</f>
        <v/>
      </c>
      <c r="Q165" s="27">
        <f>MIN((R164)+P165,MAX(0,$C165-(E165+H165+K165+N165)))</f>
        <v/>
      </c>
      <c r="R165" s="27">
        <f>ROUND(MAX(0,(R164)+P165-Q165),2)</f>
        <v/>
      </c>
      <c r="S165" s="27">
        <f>ROUND((U164)*(IF('Your Debts'!$G$10=0,0,INDEX('Your Debts'!$C$5:$C$12,'Your Debts'!$G$10)/12)),2)</f>
        <v/>
      </c>
      <c r="T165" s="27">
        <f>MIN((U164)+S165,MAX(0,$C165-(E165+H165+K165+N165+Q165)))</f>
        <v/>
      </c>
      <c r="U165" s="27">
        <f>ROUND(MAX(0,(U164)+S165-T165),2)</f>
        <v/>
      </c>
      <c r="V165" s="27">
        <f>ROUND((X164)*(IF('Your Debts'!$G$11=0,0,INDEX('Your Debts'!$C$5:$C$12,'Your Debts'!$G$11)/12)),2)</f>
        <v/>
      </c>
      <c r="W165" s="27">
        <f>MIN((X164)+V165,MAX(0,$C165-(E165+H165+K165+N165+Q165+T165)))</f>
        <v/>
      </c>
      <c r="X165" s="27">
        <f>ROUND(MAX(0,(X164)+V165-W165),2)</f>
        <v/>
      </c>
      <c r="Y165" s="27">
        <f>ROUND((AA164)*(IF('Your Debts'!$G$12=0,0,INDEX('Your Debts'!$C$5:$C$12,'Your Debts'!$G$12)/12)),2)</f>
        <v/>
      </c>
      <c r="Z165" s="27">
        <f>MIN((AA164)+Y165,MAX(0,$C165-(E165+H165+K165+N165+Q165+T165+W165)))</f>
        <v/>
      </c>
      <c r="AA165" s="27">
        <f>ROUND(MAX(0,(AA164)+Y165-Z165),2)</f>
        <v/>
      </c>
      <c r="AB165" s="18">
        <f>F165+I165+L165+O165+R165+U165+X165+AA165</f>
        <v/>
      </c>
      <c r="AC165" s="26">
        <f>AC164+D165+G165+J165+M165+P165+S165+V165+Y165</f>
        <v/>
      </c>
    </row>
    <row r="166">
      <c r="A166" s="24" t="n">
        <v>161</v>
      </c>
      <c r="B166" s="25">
        <f>EDATE('Your Debts'!$B$19,160)</f>
        <v/>
      </c>
      <c r="C166" s="26">
        <f>'Your Debts'!$B$18</f>
        <v/>
      </c>
      <c r="D166" s="27">
        <f>ROUND((F165)*(IF('Your Debts'!$G$5=0,0,INDEX('Your Debts'!$C$5:$C$12,'Your Debts'!$G$5)/12)),2)</f>
        <v/>
      </c>
      <c r="E166" s="27">
        <f>MIN((F165)+D166,MAX(0,$C166-(0)))</f>
        <v/>
      </c>
      <c r="F166" s="27">
        <f>ROUND(MAX(0,(F165)+D166-E166),2)</f>
        <v/>
      </c>
      <c r="G166" s="27">
        <f>ROUND((I165)*(IF('Your Debts'!$G$6=0,0,INDEX('Your Debts'!$C$5:$C$12,'Your Debts'!$G$6)/12)),2)</f>
        <v/>
      </c>
      <c r="H166" s="27">
        <f>MIN((I165)+G166,MAX(0,$C166-(E166)))</f>
        <v/>
      </c>
      <c r="I166" s="27">
        <f>ROUND(MAX(0,(I165)+G166-H166),2)</f>
        <v/>
      </c>
      <c r="J166" s="27">
        <f>ROUND((L165)*(IF('Your Debts'!$G$7=0,0,INDEX('Your Debts'!$C$5:$C$12,'Your Debts'!$G$7)/12)),2)</f>
        <v/>
      </c>
      <c r="K166" s="27">
        <f>MIN((L165)+J166,MAX(0,$C166-(E166+H166)))</f>
        <v/>
      </c>
      <c r="L166" s="27">
        <f>ROUND(MAX(0,(L165)+J166-K166),2)</f>
        <v/>
      </c>
      <c r="M166" s="27">
        <f>ROUND((O165)*(IF('Your Debts'!$G$8=0,0,INDEX('Your Debts'!$C$5:$C$12,'Your Debts'!$G$8)/12)),2)</f>
        <v/>
      </c>
      <c r="N166" s="27">
        <f>MIN((O165)+M166,MAX(0,$C166-(E166+H166+K166)))</f>
        <v/>
      </c>
      <c r="O166" s="27">
        <f>ROUND(MAX(0,(O165)+M166-N166),2)</f>
        <v/>
      </c>
      <c r="P166" s="27">
        <f>ROUND((R165)*(IF('Your Debts'!$G$9=0,0,INDEX('Your Debts'!$C$5:$C$12,'Your Debts'!$G$9)/12)),2)</f>
        <v/>
      </c>
      <c r="Q166" s="27">
        <f>MIN((R165)+P166,MAX(0,$C166-(E166+H166+K166+N166)))</f>
        <v/>
      </c>
      <c r="R166" s="27">
        <f>ROUND(MAX(0,(R165)+P166-Q166),2)</f>
        <v/>
      </c>
      <c r="S166" s="27">
        <f>ROUND((U165)*(IF('Your Debts'!$G$10=0,0,INDEX('Your Debts'!$C$5:$C$12,'Your Debts'!$G$10)/12)),2)</f>
        <v/>
      </c>
      <c r="T166" s="27">
        <f>MIN((U165)+S166,MAX(0,$C166-(E166+H166+K166+N166+Q166)))</f>
        <v/>
      </c>
      <c r="U166" s="27">
        <f>ROUND(MAX(0,(U165)+S166-T166),2)</f>
        <v/>
      </c>
      <c r="V166" s="27">
        <f>ROUND((X165)*(IF('Your Debts'!$G$11=0,0,INDEX('Your Debts'!$C$5:$C$12,'Your Debts'!$G$11)/12)),2)</f>
        <v/>
      </c>
      <c r="W166" s="27">
        <f>MIN((X165)+V166,MAX(0,$C166-(E166+H166+K166+N166+Q166+T166)))</f>
        <v/>
      </c>
      <c r="X166" s="27">
        <f>ROUND(MAX(0,(X165)+V166-W166),2)</f>
        <v/>
      </c>
      <c r="Y166" s="27">
        <f>ROUND((AA165)*(IF('Your Debts'!$G$12=0,0,INDEX('Your Debts'!$C$5:$C$12,'Your Debts'!$G$12)/12)),2)</f>
        <v/>
      </c>
      <c r="Z166" s="27">
        <f>MIN((AA165)+Y166,MAX(0,$C166-(E166+H166+K166+N166+Q166+T166+W166)))</f>
        <v/>
      </c>
      <c r="AA166" s="27">
        <f>ROUND(MAX(0,(AA165)+Y166-Z166),2)</f>
        <v/>
      </c>
      <c r="AB166" s="18">
        <f>F166+I166+L166+O166+R166+U166+X166+AA166</f>
        <v/>
      </c>
      <c r="AC166" s="26">
        <f>AC165+D166+G166+J166+M166+P166+S166+V166+Y166</f>
        <v/>
      </c>
    </row>
    <row r="167">
      <c r="A167" s="24" t="n">
        <v>162</v>
      </c>
      <c r="B167" s="25">
        <f>EDATE('Your Debts'!$B$19,161)</f>
        <v/>
      </c>
      <c r="C167" s="26">
        <f>'Your Debts'!$B$18</f>
        <v/>
      </c>
      <c r="D167" s="27">
        <f>ROUND((F166)*(IF('Your Debts'!$G$5=0,0,INDEX('Your Debts'!$C$5:$C$12,'Your Debts'!$G$5)/12)),2)</f>
        <v/>
      </c>
      <c r="E167" s="27">
        <f>MIN((F166)+D167,MAX(0,$C167-(0)))</f>
        <v/>
      </c>
      <c r="F167" s="27">
        <f>ROUND(MAX(0,(F166)+D167-E167),2)</f>
        <v/>
      </c>
      <c r="G167" s="27">
        <f>ROUND((I166)*(IF('Your Debts'!$G$6=0,0,INDEX('Your Debts'!$C$5:$C$12,'Your Debts'!$G$6)/12)),2)</f>
        <v/>
      </c>
      <c r="H167" s="27">
        <f>MIN((I166)+G167,MAX(0,$C167-(E167)))</f>
        <v/>
      </c>
      <c r="I167" s="27">
        <f>ROUND(MAX(0,(I166)+G167-H167),2)</f>
        <v/>
      </c>
      <c r="J167" s="27">
        <f>ROUND((L166)*(IF('Your Debts'!$G$7=0,0,INDEX('Your Debts'!$C$5:$C$12,'Your Debts'!$G$7)/12)),2)</f>
        <v/>
      </c>
      <c r="K167" s="27">
        <f>MIN((L166)+J167,MAX(0,$C167-(E167+H167)))</f>
        <v/>
      </c>
      <c r="L167" s="27">
        <f>ROUND(MAX(0,(L166)+J167-K167),2)</f>
        <v/>
      </c>
      <c r="M167" s="27">
        <f>ROUND((O166)*(IF('Your Debts'!$G$8=0,0,INDEX('Your Debts'!$C$5:$C$12,'Your Debts'!$G$8)/12)),2)</f>
        <v/>
      </c>
      <c r="N167" s="27">
        <f>MIN((O166)+M167,MAX(0,$C167-(E167+H167+K167)))</f>
        <v/>
      </c>
      <c r="O167" s="27">
        <f>ROUND(MAX(0,(O166)+M167-N167),2)</f>
        <v/>
      </c>
      <c r="P167" s="27">
        <f>ROUND((R166)*(IF('Your Debts'!$G$9=0,0,INDEX('Your Debts'!$C$5:$C$12,'Your Debts'!$G$9)/12)),2)</f>
        <v/>
      </c>
      <c r="Q167" s="27">
        <f>MIN((R166)+P167,MAX(0,$C167-(E167+H167+K167+N167)))</f>
        <v/>
      </c>
      <c r="R167" s="27">
        <f>ROUND(MAX(0,(R166)+P167-Q167),2)</f>
        <v/>
      </c>
      <c r="S167" s="27">
        <f>ROUND((U166)*(IF('Your Debts'!$G$10=0,0,INDEX('Your Debts'!$C$5:$C$12,'Your Debts'!$G$10)/12)),2)</f>
        <v/>
      </c>
      <c r="T167" s="27">
        <f>MIN((U166)+S167,MAX(0,$C167-(E167+H167+K167+N167+Q167)))</f>
        <v/>
      </c>
      <c r="U167" s="27">
        <f>ROUND(MAX(0,(U166)+S167-T167),2)</f>
        <v/>
      </c>
      <c r="V167" s="27">
        <f>ROUND((X166)*(IF('Your Debts'!$G$11=0,0,INDEX('Your Debts'!$C$5:$C$12,'Your Debts'!$G$11)/12)),2)</f>
        <v/>
      </c>
      <c r="W167" s="27">
        <f>MIN((X166)+V167,MAX(0,$C167-(E167+H167+K167+N167+Q167+T167)))</f>
        <v/>
      </c>
      <c r="X167" s="27">
        <f>ROUND(MAX(0,(X166)+V167-W167),2)</f>
        <v/>
      </c>
      <c r="Y167" s="27">
        <f>ROUND((AA166)*(IF('Your Debts'!$G$12=0,0,INDEX('Your Debts'!$C$5:$C$12,'Your Debts'!$G$12)/12)),2)</f>
        <v/>
      </c>
      <c r="Z167" s="27">
        <f>MIN((AA166)+Y167,MAX(0,$C167-(E167+H167+K167+N167+Q167+T167+W167)))</f>
        <v/>
      </c>
      <c r="AA167" s="27">
        <f>ROUND(MAX(0,(AA166)+Y167-Z167),2)</f>
        <v/>
      </c>
      <c r="AB167" s="18">
        <f>F167+I167+L167+O167+R167+U167+X167+AA167</f>
        <v/>
      </c>
      <c r="AC167" s="26">
        <f>AC166+D167+G167+J167+M167+P167+S167+V167+Y167</f>
        <v/>
      </c>
    </row>
    <row r="168">
      <c r="A168" s="24" t="n">
        <v>163</v>
      </c>
      <c r="B168" s="25">
        <f>EDATE('Your Debts'!$B$19,162)</f>
        <v/>
      </c>
      <c r="C168" s="26">
        <f>'Your Debts'!$B$18</f>
        <v/>
      </c>
      <c r="D168" s="27">
        <f>ROUND((F167)*(IF('Your Debts'!$G$5=0,0,INDEX('Your Debts'!$C$5:$C$12,'Your Debts'!$G$5)/12)),2)</f>
        <v/>
      </c>
      <c r="E168" s="27">
        <f>MIN((F167)+D168,MAX(0,$C168-(0)))</f>
        <v/>
      </c>
      <c r="F168" s="27">
        <f>ROUND(MAX(0,(F167)+D168-E168),2)</f>
        <v/>
      </c>
      <c r="G168" s="27">
        <f>ROUND((I167)*(IF('Your Debts'!$G$6=0,0,INDEX('Your Debts'!$C$5:$C$12,'Your Debts'!$G$6)/12)),2)</f>
        <v/>
      </c>
      <c r="H168" s="27">
        <f>MIN((I167)+G168,MAX(0,$C168-(E168)))</f>
        <v/>
      </c>
      <c r="I168" s="27">
        <f>ROUND(MAX(0,(I167)+G168-H168),2)</f>
        <v/>
      </c>
      <c r="J168" s="27">
        <f>ROUND((L167)*(IF('Your Debts'!$G$7=0,0,INDEX('Your Debts'!$C$5:$C$12,'Your Debts'!$G$7)/12)),2)</f>
        <v/>
      </c>
      <c r="K168" s="27">
        <f>MIN((L167)+J168,MAX(0,$C168-(E168+H168)))</f>
        <v/>
      </c>
      <c r="L168" s="27">
        <f>ROUND(MAX(0,(L167)+J168-K168),2)</f>
        <v/>
      </c>
      <c r="M168" s="27">
        <f>ROUND((O167)*(IF('Your Debts'!$G$8=0,0,INDEX('Your Debts'!$C$5:$C$12,'Your Debts'!$G$8)/12)),2)</f>
        <v/>
      </c>
      <c r="N168" s="27">
        <f>MIN((O167)+M168,MAX(0,$C168-(E168+H168+K168)))</f>
        <v/>
      </c>
      <c r="O168" s="27">
        <f>ROUND(MAX(0,(O167)+M168-N168),2)</f>
        <v/>
      </c>
      <c r="P168" s="27">
        <f>ROUND((R167)*(IF('Your Debts'!$G$9=0,0,INDEX('Your Debts'!$C$5:$C$12,'Your Debts'!$G$9)/12)),2)</f>
        <v/>
      </c>
      <c r="Q168" s="27">
        <f>MIN((R167)+P168,MAX(0,$C168-(E168+H168+K168+N168)))</f>
        <v/>
      </c>
      <c r="R168" s="27">
        <f>ROUND(MAX(0,(R167)+P168-Q168),2)</f>
        <v/>
      </c>
      <c r="S168" s="27">
        <f>ROUND((U167)*(IF('Your Debts'!$G$10=0,0,INDEX('Your Debts'!$C$5:$C$12,'Your Debts'!$G$10)/12)),2)</f>
        <v/>
      </c>
      <c r="T168" s="27">
        <f>MIN((U167)+S168,MAX(0,$C168-(E168+H168+K168+N168+Q168)))</f>
        <v/>
      </c>
      <c r="U168" s="27">
        <f>ROUND(MAX(0,(U167)+S168-T168),2)</f>
        <v/>
      </c>
      <c r="V168" s="27">
        <f>ROUND((X167)*(IF('Your Debts'!$G$11=0,0,INDEX('Your Debts'!$C$5:$C$12,'Your Debts'!$G$11)/12)),2)</f>
        <v/>
      </c>
      <c r="W168" s="27">
        <f>MIN((X167)+V168,MAX(0,$C168-(E168+H168+K168+N168+Q168+T168)))</f>
        <v/>
      </c>
      <c r="X168" s="27">
        <f>ROUND(MAX(0,(X167)+V168-W168),2)</f>
        <v/>
      </c>
      <c r="Y168" s="27">
        <f>ROUND((AA167)*(IF('Your Debts'!$G$12=0,0,INDEX('Your Debts'!$C$5:$C$12,'Your Debts'!$G$12)/12)),2)</f>
        <v/>
      </c>
      <c r="Z168" s="27">
        <f>MIN((AA167)+Y168,MAX(0,$C168-(E168+H168+K168+N168+Q168+T168+W168)))</f>
        <v/>
      </c>
      <c r="AA168" s="27">
        <f>ROUND(MAX(0,(AA167)+Y168-Z168),2)</f>
        <v/>
      </c>
      <c r="AB168" s="18">
        <f>F168+I168+L168+O168+R168+U168+X168+AA168</f>
        <v/>
      </c>
      <c r="AC168" s="26">
        <f>AC167+D168+G168+J168+M168+P168+S168+V168+Y168</f>
        <v/>
      </c>
    </row>
    <row r="169">
      <c r="A169" s="24" t="n">
        <v>164</v>
      </c>
      <c r="B169" s="25">
        <f>EDATE('Your Debts'!$B$19,163)</f>
        <v/>
      </c>
      <c r="C169" s="26">
        <f>'Your Debts'!$B$18</f>
        <v/>
      </c>
      <c r="D169" s="27">
        <f>ROUND((F168)*(IF('Your Debts'!$G$5=0,0,INDEX('Your Debts'!$C$5:$C$12,'Your Debts'!$G$5)/12)),2)</f>
        <v/>
      </c>
      <c r="E169" s="27">
        <f>MIN((F168)+D169,MAX(0,$C169-(0)))</f>
        <v/>
      </c>
      <c r="F169" s="27">
        <f>ROUND(MAX(0,(F168)+D169-E169),2)</f>
        <v/>
      </c>
      <c r="G169" s="27">
        <f>ROUND((I168)*(IF('Your Debts'!$G$6=0,0,INDEX('Your Debts'!$C$5:$C$12,'Your Debts'!$G$6)/12)),2)</f>
        <v/>
      </c>
      <c r="H169" s="27">
        <f>MIN((I168)+G169,MAX(0,$C169-(E169)))</f>
        <v/>
      </c>
      <c r="I169" s="27">
        <f>ROUND(MAX(0,(I168)+G169-H169),2)</f>
        <v/>
      </c>
      <c r="J169" s="27">
        <f>ROUND((L168)*(IF('Your Debts'!$G$7=0,0,INDEX('Your Debts'!$C$5:$C$12,'Your Debts'!$G$7)/12)),2)</f>
        <v/>
      </c>
      <c r="K169" s="27">
        <f>MIN((L168)+J169,MAX(0,$C169-(E169+H169)))</f>
        <v/>
      </c>
      <c r="L169" s="27">
        <f>ROUND(MAX(0,(L168)+J169-K169),2)</f>
        <v/>
      </c>
      <c r="M169" s="27">
        <f>ROUND((O168)*(IF('Your Debts'!$G$8=0,0,INDEX('Your Debts'!$C$5:$C$12,'Your Debts'!$G$8)/12)),2)</f>
        <v/>
      </c>
      <c r="N169" s="27">
        <f>MIN((O168)+M169,MAX(0,$C169-(E169+H169+K169)))</f>
        <v/>
      </c>
      <c r="O169" s="27">
        <f>ROUND(MAX(0,(O168)+M169-N169),2)</f>
        <v/>
      </c>
      <c r="P169" s="27">
        <f>ROUND((R168)*(IF('Your Debts'!$G$9=0,0,INDEX('Your Debts'!$C$5:$C$12,'Your Debts'!$G$9)/12)),2)</f>
        <v/>
      </c>
      <c r="Q169" s="27">
        <f>MIN((R168)+P169,MAX(0,$C169-(E169+H169+K169+N169)))</f>
        <v/>
      </c>
      <c r="R169" s="27">
        <f>ROUND(MAX(0,(R168)+P169-Q169),2)</f>
        <v/>
      </c>
      <c r="S169" s="27">
        <f>ROUND((U168)*(IF('Your Debts'!$G$10=0,0,INDEX('Your Debts'!$C$5:$C$12,'Your Debts'!$G$10)/12)),2)</f>
        <v/>
      </c>
      <c r="T169" s="27">
        <f>MIN((U168)+S169,MAX(0,$C169-(E169+H169+K169+N169+Q169)))</f>
        <v/>
      </c>
      <c r="U169" s="27">
        <f>ROUND(MAX(0,(U168)+S169-T169),2)</f>
        <v/>
      </c>
      <c r="V169" s="27">
        <f>ROUND((X168)*(IF('Your Debts'!$G$11=0,0,INDEX('Your Debts'!$C$5:$C$12,'Your Debts'!$G$11)/12)),2)</f>
        <v/>
      </c>
      <c r="W169" s="27">
        <f>MIN((X168)+V169,MAX(0,$C169-(E169+H169+K169+N169+Q169+T169)))</f>
        <v/>
      </c>
      <c r="X169" s="27">
        <f>ROUND(MAX(0,(X168)+V169-W169),2)</f>
        <v/>
      </c>
      <c r="Y169" s="27">
        <f>ROUND((AA168)*(IF('Your Debts'!$G$12=0,0,INDEX('Your Debts'!$C$5:$C$12,'Your Debts'!$G$12)/12)),2)</f>
        <v/>
      </c>
      <c r="Z169" s="27">
        <f>MIN((AA168)+Y169,MAX(0,$C169-(E169+H169+K169+N169+Q169+T169+W169)))</f>
        <v/>
      </c>
      <c r="AA169" s="27">
        <f>ROUND(MAX(0,(AA168)+Y169-Z169),2)</f>
        <v/>
      </c>
      <c r="AB169" s="18">
        <f>F169+I169+L169+O169+R169+U169+X169+AA169</f>
        <v/>
      </c>
      <c r="AC169" s="26">
        <f>AC168+D169+G169+J169+M169+P169+S169+V169+Y169</f>
        <v/>
      </c>
    </row>
    <row r="170">
      <c r="A170" s="24" t="n">
        <v>165</v>
      </c>
      <c r="B170" s="25">
        <f>EDATE('Your Debts'!$B$19,164)</f>
        <v/>
      </c>
      <c r="C170" s="26">
        <f>'Your Debts'!$B$18</f>
        <v/>
      </c>
      <c r="D170" s="27">
        <f>ROUND((F169)*(IF('Your Debts'!$G$5=0,0,INDEX('Your Debts'!$C$5:$C$12,'Your Debts'!$G$5)/12)),2)</f>
        <v/>
      </c>
      <c r="E170" s="27">
        <f>MIN((F169)+D170,MAX(0,$C170-(0)))</f>
        <v/>
      </c>
      <c r="F170" s="27">
        <f>ROUND(MAX(0,(F169)+D170-E170),2)</f>
        <v/>
      </c>
      <c r="G170" s="27">
        <f>ROUND((I169)*(IF('Your Debts'!$G$6=0,0,INDEX('Your Debts'!$C$5:$C$12,'Your Debts'!$G$6)/12)),2)</f>
        <v/>
      </c>
      <c r="H170" s="27">
        <f>MIN((I169)+G170,MAX(0,$C170-(E170)))</f>
        <v/>
      </c>
      <c r="I170" s="27">
        <f>ROUND(MAX(0,(I169)+G170-H170),2)</f>
        <v/>
      </c>
      <c r="J170" s="27">
        <f>ROUND((L169)*(IF('Your Debts'!$G$7=0,0,INDEX('Your Debts'!$C$5:$C$12,'Your Debts'!$G$7)/12)),2)</f>
        <v/>
      </c>
      <c r="K170" s="27">
        <f>MIN((L169)+J170,MAX(0,$C170-(E170+H170)))</f>
        <v/>
      </c>
      <c r="L170" s="27">
        <f>ROUND(MAX(0,(L169)+J170-K170),2)</f>
        <v/>
      </c>
      <c r="M170" s="27">
        <f>ROUND((O169)*(IF('Your Debts'!$G$8=0,0,INDEX('Your Debts'!$C$5:$C$12,'Your Debts'!$G$8)/12)),2)</f>
        <v/>
      </c>
      <c r="N170" s="27">
        <f>MIN((O169)+M170,MAX(0,$C170-(E170+H170+K170)))</f>
        <v/>
      </c>
      <c r="O170" s="27">
        <f>ROUND(MAX(0,(O169)+M170-N170),2)</f>
        <v/>
      </c>
      <c r="P170" s="27">
        <f>ROUND((R169)*(IF('Your Debts'!$G$9=0,0,INDEX('Your Debts'!$C$5:$C$12,'Your Debts'!$G$9)/12)),2)</f>
        <v/>
      </c>
      <c r="Q170" s="27">
        <f>MIN((R169)+P170,MAX(0,$C170-(E170+H170+K170+N170)))</f>
        <v/>
      </c>
      <c r="R170" s="27">
        <f>ROUND(MAX(0,(R169)+P170-Q170),2)</f>
        <v/>
      </c>
      <c r="S170" s="27">
        <f>ROUND((U169)*(IF('Your Debts'!$G$10=0,0,INDEX('Your Debts'!$C$5:$C$12,'Your Debts'!$G$10)/12)),2)</f>
        <v/>
      </c>
      <c r="T170" s="27">
        <f>MIN((U169)+S170,MAX(0,$C170-(E170+H170+K170+N170+Q170)))</f>
        <v/>
      </c>
      <c r="U170" s="27">
        <f>ROUND(MAX(0,(U169)+S170-T170),2)</f>
        <v/>
      </c>
      <c r="V170" s="27">
        <f>ROUND((X169)*(IF('Your Debts'!$G$11=0,0,INDEX('Your Debts'!$C$5:$C$12,'Your Debts'!$G$11)/12)),2)</f>
        <v/>
      </c>
      <c r="W170" s="27">
        <f>MIN((X169)+V170,MAX(0,$C170-(E170+H170+K170+N170+Q170+T170)))</f>
        <v/>
      </c>
      <c r="X170" s="27">
        <f>ROUND(MAX(0,(X169)+V170-W170),2)</f>
        <v/>
      </c>
      <c r="Y170" s="27">
        <f>ROUND((AA169)*(IF('Your Debts'!$G$12=0,0,INDEX('Your Debts'!$C$5:$C$12,'Your Debts'!$G$12)/12)),2)</f>
        <v/>
      </c>
      <c r="Z170" s="27">
        <f>MIN((AA169)+Y170,MAX(0,$C170-(E170+H170+K170+N170+Q170+T170+W170)))</f>
        <v/>
      </c>
      <c r="AA170" s="27">
        <f>ROUND(MAX(0,(AA169)+Y170-Z170),2)</f>
        <v/>
      </c>
      <c r="AB170" s="18">
        <f>F170+I170+L170+O170+R170+U170+X170+AA170</f>
        <v/>
      </c>
      <c r="AC170" s="26">
        <f>AC169+D170+G170+J170+M170+P170+S170+V170+Y170</f>
        <v/>
      </c>
    </row>
    <row r="171">
      <c r="A171" s="24" t="n">
        <v>166</v>
      </c>
      <c r="B171" s="25">
        <f>EDATE('Your Debts'!$B$19,165)</f>
        <v/>
      </c>
      <c r="C171" s="26">
        <f>'Your Debts'!$B$18</f>
        <v/>
      </c>
      <c r="D171" s="27">
        <f>ROUND((F170)*(IF('Your Debts'!$G$5=0,0,INDEX('Your Debts'!$C$5:$C$12,'Your Debts'!$G$5)/12)),2)</f>
        <v/>
      </c>
      <c r="E171" s="27">
        <f>MIN((F170)+D171,MAX(0,$C171-(0)))</f>
        <v/>
      </c>
      <c r="F171" s="27">
        <f>ROUND(MAX(0,(F170)+D171-E171),2)</f>
        <v/>
      </c>
      <c r="G171" s="27">
        <f>ROUND((I170)*(IF('Your Debts'!$G$6=0,0,INDEX('Your Debts'!$C$5:$C$12,'Your Debts'!$G$6)/12)),2)</f>
        <v/>
      </c>
      <c r="H171" s="27">
        <f>MIN((I170)+G171,MAX(0,$C171-(E171)))</f>
        <v/>
      </c>
      <c r="I171" s="27">
        <f>ROUND(MAX(0,(I170)+G171-H171),2)</f>
        <v/>
      </c>
      <c r="J171" s="27">
        <f>ROUND((L170)*(IF('Your Debts'!$G$7=0,0,INDEX('Your Debts'!$C$5:$C$12,'Your Debts'!$G$7)/12)),2)</f>
        <v/>
      </c>
      <c r="K171" s="27">
        <f>MIN((L170)+J171,MAX(0,$C171-(E171+H171)))</f>
        <v/>
      </c>
      <c r="L171" s="27">
        <f>ROUND(MAX(0,(L170)+J171-K171),2)</f>
        <v/>
      </c>
      <c r="M171" s="27">
        <f>ROUND((O170)*(IF('Your Debts'!$G$8=0,0,INDEX('Your Debts'!$C$5:$C$12,'Your Debts'!$G$8)/12)),2)</f>
        <v/>
      </c>
      <c r="N171" s="27">
        <f>MIN((O170)+M171,MAX(0,$C171-(E171+H171+K171)))</f>
        <v/>
      </c>
      <c r="O171" s="27">
        <f>ROUND(MAX(0,(O170)+M171-N171),2)</f>
        <v/>
      </c>
      <c r="P171" s="27">
        <f>ROUND((R170)*(IF('Your Debts'!$G$9=0,0,INDEX('Your Debts'!$C$5:$C$12,'Your Debts'!$G$9)/12)),2)</f>
        <v/>
      </c>
      <c r="Q171" s="27">
        <f>MIN((R170)+P171,MAX(0,$C171-(E171+H171+K171+N171)))</f>
        <v/>
      </c>
      <c r="R171" s="27">
        <f>ROUND(MAX(0,(R170)+P171-Q171),2)</f>
        <v/>
      </c>
      <c r="S171" s="27">
        <f>ROUND((U170)*(IF('Your Debts'!$G$10=0,0,INDEX('Your Debts'!$C$5:$C$12,'Your Debts'!$G$10)/12)),2)</f>
        <v/>
      </c>
      <c r="T171" s="27">
        <f>MIN((U170)+S171,MAX(0,$C171-(E171+H171+K171+N171+Q171)))</f>
        <v/>
      </c>
      <c r="U171" s="27">
        <f>ROUND(MAX(0,(U170)+S171-T171),2)</f>
        <v/>
      </c>
      <c r="V171" s="27">
        <f>ROUND((X170)*(IF('Your Debts'!$G$11=0,0,INDEX('Your Debts'!$C$5:$C$12,'Your Debts'!$G$11)/12)),2)</f>
        <v/>
      </c>
      <c r="W171" s="27">
        <f>MIN((X170)+V171,MAX(0,$C171-(E171+H171+K171+N171+Q171+T171)))</f>
        <v/>
      </c>
      <c r="X171" s="27">
        <f>ROUND(MAX(0,(X170)+V171-W171),2)</f>
        <v/>
      </c>
      <c r="Y171" s="27">
        <f>ROUND((AA170)*(IF('Your Debts'!$G$12=0,0,INDEX('Your Debts'!$C$5:$C$12,'Your Debts'!$G$12)/12)),2)</f>
        <v/>
      </c>
      <c r="Z171" s="27">
        <f>MIN((AA170)+Y171,MAX(0,$C171-(E171+H171+K171+N171+Q171+T171+W171)))</f>
        <v/>
      </c>
      <c r="AA171" s="27">
        <f>ROUND(MAX(0,(AA170)+Y171-Z171),2)</f>
        <v/>
      </c>
      <c r="AB171" s="18">
        <f>F171+I171+L171+O171+R171+U171+X171+AA171</f>
        <v/>
      </c>
      <c r="AC171" s="26">
        <f>AC170+D171+G171+J171+M171+P171+S171+V171+Y171</f>
        <v/>
      </c>
    </row>
    <row r="172">
      <c r="A172" s="24" t="n">
        <v>167</v>
      </c>
      <c r="B172" s="25">
        <f>EDATE('Your Debts'!$B$19,166)</f>
        <v/>
      </c>
      <c r="C172" s="26">
        <f>'Your Debts'!$B$18</f>
        <v/>
      </c>
      <c r="D172" s="27">
        <f>ROUND((F171)*(IF('Your Debts'!$G$5=0,0,INDEX('Your Debts'!$C$5:$C$12,'Your Debts'!$G$5)/12)),2)</f>
        <v/>
      </c>
      <c r="E172" s="27">
        <f>MIN((F171)+D172,MAX(0,$C172-(0)))</f>
        <v/>
      </c>
      <c r="F172" s="27">
        <f>ROUND(MAX(0,(F171)+D172-E172),2)</f>
        <v/>
      </c>
      <c r="G172" s="27">
        <f>ROUND((I171)*(IF('Your Debts'!$G$6=0,0,INDEX('Your Debts'!$C$5:$C$12,'Your Debts'!$G$6)/12)),2)</f>
        <v/>
      </c>
      <c r="H172" s="27">
        <f>MIN((I171)+G172,MAX(0,$C172-(E172)))</f>
        <v/>
      </c>
      <c r="I172" s="27">
        <f>ROUND(MAX(0,(I171)+G172-H172),2)</f>
        <v/>
      </c>
      <c r="J172" s="27">
        <f>ROUND((L171)*(IF('Your Debts'!$G$7=0,0,INDEX('Your Debts'!$C$5:$C$12,'Your Debts'!$G$7)/12)),2)</f>
        <v/>
      </c>
      <c r="K172" s="27">
        <f>MIN((L171)+J172,MAX(0,$C172-(E172+H172)))</f>
        <v/>
      </c>
      <c r="L172" s="27">
        <f>ROUND(MAX(0,(L171)+J172-K172),2)</f>
        <v/>
      </c>
      <c r="M172" s="27">
        <f>ROUND((O171)*(IF('Your Debts'!$G$8=0,0,INDEX('Your Debts'!$C$5:$C$12,'Your Debts'!$G$8)/12)),2)</f>
        <v/>
      </c>
      <c r="N172" s="27">
        <f>MIN((O171)+M172,MAX(0,$C172-(E172+H172+K172)))</f>
        <v/>
      </c>
      <c r="O172" s="27">
        <f>ROUND(MAX(0,(O171)+M172-N172),2)</f>
        <v/>
      </c>
      <c r="P172" s="27">
        <f>ROUND((R171)*(IF('Your Debts'!$G$9=0,0,INDEX('Your Debts'!$C$5:$C$12,'Your Debts'!$G$9)/12)),2)</f>
        <v/>
      </c>
      <c r="Q172" s="27">
        <f>MIN((R171)+P172,MAX(0,$C172-(E172+H172+K172+N172)))</f>
        <v/>
      </c>
      <c r="R172" s="27">
        <f>ROUND(MAX(0,(R171)+P172-Q172),2)</f>
        <v/>
      </c>
      <c r="S172" s="27">
        <f>ROUND((U171)*(IF('Your Debts'!$G$10=0,0,INDEX('Your Debts'!$C$5:$C$12,'Your Debts'!$G$10)/12)),2)</f>
        <v/>
      </c>
      <c r="T172" s="27">
        <f>MIN((U171)+S172,MAX(0,$C172-(E172+H172+K172+N172+Q172)))</f>
        <v/>
      </c>
      <c r="U172" s="27">
        <f>ROUND(MAX(0,(U171)+S172-T172),2)</f>
        <v/>
      </c>
      <c r="V172" s="27">
        <f>ROUND((X171)*(IF('Your Debts'!$G$11=0,0,INDEX('Your Debts'!$C$5:$C$12,'Your Debts'!$G$11)/12)),2)</f>
        <v/>
      </c>
      <c r="W172" s="27">
        <f>MIN((X171)+V172,MAX(0,$C172-(E172+H172+K172+N172+Q172+T172)))</f>
        <v/>
      </c>
      <c r="X172" s="27">
        <f>ROUND(MAX(0,(X171)+V172-W172),2)</f>
        <v/>
      </c>
      <c r="Y172" s="27">
        <f>ROUND((AA171)*(IF('Your Debts'!$G$12=0,0,INDEX('Your Debts'!$C$5:$C$12,'Your Debts'!$G$12)/12)),2)</f>
        <v/>
      </c>
      <c r="Z172" s="27">
        <f>MIN((AA171)+Y172,MAX(0,$C172-(E172+H172+K172+N172+Q172+T172+W172)))</f>
        <v/>
      </c>
      <c r="AA172" s="27">
        <f>ROUND(MAX(0,(AA171)+Y172-Z172),2)</f>
        <v/>
      </c>
      <c r="AB172" s="18">
        <f>F172+I172+L172+O172+R172+U172+X172+AA172</f>
        <v/>
      </c>
      <c r="AC172" s="26">
        <f>AC171+D172+G172+J172+M172+P172+S172+V172+Y172</f>
        <v/>
      </c>
    </row>
    <row r="173">
      <c r="A173" s="24" t="n">
        <v>168</v>
      </c>
      <c r="B173" s="25">
        <f>EDATE('Your Debts'!$B$19,167)</f>
        <v/>
      </c>
      <c r="C173" s="26">
        <f>'Your Debts'!$B$18</f>
        <v/>
      </c>
      <c r="D173" s="27">
        <f>ROUND((F172)*(IF('Your Debts'!$G$5=0,0,INDEX('Your Debts'!$C$5:$C$12,'Your Debts'!$G$5)/12)),2)</f>
        <v/>
      </c>
      <c r="E173" s="27">
        <f>MIN((F172)+D173,MAX(0,$C173-(0)))</f>
        <v/>
      </c>
      <c r="F173" s="27">
        <f>ROUND(MAX(0,(F172)+D173-E173),2)</f>
        <v/>
      </c>
      <c r="G173" s="27">
        <f>ROUND((I172)*(IF('Your Debts'!$G$6=0,0,INDEX('Your Debts'!$C$5:$C$12,'Your Debts'!$G$6)/12)),2)</f>
        <v/>
      </c>
      <c r="H173" s="27">
        <f>MIN((I172)+G173,MAX(0,$C173-(E173)))</f>
        <v/>
      </c>
      <c r="I173" s="27">
        <f>ROUND(MAX(0,(I172)+G173-H173),2)</f>
        <v/>
      </c>
      <c r="J173" s="27">
        <f>ROUND((L172)*(IF('Your Debts'!$G$7=0,0,INDEX('Your Debts'!$C$5:$C$12,'Your Debts'!$G$7)/12)),2)</f>
        <v/>
      </c>
      <c r="K173" s="27">
        <f>MIN((L172)+J173,MAX(0,$C173-(E173+H173)))</f>
        <v/>
      </c>
      <c r="L173" s="27">
        <f>ROUND(MAX(0,(L172)+J173-K173),2)</f>
        <v/>
      </c>
      <c r="M173" s="27">
        <f>ROUND((O172)*(IF('Your Debts'!$G$8=0,0,INDEX('Your Debts'!$C$5:$C$12,'Your Debts'!$G$8)/12)),2)</f>
        <v/>
      </c>
      <c r="N173" s="27">
        <f>MIN((O172)+M173,MAX(0,$C173-(E173+H173+K173)))</f>
        <v/>
      </c>
      <c r="O173" s="27">
        <f>ROUND(MAX(0,(O172)+M173-N173),2)</f>
        <v/>
      </c>
      <c r="P173" s="27">
        <f>ROUND((R172)*(IF('Your Debts'!$G$9=0,0,INDEX('Your Debts'!$C$5:$C$12,'Your Debts'!$G$9)/12)),2)</f>
        <v/>
      </c>
      <c r="Q173" s="27">
        <f>MIN((R172)+P173,MAX(0,$C173-(E173+H173+K173+N173)))</f>
        <v/>
      </c>
      <c r="R173" s="27">
        <f>ROUND(MAX(0,(R172)+P173-Q173),2)</f>
        <v/>
      </c>
      <c r="S173" s="27">
        <f>ROUND((U172)*(IF('Your Debts'!$G$10=0,0,INDEX('Your Debts'!$C$5:$C$12,'Your Debts'!$G$10)/12)),2)</f>
        <v/>
      </c>
      <c r="T173" s="27">
        <f>MIN((U172)+S173,MAX(0,$C173-(E173+H173+K173+N173+Q173)))</f>
        <v/>
      </c>
      <c r="U173" s="27">
        <f>ROUND(MAX(0,(U172)+S173-T173),2)</f>
        <v/>
      </c>
      <c r="V173" s="27">
        <f>ROUND((X172)*(IF('Your Debts'!$G$11=0,0,INDEX('Your Debts'!$C$5:$C$12,'Your Debts'!$G$11)/12)),2)</f>
        <v/>
      </c>
      <c r="W173" s="27">
        <f>MIN((X172)+V173,MAX(0,$C173-(E173+H173+K173+N173+Q173+T173)))</f>
        <v/>
      </c>
      <c r="X173" s="27">
        <f>ROUND(MAX(0,(X172)+V173-W173),2)</f>
        <v/>
      </c>
      <c r="Y173" s="27">
        <f>ROUND((AA172)*(IF('Your Debts'!$G$12=0,0,INDEX('Your Debts'!$C$5:$C$12,'Your Debts'!$G$12)/12)),2)</f>
        <v/>
      </c>
      <c r="Z173" s="27">
        <f>MIN((AA172)+Y173,MAX(0,$C173-(E173+H173+K173+N173+Q173+T173+W173)))</f>
        <v/>
      </c>
      <c r="AA173" s="27">
        <f>ROUND(MAX(0,(AA172)+Y173-Z173),2)</f>
        <v/>
      </c>
      <c r="AB173" s="18">
        <f>F173+I173+L173+O173+R173+U173+X173+AA173</f>
        <v/>
      </c>
      <c r="AC173" s="26">
        <f>AC172+D173+G173+J173+M173+P173+S173+V173+Y173</f>
        <v/>
      </c>
    </row>
    <row r="174">
      <c r="A174" s="24" t="n">
        <v>169</v>
      </c>
      <c r="B174" s="25">
        <f>EDATE('Your Debts'!$B$19,168)</f>
        <v/>
      </c>
      <c r="C174" s="26">
        <f>'Your Debts'!$B$18</f>
        <v/>
      </c>
      <c r="D174" s="27">
        <f>ROUND((F173)*(IF('Your Debts'!$G$5=0,0,INDEX('Your Debts'!$C$5:$C$12,'Your Debts'!$G$5)/12)),2)</f>
        <v/>
      </c>
      <c r="E174" s="27">
        <f>MIN((F173)+D174,MAX(0,$C174-(0)))</f>
        <v/>
      </c>
      <c r="F174" s="27">
        <f>ROUND(MAX(0,(F173)+D174-E174),2)</f>
        <v/>
      </c>
      <c r="G174" s="27">
        <f>ROUND((I173)*(IF('Your Debts'!$G$6=0,0,INDEX('Your Debts'!$C$5:$C$12,'Your Debts'!$G$6)/12)),2)</f>
        <v/>
      </c>
      <c r="H174" s="27">
        <f>MIN((I173)+G174,MAX(0,$C174-(E174)))</f>
        <v/>
      </c>
      <c r="I174" s="27">
        <f>ROUND(MAX(0,(I173)+G174-H174),2)</f>
        <v/>
      </c>
      <c r="J174" s="27">
        <f>ROUND((L173)*(IF('Your Debts'!$G$7=0,0,INDEX('Your Debts'!$C$5:$C$12,'Your Debts'!$G$7)/12)),2)</f>
        <v/>
      </c>
      <c r="K174" s="27">
        <f>MIN((L173)+J174,MAX(0,$C174-(E174+H174)))</f>
        <v/>
      </c>
      <c r="L174" s="27">
        <f>ROUND(MAX(0,(L173)+J174-K174),2)</f>
        <v/>
      </c>
      <c r="M174" s="27">
        <f>ROUND((O173)*(IF('Your Debts'!$G$8=0,0,INDEX('Your Debts'!$C$5:$C$12,'Your Debts'!$G$8)/12)),2)</f>
        <v/>
      </c>
      <c r="N174" s="27">
        <f>MIN((O173)+M174,MAX(0,$C174-(E174+H174+K174)))</f>
        <v/>
      </c>
      <c r="O174" s="27">
        <f>ROUND(MAX(0,(O173)+M174-N174),2)</f>
        <v/>
      </c>
      <c r="P174" s="27">
        <f>ROUND((R173)*(IF('Your Debts'!$G$9=0,0,INDEX('Your Debts'!$C$5:$C$12,'Your Debts'!$G$9)/12)),2)</f>
        <v/>
      </c>
      <c r="Q174" s="27">
        <f>MIN((R173)+P174,MAX(0,$C174-(E174+H174+K174+N174)))</f>
        <v/>
      </c>
      <c r="R174" s="27">
        <f>ROUND(MAX(0,(R173)+P174-Q174),2)</f>
        <v/>
      </c>
      <c r="S174" s="27">
        <f>ROUND((U173)*(IF('Your Debts'!$G$10=0,0,INDEX('Your Debts'!$C$5:$C$12,'Your Debts'!$G$10)/12)),2)</f>
        <v/>
      </c>
      <c r="T174" s="27">
        <f>MIN((U173)+S174,MAX(0,$C174-(E174+H174+K174+N174+Q174)))</f>
        <v/>
      </c>
      <c r="U174" s="27">
        <f>ROUND(MAX(0,(U173)+S174-T174),2)</f>
        <v/>
      </c>
      <c r="V174" s="27">
        <f>ROUND((X173)*(IF('Your Debts'!$G$11=0,0,INDEX('Your Debts'!$C$5:$C$12,'Your Debts'!$G$11)/12)),2)</f>
        <v/>
      </c>
      <c r="W174" s="27">
        <f>MIN((X173)+V174,MAX(0,$C174-(E174+H174+K174+N174+Q174+T174)))</f>
        <v/>
      </c>
      <c r="X174" s="27">
        <f>ROUND(MAX(0,(X173)+V174-W174),2)</f>
        <v/>
      </c>
      <c r="Y174" s="27">
        <f>ROUND((AA173)*(IF('Your Debts'!$G$12=0,0,INDEX('Your Debts'!$C$5:$C$12,'Your Debts'!$G$12)/12)),2)</f>
        <v/>
      </c>
      <c r="Z174" s="27">
        <f>MIN((AA173)+Y174,MAX(0,$C174-(E174+H174+K174+N174+Q174+T174+W174)))</f>
        <v/>
      </c>
      <c r="AA174" s="27">
        <f>ROUND(MAX(0,(AA173)+Y174-Z174),2)</f>
        <v/>
      </c>
      <c r="AB174" s="18">
        <f>F174+I174+L174+O174+R174+U174+X174+AA174</f>
        <v/>
      </c>
      <c r="AC174" s="26">
        <f>AC173+D174+G174+J174+M174+P174+S174+V174+Y174</f>
        <v/>
      </c>
    </row>
    <row r="175">
      <c r="A175" s="24" t="n">
        <v>170</v>
      </c>
      <c r="B175" s="25">
        <f>EDATE('Your Debts'!$B$19,169)</f>
        <v/>
      </c>
      <c r="C175" s="26">
        <f>'Your Debts'!$B$18</f>
        <v/>
      </c>
      <c r="D175" s="27">
        <f>ROUND((F174)*(IF('Your Debts'!$G$5=0,0,INDEX('Your Debts'!$C$5:$C$12,'Your Debts'!$G$5)/12)),2)</f>
        <v/>
      </c>
      <c r="E175" s="27">
        <f>MIN((F174)+D175,MAX(0,$C175-(0)))</f>
        <v/>
      </c>
      <c r="F175" s="27">
        <f>ROUND(MAX(0,(F174)+D175-E175),2)</f>
        <v/>
      </c>
      <c r="G175" s="27">
        <f>ROUND((I174)*(IF('Your Debts'!$G$6=0,0,INDEX('Your Debts'!$C$5:$C$12,'Your Debts'!$G$6)/12)),2)</f>
        <v/>
      </c>
      <c r="H175" s="27">
        <f>MIN((I174)+G175,MAX(0,$C175-(E175)))</f>
        <v/>
      </c>
      <c r="I175" s="27">
        <f>ROUND(MAX(0,(I174)+G175-H175),2)</f>
        <v/>
      </c>
      <c r="J175" s="27">
        <f>ROUND((L174)*(IF('Your Debts'!$G$7=0,0,INDEX('Your Debts'!$C$5:$C$12,'Your Debts'!$G$7)/12)),2)</f>
        <v/>
      </c>
      <c r="K175" s="27">
        <f>MIN((L174)+J175,MAX(0,$C175-(E175+H175)))</f>
        <v/>
      </c>
      <c r="L175" s="27">
        <f>ROUND(MAX(0,(L174)+J175-K175),2)</f>
        <v/>
      </c>
      <c r="M175" s="27">
        <f>ROUND((O174)*(IF('Your Debts'!$G$8=0,0,INDEX('Your Debts'!$C$5:$C$12,'Your Debts'!$G$8)/12)),2)</f>
        <v/>
      </c>
      <c r="N175" s="27">
        <f>MIN((O174)+M175,MAX(0,$C175-(E175+H175+K175)))</f>
        <v/>
      </c>
      <c r="O175" s="27">
        <f>ROUND(MAX(0,(O174)+M175-N175),2)</f>
        <v/>
      </c>
      <c r="P175" s="27">
        <f>ROUND((R174)*(IF('Your Debts'!$G$9=0,0,INDEX('Your Debts'!$C$5:$C$12,'Your Debts'!$G$9)/12)),2)</f>
        <v/>
      </c>
      <c r="Q175" s="27">
        <f>MIN((R174)+P175,MAX(0,$C175-(E175+H175+K175+N175)))</f>
        <v/>
      </c>
      <c r="R175" s="27">
        <f>ROUND(MAX(0,(R174)+P175-Q175),2)</f>
        <v/>
      </c>
      <c r="S175" s="27">
        <f>ROUND((U174)*(IF('Your Debts'!$G$10=0,0,INDEX('Your Debts'!$C$5:$C$12,'Your Debts'!$G$10)/12)),2)</f>
        <v/>
      </c>
      <c r="T175" s="27">
        <f>MIN((U174)+S175,MAX(0,$C175-(E175+H175+K175+N175+Q175)))</f>
        <v/>
      </c>
      <c r="U175" s="27">
        <f>ROUND(MAX(0,(U174)+S175-T175),2)</f>
        <v/>
      </c>
      <c r="V175" s="27">
        <f>ROUND((X174)*(IF('Your Debts'!$G$11=0,0,INDEX('Your Debts'!$C$5:$C$12,'Your Debts'!$G$11)/12)),2)</f>
        <v/>
      </c>
      <c r="W175" s="27">
        <f>MIN((X174)+V175,MAX(0,$C175-(E175+H175+K175+N175+Q175+T175)))</f>
        <v/>
      </c>
      <c r="X175" s="27">
        <f>ROUND(MAX(0,(X174)+V175-W175),2)</f>
        <v/>
      </c>
      <c r="Y175" s="27">
        <f>ROUND((AA174)*(IF('Your Debts'!$G$12=0,0,INDEX('Your Debts'!$C$5:$C$12,'Your Debts'!$G$12)/12)),2)</f>
        <v/>
      </c>
      <c r="Z175" s="27">
        <f>MIN((AA174)+Y175,MAX(0,$C175-(E175+H175+K175+N175+Q175+T175+W175)))</f>
        <v/>
      </c>
      <c r="AA175" s="27">
        <f>ROUND(MAX(0,(AA174)+Y175-Z175),2)</f>
        <v/>
      </c>
      <c r="AB175" s="18">
        <f>F175+I175+L175+O175+R175+U175+X175+AA175</f>
        <v/>
      </c>
      <c r="AC175" s="26">
        <f>AC174+D175+G175+J175+M175+P175+S175+V175+Y175</f>
        <v/>
      </c>
    </row>
    <row r="176">
      <c r="A176" s="24" t="n">
        <v>171</v>
      </c>
      <c r="B176" s="25">
        <f>EDATE('Your Debts'!$B$19,170)</f>
        <v/>
      </c>
      <c r="C176" s="26">
        <f>'Your Debts'!$B$18</f>
        <v/>
      </c>
      <c r="D176" s="27">
        <f>ROUND((F175)*(IF('Your Debts'!$G$5=0,0,INDEX('Your Debts'!$C$5:$C$12,'Your Debts'!$G$5)/12)),2)</f>
        <v/>
      </c>
      <c r="E176" s="27">
        <f>MIN((F175)+D176,MAX(0,$C176-(0)))</f>
        <v/>
      </c>
      <c r="F176" s="27">
        <f>ROUND(MAX(0,(F175)+D176-E176),2)</f>
        <v/>
      </c>
      <c r="G176" s="27">
        <f>ROUND((I175)*(IF('Your Debts'!$G$6=0,0,INDEX('Your Debts'!$C$5:$C$12,'Your Debts'!$G$6)/12)),2)</f>
        <v/>
      </c>
      <c r="H176" s="27">
        <f>MIN((I175)+G176,MAX(0,$C176-(E176)))</f>
        <v/>
      </c>
      <c r="I176" s="27">
        <f>ROUND(MAX(0,(I175)+G176-H176),2)</f>
        <v/>
      </c>
      <c r="J176" s="27">
        <f>ROUND((L175)*(IF('Your Debts'!$G$7=0,0,INDEX('Your Debts'!$C$5:$C$12,'Your Debts'!$G$7)/12)),2)</f>
        <v/>
      </c>
      <c r="K176" s="27">
        <f>MIN((L175)+J176,MAX(0,$C176-(E176+H176)))</f>
        <v/>
      </c>
      <c r="L176" s="27">
        <f>ROUND(MAX(0,(L175)+J176-K176),2)</f>
        <v/>
      </c>
      <c r="M176" s="27">
        <f>ROUND((O175)*(IF('Your Debts'!$G$8=0,0,INDEX('Your Debts'!$C$5:$C$12,'Your Debts'!$G$8)/12)),2)</f>
        <v/>
      </c>
      <c r="N176" s="27">
        <f>MIN((O175)+M176,MAX(0,$C176-(E176+H176+K176)))</f>
        <v/>
      </c>
      <c r="O176" s="27">
        <f>ROUND(MAX(0,(O175)+M176-N176),2)</f>
        <v/>
      </c>
      <c r="P176" s="27">
        <f>ROUND((R175)*(IF('Your Debts'!$G$9=0,0,INDEX('Your Debts'!$C$5:$C$12,'Your Debts'!$G$9)/12)),2)</f>
        <v/>
      </c>
      <c r="Q176" s="27">
        <f>MIN((R175)+P176,MAX(0,$C176-(E176+H176+K176+N176)))</f>
        <v/>
      </c>
      <c r="R176" s="27">
        <f>ROUND(MAX(0,(R175)+P176-Q176),2)</f>
        <v/>
      </c>
      <c r="S176" s="27">
        <f>ROUND((U175)*(IF('Your Debts'!$G$10=0,0,INDEX('Your Debts'!$C$5:$C$12,'Your Debts'!$G$10)/12)),2)</f>
        <v/>
      </c>
      <c r="T176" s="27">
        <f>MIN((U175)+S176,MAX(0,$C176-(E176+H176+K176+N176+Q176)))</f>
        <v/>
      </c>
      <c r="U176" s="27">
        <f>ROUND(MAX(0,(U175)+S176-T176),2)</f>
        <v/>
      </c>
      <c r="V176" s="27">
        <f>ROUND((X175)*(IF('Your Debts'!$G$11=0,0,INDEX('Your Debts'!$C$5:$C$12,'Your Debts'!$G$11)/12)),2)</f>
        <v/>
      </c>
      <c r="W176" s="27">
        <f>MIN((X175)+V176,MAX(0,$C176-(E176+H176+K176+N176+Q176+T176)))</f>
        <v/>
      </c>
      <c r="X176" s="27">
        <f>ROUND(MAX(0,(X175)+V176-W176),2)</f>
        <v/>
      </c>
      <c r="Y176" s="27">
        <f>ROUND((AA175)*(IF('Your Debts'!$G$12=0,0,INDEX('Your Debts'!$C$5:$C$12,'Your Debts'!$G$12)/12)),2)</f>
        <v/>
      </c>
      <c r="Z176" s="27">
        <f>MIN((AA175)+Y176,MAX(0,$C176-(E176+H176+K176+N176+Q176+T176+W176)))</f>
        <v/>
      </c>
      <c r="AA176" s="27">
        <f>ROUND(MAX(0,(AA175)+Y176-Z176),2)</f>
        <v/>
      </c>
      <c r="AB176" s="18">
        <f>F176+I176+L176+O176+R176+U176+X176+AA176</f>
        <v/>
      </c>
      <c r="AC176" s="26">
        <f>AC175+D176+G176+J176+M176+P176+S176+V176+Y176</f>
        <v/>
      </c>
    </row>
    <row r="177">
      <c r="A177" s="24" t="n">
        <v>172</v>
      </c>
      <c r="B177" s="25">
        <f>EDATE('Your Debts'!$B$19,171)</f>
        <v/>
      </c>
      <c r="C177" s="26">
        <f>'Your Debts'!$B$18</f>
        <v/>
      </c>
      <c r="D177" s="27">
        <f>ROUND((F176)*(IF('Your Debts'!$G$5=0,0,INDEX('Your Debts'!$C$5:$C$12,'Your Debts'!$G$5)/12)),2)</f>
        <v/>
      </c>
      <c r="E177" s="27">
        <f>MIN((F176)+D177,MAX(0,$C177-(0)))</f>
        <v/>
      </c>
      <c r="F177" s="27">
        <f>ROUND(MAX(0,(F176)+D177-E177),2)</f>
        <v/>
      </c>
      <c r="G177" s="27">
        <f>ROUND((I176)*(IF('Your Debts'!$G$6=0,0,INDEX('Your Debts'!$C$5:$C$12,'Your Debts'!$G$6)/12)),2)</f>
        <v/>
      </c>
      <c r="H177" s="27">
        <f>MIN((I176)+G177,MAX(0,$C177-(E177)))</f>
        <v/>
      </c>
      <c r="I177" s="27">
        <f>ROUND(MAX(0,(I176)+G177-H177),2)</f>
        <v/>
      </c>
      <c r="J177" s="27">
        <f>ROUND((L176)*(IF('Your Debts'!$G$7=0,0,INDEX('Your Debts'!$C$5:$C$12,'Your Debts'!$G$7)/12)),2)</f>
        <v/>
      </c>
      <c r="K177" s="27">
        <f>MIN((L176)+J177,MAX(0,$C177-(E177+H177)))</f>
        <v/>
      </c>
      <c r="L177" s="27">
        <f>ROUND(MAX(0,(L176)+J177-K177),2)</f>
        <v/>
      </c>
      <c r="M177" s="27">
        <f>ROUND((O176)*(IF('Your Debts'!$G$8=0,0,INDEX('Your Debts'!$C$5:$C$12,'Your Debts'!$G$8)/12)),2)</f>
        <v/>
      </c>
      <c r="N177" s="27">
        <f>MIN((O176)+M177,MAX(0,$C177-(E177+H177+K177)))</f>
        <v/>
      </c>
      <c r="O177" s="27">
        <f>ROUND(MAX(0,(O176)+M177-N177),2)</f>
        <v/>
      </c>
      <c r="P177" s="27">
        <f>ROUND((R176)*(IF('Your Debts'!$G$9=0,0,INDEX('Your Debts'!$C$5:$C$12,'Your Debts'!$G$9)/12)),2)</f>
        <v/>
      </c>
      <c r="Q177" s="27">
        <f>MIN((R176)+P177,MAX(0,$C177-(E177+H177+K177+N177)))</f>
        <v/>
      </c>
      <c r="R177" s="27">
        <f>ROUND(MAX(0,(R176)+P177-Q177),2)</f>
        <v/>
      </c>
      <c r="S177" s="27">
        <f>ROUND((U176)*(IF('Your Debts'!$G$10=0,0,INDEX('Your Debts'!$C$5:$C$12,'Your Debts'!$G$10)/12)),2)</f>
        <v/>
      </c>
      <c r="T177" s="27">
        <f>MIN((U176)+S177,MAX(0,$C177-(E177+H177+K177+N177+Q177)))</f>
        <v/>
      </c>
      <c r="U177" s="27">
        <f>ROUND(MAX(0,(U176)+S177-T177),2)</f>
        <v/>
      </c>
      <c r="V177" s="27">
        <f>ROUND((X176)*(IF('Your Debts'!$G$11=0,0,INDEX('Your Debts'!$C$5:$C$12,'Your Debts'!$G$11)/12)),2)</f>
        <v/>
      </c>
      <c r="W177" s="27">
        <f>MIN((X176)+V177,MAX(0,$C177-(E177+H177+K177+N177+Q177+T177)))</f>
        <v/>
      </c>
      <c r="X177" s="27">
        <f>ROUND(MAX(0,(X176)+V177-W177),2)</f>
        <v/>
      </c>
      <c r="Y177" s="27">
        <f>ROUND((AA176)*(IF('Your Debts'!$G$12=0,0,INDEX('Your Debts'!$C$5:$C$12,'Your Debts'!$G$12)/12)),2)</f>
        <v/>
      </c>
      <c r="Z177" s="27">
        <f>MIN((AA176)+Y177,MAX(0,$C177-(E177+H177+K177+N177+Q177+T177+W177)))</f>
        <v/>
      </c>
      <c r="AA177" s="27">
        <f>ROUND(MAX(0,(AA176)+Y177-Z177),2)</f>
        <v/>
      </c>
      <c r="AB177" s="18">
        <f>F177+I177+L177+O177+R177+U177+X177+AA177</f>
        <v/>
      </c>
      <c r="AC177" s="26">
        <f>AC176+D177+G177+J177+M177+P177+S177+V177+Y177</f>
        <v/>
      </c>
    </row>
    <row r="178">
      <c r="A178" s="24" t="n">
        <v>173</v>
      </c>
      <c r="B178" s="25">
        <f>EDATE('Your Debts'!$B$19,172)</f>
        <v/>
      </c>
      <c r="C178" s="26">
        <f>'Your Debts'!$B$18</f>
        <v/>
      </c>
      <c r="D178" s="27">
        <f>ROUND((F177)*(IF('Your Debts'!$G$5=0,0,INDEX('Your Debts'!$C$5:$C$12,'Your Debts'!$G$5)/12)),2)</f>
        <v/>
      </c>
      <c r="E178" s="27">
        <f>MIN((F177)+D178,MAX(0,$C178-(0)))</f>
        <v/>
      </c>
      <c r="F178" s="27">
        <f>ROUND(MAX(0,(F177)+D178-E178),2)</f>
        <v/>
      </c>
      <c r="G178" s="27">
        <f>ROUND((I177)*(IF('Your Debts'!$G$6=0,0,INDEX('Your Debts'!$C$5:$C$12,'Your Debts'!$G$6)/12)),2)</f>
        <v/>
      </c>
      <c r="H178" s="27">
        <f>MIN((I177)+G178,MAX(0,$C178-(E178)))</f>
        <v/>
      </c>
      <c r="I178" s="27">
        <f>ROUND(MAX(0,(I177)+G178-H178),2)</f>
        <v/>
      </c>
      <c r="J178" s="27">
        <f>ROUND((L177)*(IF('Your Debts'!$G$7=0,0,INDEX('Your Debts'!$C$5:$C$12,'Your Debts'!$G$7)/12)),2)</f>
        <v/>
      </c>
      <c r="K178" s="27">
        <f>MIN((L177)+J178,MAX(0,$C178-(E178+H178)))</f>
        <v/>
      </c>
      <c r="L178" s="27">
        <f>ROUND(MAX(0,(L177)+J178-K178),2)</f>
        <v/>
      </c>
      <c r="M178" s="27">
        <f>ROUND((O177)*(IF('Your Debts'!$G$8=0,0,INDEX('Your Debts'!$C$5:$C$12,'Your Debts'!$G$8)/12)),2)</f>
        <v/>
      </c>
      <c r="N178" s="27">
        <f>MIN((O177)+M178,MAX(0,$C178-(E178+H178+K178)))</f>
        <v/>
      </c>
      <c r="O178" s="27">
        <f>ROUND(MAX(0,(O177)+M178-N178),2)</f>
        <v/>
      </c>
      <c r="P178" s="27">
        <f>ROUND((R177)*(IF('Your Debts'!$G$9=0,0,INDEX('Your Debts'!$C$5:$C$12,'Your Debts'!$G$9)/12)),2)</f>
        <v/>
      </c>
      <c r="Q178" s="27">
        <f>MIN((R177)+P178,MAX(0,$C178-(E178+H178+K178+N178)))</f>
        <v/>
      </c>
      <c r="R178" s="27">
        <f>ROUND(MAX(0,(R177)+P178-Q178),2)</f>
        <v/>
      </c>
      <c r="S178" s="27">
        <f>ROUND((U177)*(IF('Your Debts'!$G$10=0,0,INDEX('Your Debts'!$C$5:$C$12,'Your Debts'!$G$10)/12)),2)</f>
        <v/>
      </c>
      <c r="T178" s="27">
        <f>MIN((U177)+S178,MAX(0,$C178-(E178+H178+K178+N178+Q178)))</f>
        <v/>
      </c>
      <c r="U178" s="27">
        <f>ROUND(MAX(0,(U177)+S178-T178),2)</f>
        <v/>
      </c>
      <c r="V178" s="27">
        <f>ROUND((X177)*(IF('Your Debts'!$G$11=0,0,INDEX('Your Debts'!$C$5:$C$12,'Your Debts'!$G$11)/12)),2)</f>
        <v/>
      </c>
      <c r="W178" s="27">
        <f>MIN((X177)+V178,MAX(0,$C178-(E178+H178+K178+N178+Q178+T178)))</f>
        <v/>
      </c>
      <c r="X178" s="27">
        <f>ROUND(MAX(0,(X177)+V178-W178),2)</f>
        <v/>
      </c>
      <c r="Y178" s="27">
        <f>ROUND((AA177)*(IF('Your Debts'!$G$12=0,0,INDEX('Your Debts'!$C$5:$C$12,'Your Debts'!$G$12)/12)),2)</f>
        <v/>
      </c>
      <c r="Z178" s="27">
        <f>MIN((AA177)+Y178,MAX(0,$C178-(E178+H178+K178+N178+Q178+T178+W178)))</f>
        <v/>
      </c>
      <c r="AA178" s="27">
        <f>ROUND(MAX(0,(AA177)+Y178-Z178),2)</f>
        <v/>
      </c>
      <c r="AB178" s="18">
        <f>F178+I178+L178+O178+R178+U178+X178+AA178</f>
        <v/>
      </c>
      <c r="AC178" s="26">
        <f>AC177+D178+G178+J178+M178+P178+S178+V178+Y178</f>
        <v/>
      </c>
    </row>
    <row r="179">
      <c r="A179" s="24" t="n">
        <v>174</v>
      </c>
      <c r="B179" s="25">
        <f>EDATE('Your Debts'!$B$19,173)</f>
        <v/>
      </c>
      <c r="C179" s="26">
        <f>'Your Debts'!$B$18</f>
        <v/>
      </c>
      <c r="D179" s="27">
        <f>ROUND((F178)*(IF('Your Debts'!$G$5=0,0,INDEX('Your Debts'!$C$5:$C$12,'Your Debts'!$G$5)/12)),2)</f>
        <v/>
      </c>
      <c r="E179" s="27">
        <f>MIN((F178)+D179,MAX(0,$C179-(0)))</f>
        <v/>
      </c>
      <c r="F179" s="27">
        <f>ROUND(MAX(0,(F178)+D179-E179),2)</f>
        <v/>
      </c>
      <c r="G179" s="27">
        <f>ROUND((I178)*(IF('Your Debts'!$G$6=0,0,INDEX('Your Debts'!$C$5:$C$12,'Your Debts'!$G$6)/12)),2)</f>
        <v/>
      </c>
      <c r="H179" s="27">
        <f>MIN((I178)+G179,MAX(0,$C179-(E179)))</f>
        <v/>
      </c>
      <c r="I179" s="27">
        <f>ROUND(MAX(0,(I178)+G179-H179),2)</f>
        <v/>
      </c>
      <c r="J179" s="27">
        <f>ROUND((L178)*(IF('Your Debts'!$G$7=0,0,INDEX('Your Debts'!$C$5:$C$12,'Your Debts'!$G$7)/12)),2)</f>
        <v/>
      </c>
      <c r="K179" s="27">
        <f>MIN((L178)+J179,MAX(0,$C179-(E179+H179)))</f>
        <v/>
      </c>
      <c r="L179" s="27">
        <f>ROUND(MAX(0,(L178)+J179-K179),2)</f>
        <v/>
      </c>
      <c r="M179" s="27">
        <f>ROUND((O178)*(IF('Your Debts'!$G$8=0,0,INDEX('Your Debts'!$C$5:$C$12,'Your Debts'!$G$8)/12)),2)</f>
        <v/>
      </c>
      <c r="N179" s="27">
        <f>MIN((O178)+M179,MAX(0,$C179-(E179+H179+K179)))</f>
        <v/>
      </c>
      <c r="O179" s="27">
        <f>ROUND(MAX(0,(O178)+M179-N179),2)</f>
        <v/>
      </c>
      <c r="P179" s="27">
        <f>ROUND((R178)*(IF('Your Debts'!$G$9=0,0,INDEX('Your Debts'!$C$5:$C$12,'Your Debts'!$G$9)/12)),2)</f>
        <v/>
      </c>
      <c r="Q179" s="27">
        <f>MIN((R178)+P179,MAX(0,$C179-(E179+H179+K179+N179)))</f>
        <v/>
      </c>
      <c r="R179" s="27">
        <f>ROUND(MAX(0,(R178)+P179-Q179),2)</f>
        <v/>
      </c>
      <c r="S179" s="27">
        <f>ROUND((U178)*(IF('Your Debts'!$G$10=0,0,INDEX('Your Debts'!$C$5:$C$12,'Your Debts'!$G$10)/12)),2)</f>
        <v/>
      </c>
      <c r="T179" s="27">
        <f>MIN((U178)+S179,MAX(0,$C179-(E179+H179+K179+N179+Q179)))</f>
        <v/>
      </c>
      <c r="U179" s="27">
        <f>ROUND(MAX(0,(U178)+S179-T179),2)</f>
        <v/>
      </c>
      <c r="V179" s="27">
        <f>ROUND((X178)*(IF('Your Debts'!$G$11=0,0,INDEX('Your Debts'!$C$5:$C$12,'Your Debts'!$G$11)/12)),2)</f>
        <v/>
      </c>
      <c r="W179" s="27">
        <f>MIN((X178)+V179,MAX(0,$C179-(E179+H179+K179+N179+Q179+T179)))</f>
        <v/>
      </c>
      <c r="X179" s="27">
        <f>ROUND(MAX(0,(X178)+V179-W179),2)</f>
        <v/>
      </c>
      <c r="Y179" s="27">
        <f>ROUND((AA178)*(IF('Your Debts'!$G$12=0,0,INDEX('Your Debts'!$C$5:$C$12,'Your Debts'!$G$12)/12)),2)</f>
        <v/>
      </c>
      <c r="Z179" s="27">
        <f>MIN((AA178)+Y179,MAX(0,$C179-(E179+H179+K179+N179+Q179+T179+W179)))</f>
        <v/>
      </c>
      <c r="AA179" s="27">
        <f>ROUND(MAX(0,(AA178)+Y179-Z179),2)</f>
        <v/>
      </c>
      <c r="AB179" s="18">
        <f>F179+I179+L179+O179+R179+U179+X179+AA179</f>
        <v/>
      </c>
      <c r="AC179" s="26">
        <f>AC178+D179+G179+J179+M179+P179+S179+V179+Y179</f>
        <v/>
      </c>
    </row>
    <row r="180">
      <c r="A180" s="24" t="n">
        <v>175</v>
      </c>
      <c r="B180" s="25">
        <f>EDATE('Your Debts'!$B$19,174)</f>
        <v/>
      </c>
      <c r="C180" s="26">
        <f>'Your Debts'!$B$18</f>
        <v/>
      </c>
      <c r="D180" s="27">
        <f>ROUND((F179)*(IF('Your Debts'!$G$5=0,0,INDEX('Your Debts'!$C$5:$C$12,'Your Debts'!$G$5)/12)),2)</f>
        <v/>
      </c>
      <c r="E180" s="27">
        <f>MIN((F179)+D180,MAX(0,$C180-(0)))</f>
        <v/>
      </c>
      <c r="F180" s="27">
        <f>ROUND(MAX(0,(F179)+D180-E180),2)</f>
        <v/>
      </c>
      <c r="G180" s="27">
        <f>ROUND((I179)*(IF('Your Debts'!$G$6=0,0,INDEX('Your Debts'!$C$5:$C$12,'Your Debts'!$G$6)/12)),2)</f>
        <v/>
      </c>
      <c r="H180" s="27">
        <f>MIN((I179)+G180,MAX(0,$C180-(E180)))</f>
        <v/>
      </c>
      <c r="I180" s="27">
        <f>ROUND(MAX(0,(I179)+G180-H180),2)</f>
        <v/>
      </c>
      <c r="J180" s="27">
        <f>ROUND((L179)*(IF('Your Debts'!$G$7=0,0,INDEX('Your Debts'!$C$5:$C$12,'Your Debts'!$G$7)/12)),2)</f>
        <v/>
      </c>
      <c r="K180" s="27">
        <f>MIN((L179)+J180,MAX(0,$C180-(E180+H180)))</f>
        <v/>
      </c>
      <c r="L180" s="27">
        <f>ROUND(MAX(0,(L179)+J180-K180),2)</f>
        <v/>
      </c>
      <c r="M180" s="27">
        <f>ROUND((O179)*(IF('Your Debts'!$G$8=0,0,INDEX('Your Debts'!$C$5:$C$12,'Your Debts'!$G$8)/12)),2)</f>
        <v/>
      </c>
      <c r="N180" s="27">
        <f>MIN((O179)+M180,MAX(0,$C180-(E180+H180+K180)))</f>
        <v/>
      </c>
      <c r="O180" s="27">
        <f>ROUND(MAX(0,(O179)+M180-N180),2)</f>
        <v/>
      </c>
      <c r="P180" s="27">
        <f>ROUND((R179)*(IF('Your Debts'!$G$9=0,0,INDEX('Your Debts'!$C$5:$C$12,'Your Debts'!$G$9)/12)),2)</f>
        <v/>
      </c>
      <c r="Q180" s="27">
        <f>MIN((R179)+P180,MAX(0,$C180-(E180+H180+K180+N180)))</f>
        <v/>
      </c>
      <c r="R180" s="27">
        <f>ROUND(MAX(0,(R179)+P180-Q180),2)</f>
        <v/>
      </c>
      <c r="S180" s="27">
        <f>ROUND((U179)*(IF('Your Debts'!$G$10=0,0,INDEX('Your Debts'!$C$5:$C$12,'Your Debts'!$G$10)/12)),2)</f>
        <v/>
      </c>
      <c r="T180" s="27">
        <f>MIN((U179)+S180,MAX(0,$C180-(E180+H180+K180+N180+Q180)))</f>
        <v/>
      </c>
      <c r="U180" s="27">
        <f>ROUND(MAX(0,(U179)+S180-T180),2)</f>
        <v/>
      </c>
      <c r="V180" s="27">
        <f>ROUND((X179)*(IF('Your Debts'!$G$11=0,0,INDEX('Your Debts'!$C$5:$C$12,'Your Debts'!$G$11)/12)),2)</f>
        <v/>
      </c>
      <c r="W180" s="27">
        <f>MIN((X179)+V180,MAX(0,$C180-(E180+H180+K180+N180+Q180+T180)))</f>
        <v/>
      </c>
      <c r="X180" s="27">
        <f>ROUND(MAX(0,(X179)+V180-W180),2)</f>
        <v/>
      </c>
      <c r="Y180" s="27">
        <f>ROUND((AA179)*(IF('Your Debts'!$G$12=0,0,INDEX('Your Debts'!$C$5:$C$12,'Your Debts'!$G$12)/12)),2)</f>
        <v/>
      </c>
      <c r="Z180" s="27">
        <f>MIN((AA179)+Y180,MAX(0,$C180-(E180+H180+K180+N180+Q180+T180+W180)))</f>
        <v/>
      </c>
      <c r="AA180" s="27">
        <f>ROUND(MAX(0,(AA179)+Y180-Z180),2)</f>
        <v/>
      </c>
      <c r="AB180" s="18">
        <f>F180+I180+L180+O180+R180+U180+X180+AA180</f>
        <v/>
      </c>
      <c r="AC180" s="26">
        <f>AC179+D180+G180+J180+M180+P180+S180+V180+Y180</f>
        <v/>
      </c>
    </row>
    <row r="181">
      <c r="A181" s="24" t="n">
        <v>176</v>
      </c>
      <c r="B181" s="25">
        <f>EDATE('Your Debts'!$B$19,175)</f>
        <v/>
      </c>
      <c r="C181" s="26">
        <f>'Your Debts'!$B$18</f>
        <v/>
      </c>
      <c r="D181" s="27">
        <f>ROUND((F180)*(IF('Your Debts'!$G$5=0,0,INDEX('Your Debts'!$C$5:$C$12,'Your Debts'!$G$5)/12)),2)</f>
        <v/>
      </c>
      <c r="E181" s="27">
        <f>MIN((F180)+D181,MAX(0,$C181-(0)))</f>
        <v/>
      </c>
      <c r="F181" s="27">
        <f>ROUND(MAX(0,(F180)+D181-E181),2)</f>
        <v/>
      </c>
      <c r="G181" s="27">
        <f>ROUND((I180)*(IF('Your Debts'!$G$6=0,0,INDEX('Your Debts'!$C$5:$C$12,'Your Debts'!$G$6)/12)),2)</f>
        <v/>
      </c>
      <c r="H181" s="27">
        <f>MIN((I180)+G181,MAX(0,$C181-(E181)))</f>
        <v/>
      </c>
      <c r="I181" s="27">
        <f>ROUND(MAX(0,(I180)+G181-H181),2)</f>
        <v/>
      </c>
      <c r="J181" s="27">
        <f>ROUND((L180)*(IF('Your Debts'!$G$7=0,0,INDEX('Your Debts'!$C$5:$C$12,'Your Debts'!$G$7)/12)),2)</f>
        <v/>
      </c>
      <c r="K181" s="27">
        <f>MIN((L180)+J181,MAX(0,$C181-(E181+H181)))</f>
        <v/>
      </c>
      <c r="L181" s="27">
        <f>ROUND(MAX(0,(L180)+J181-K181),2)</f>
        <v/>
      </c>
      <c r="M181" s="27">
        <f>ROUND((O180)*(IF('Your Debts'!$G$8=0,0,INDEX('Your Debts'!$C$5:$C$12,'Your Debts'!$G$8)/12)),2)</f>
        <v/>
      </c>
      <c r="N181" s="27">
        <f>MIN((O180)+M181,MAX(0,$C181-(E181+H181+K181)))</f>
        <v/>
      </c>
      <c r="O181" s="27">
        <f>ROUND(MAX(0,(O180)+M181-N181),2)</f>
        <v/>
      </c>
      <c r="P181" s="27">
        <f>ROUND((R180)*(IF('Your Debts'!$G$9=0,0,INDEX('Your Debts'!$C$5:$C$12,'Your Debts'!$G$9)/12)),2)</f>
        <v/>
      </c>
      <c r="Q181" s="27">
        <f>MIN((R180)+P181,MAX(0,$C181-(E181+H181+K181+N181)))</f>
        <v/>
      </c>
      <c r="R181" s="27">
        <f>ROUND(MAX(0,(R180)+P181-Q181),2)</f>
        <v/>
      </c>
      <c r="S181" s="27">
        <f>ROUND((U180)*(IF('Your Debts'!$G$10=0,0,INDEX('Your Debts'!$C$5:$C$12,'Your Debts'!$G$10)/12)),2)</f>
        <v/>
      </c>
      <c r="T181" s="27">
        <f>MIN((U180)+S181,MAX(0,$C181-(E181+H181+K181+N181+Q181)))</f>
        <v/>
      </c>
      <c r="U181" s="27">
        <f>ROUND(MAX(0,(U180)+S181-T181),2)</f>
        <v/>
      </c>
      <c r="V181" s="27">
        <f>ROUND((X180)*(IF('Your Debts'!$G$11=0,0,INDEX('Your Debts'!$C$5:$C$12,'Your Debts'!$G$11)/12)),2)</f>
        <v/>
      </c>
      <c r="W181" s="27">
        <f>MIN((X180)+V181,MAX(0,$C181-(E181+H181+K181+N181+Q181+T181)))</f>
        <v/>
      </c>
      <c r="X181" s="27">
        <f>ROUND(MAX(0,(X180)+V181-W181),2)</f>
        <v/>
      </c>
      <c r="Y181" s="27">
        <f>ROUND((AA180)*(IF('Your Debts'!$G$12=0,0,INDEX('Your Debts'!$C$5:$C$12,'Your Debts'!$G$12)/12)),2)</f>
        <v/>
      </c>
      <c r="Z181" s="27">
        <f>MIN((AA180)+Y181,MAX(0,$C181-(E181+H181+K181+N181+Q181+T181+W181)))</f>
        <v/>
      </c>
      <c r="AA181" s="27">
        <f>ROUND(MAX(0,(AA180)+Y181-Z181),2)</f>
        <v/>
      </c>
      <c r="AB181" s="18">
        <f>F181+I181+L181+O181+R181+U181+X181+AA181</f>
        <v/>
      </c>
      <c r="AC181" s="26">
        <f>AC180+D181+G181+J181+M181+P181+S181+V181+Y181</f>
        <v/>
      </c>
    </row>
    <row r="182">
      <c r="A182" s="24" t="n">
        <v>177</v>
      </c>
      <c r="B182" s="25">
        <f>EDATE('Your Debts'!$B$19,176)</f>
        <v/>
      </c>
      <c r="C182" s="26">
        <f>'Your Debts'!$B$18</f>
        <v/>
      </c>
      <c r="D182" s="27">
        <f>ROUND((F181)*(IF('Your Debts'!$G$5=0,0,INDEX('Your Debts'!$C$5:$C$12,'Your Debts'!$G$5)/12)),2)</f>
        <v/>
      </c>
      <c r="E182" s="27">
        <f>MIN((F181)+D182,MAX(0,$C182-(0)))</f>
        <v/>
      </c>
      <c r="F182" s="27">
        <f>ROUND(MAX(0,(F181)+D182-E182),2)</f>
        <v/>
      </c>
      <c r="G182" s="27">
        <f>ROUND((I181)*(IF('Your Debts'!$G$6=0,0,INDEX('Your Debts'!$C$5:$C$12,'Your Debts'!$G$6)/12)),2)</f>
        <v/>
      </c>
      <c r="H182" s="27">
        <f>MIN((I181)+G182,MAX(0,$C182-(E182)))</f>
        <v/>
      </c>
      <c r="I182" s="27">
        <f>ROUND(MAX(0,(I181)+G182-H182),2)</f>
        <v/>
      </c>
      <c r="J182" s="27">
        <f>ROUND((L181)*(IF('Your Debts'!$G$7=0,0,INDEX('Your Debts'!$C$5:$C$12,'Your Debts'!$G$7)/12)),2)</f>
        <v/>
      </c>
      <c r="K182" s="27">
        <f>MIN((L181)+J182,MAX(0,$C182-(E182+H182)))</f>
        <v/>
      </c>
      <c r="L182" s="27">
        <f>ROUND(MAX(0,(L181)+J182-K182),2)</f>
        <v/>
      </c>
      <c r="M182" s="27">
        <f>ROUND((O181)*(IF('Your Debts'!$G$8=0,0,INDEX('Your Debts'!$C$5:$C$12,'Your Debts'!$G$8)/12)),2)</f>
        <v/>
      </c>
      <c r="N182" s="27">
        <f>MIN((O181)+M182,MAX(0,$C182-(E182+H182+K182)))</f>
        <v/>
      </c>
      <c r="O182" s="27">
        <f>ROUND(MAX(0,(O181)+M182-N182),2)</f>
        <v/>
      </c>
      <c r="P182" s="27">
        <f>ROUND((R181)*(IF('Your Debts'!$G$9=0,0,INDEX('Your Debts'!$C$5:$C$12,'Your Debts'!$G$9)/12)),2)</f>
        <v/>
      </c>
      <c r="Q182" s="27">
        <f>MIN((R181)+P182,MAX(0,$C182-(E182+H182+K182+N182)))</f>
        <v/>
      </c>
      <c r="R182" s="27">
        <f>ROUND(MAX(0,(R181)+P182-Q182),2)</f>
        <v/>
      </c>
      <c r="S182" s="27">
        <f>ROUND((U181)*(IF('Your Debts'!$G$10=0,0,INDEX('Your Debts'!$C$5:$C$12,'Your Debts'!$G$10)/12)),2)</f>
        <v/>
      </c>
      <c r="T182" s="27">
        <f>MIN((U181)+S182,MAX(0,$C182-(E182+H182+K182+N182+Q182)))</f>
        <v/>
      </c>
      <c r="U182" s="27">
        <f>ROUND(MAX(0,(U181)+S182-T182),2)</f>
        <v/>
      </c>
      <c r="V182" s="27">
        <f>ROUND((X181)*(IF('Your Debts'!$G$11=0,0,INDEX('Your Debts'!$C$5:$C$12,'Your Debts'!$G$11)/12)),2)</f>
        <v/>
      </c>
      <c r="W182" s="27">
        <f>MIN((X181)+V182,MAX(0,$C182-(E182+H182+K182+N182+Q182+T182)))</f>
        <v/>
      </c>
      <c r="X182" s="27">
        <f>ROUND(MAX(0,(X181)+V182-W182),2)</f>
        <v/>
      </c>
      <c r="Y182" s="27">
        <f>ROUND((AA181)*(IF('Your Debts'!$G$12=0,0,INDEX('Your Debts'!$C$5:$C$12,'Your Debts'!$G$12)/12)),2)</f>
        <v/>
      </c>
      <c r="Z182" s="27">
        <f>MIN((AA181)+Y182,MAX(0,$C182-(E182+H182+K182+N182+Q182+T182+W182)))</f>
        <v/>
      </c>
      <c r="AA182" s="27">
        <f>ROUND(MAX(0,(AA181)+Y182-Z182),2)</f>
        <v/>
      </c>
      <c r="AB182" s="18">
        <f>F182+I182+L182+O182+R182+U182+X182+AA182</f>
        <v/>
      </c>
      <c r="AC182" s="26">
        <f>AC181+D182+G182+J182+M182+P182+S182+V182+Y182</f>
        <v/>
      </c>
    </row>
    <row r="183">
      <c r="A183" s="24" t="n">
        <v>178</v>
      </c>
      <c r="B183" s="25">
        <f>EDATE('Your Debts'!$B$19,177)</f>
        <v/>
      </c>
      <c r="C183" s="26">
        <f>'Your Debts'!$B$18</f>
        <v/>
      </c>
      <c r="D183" s="27">
        <f>ROUND((F182)*(IF('Your Debts'!$G$5=0,0,INDEX('Your Debts'!$C$5:$C$12,'Your Debts'!$G$5)/12)),2)</f>
        <v/>
      </c>
      <c r="E183" s="27">
        <f>MIN((F182)+D183,MAX(0,$C183-(0)))</f>
        <v/>
      </c>
      <c r="F183" s="27">
        <f>ROUND(MAX(0,(F182)+D183-E183),2)</f>
        <v/>
      </c>
      <c r="G183" s="27">
        <f>ROUND((I182)*(IF('Your Debts'!$G$6=0,0,INDEX('Your Debts'!$C$5:$C$12,'Your Debts'!$G$6)/12)),2)</f>
        <v/>
      </c>
      <c r="H183" s="27">
        <f>MIN((I182)+G183,MAX(0,$C183-(E183)))</f>
        <v/>
      </c>
      <c r="I183" s="27">
        <f>ROUND(MAX(0,(I182)+G183-H183),2)</f>
        <v/>
      </c>
      <c r="J183" s="27">
        <f>ROUND((L182)*(IF('Your Debts'!$G$7=0,0,INDEX('Your Debts'!$C$5:$C$12,'Your Debts'!$G$7)/12)),2)</f>
        <v/>
      </c>
      <c r="K183" s="27">
        <f>MIN((L182)+J183,MAX(0,$C183-(E183+H183)))</f>
        <v/>
      </c>
      <c r="L183" s="27">
        <f>ROUND(MAX(0,(L182)+J183-K183),2)</f>
        <v/>
      </c>
      <c r="M183" s="27">
        <f>ROUND((O182)*(IF('Your Debts'!$G$8=0,0,INDEX('Your Debts'!$C$5:$C$12,'Your Debts'!$G$8)/12)),2)</f>
        <v/>
      </c>
      <c r="N183" s="27">
        <f>MIN((O182)+M183,MAX(0,$C183-(E183+H183+K183)))</f>
        <v/>
      </c>
      <c r="O183" s="27">
        <f>ROUND(MAX(0,(O182)+M183-N183),2)</f>
        <v/>
      </c>
      <c r="P183" s="27">
        <f>ROUND((R182)*(IF('Your Debts'!$G$9=0,0,INDEX('Your Debts'!$C$5:$C$12,'Your Debts'!$G$9)/12)),2)</f>
        <v/>
      </c>
      <c r="Q183" s="27">
        <f>MIN((R182)+P183,MAX(0,$C183-(E183+H183+K183+N183)))</f>
        <v/>
      </c>
      <c r="R183" s="27">
        <f>ROUND(MAX(0,(R182)+P183-Q183),2)</f>
        <v/>
      </c>
      <c r="S183" s="27">
        <f>ROUND((U182)*(IF('Your Debts'!$G$10=0,0,INDEX('Your Debts'!$C$5:$C$12,'Your Debts'!$G$10)/12)),2)</f>
        <v/>
      </c>
      <c r="T183" s="27">
        <f>MIN((U182)+S183,MAX(0,$C183-(E183+H183+K183+N183+Q183)))</f>
        <v/>
      </c>
      <c r="U183" s="27">
        <f>ROUND(MAX(0,(U182)+S183-T183),2)</f>
        <v/>
      </c>
      <c r="V183" s="27">
        <f>ROUND((X182)*(IF('Your Debts'!$G$11=0,0,INDEX('Your Debts'!$C$5:$C$12,'Your Debts'!$G$11)/12)),2)</f>
        <v/>
      </c>
      <c r="W183" s="27">
        <f>MIN((X182)+V183,MAX(0,$C183-(E183+H183+K183+N183+Q183+T183)))</f>
        <v/>
      </c>
      <c r="X183" s="27">
        <f>ROUND(MAX(0,(X182)+V183-W183),2)</f>
        <v/>
      </c>
      <c r="Y183" s="27">
        <f>ROUND((AA182)*(IF('Your Debts'!$G$12=0,0,INDEX('Your Debts'!$C$5:$C$12,'Your Debts'!$G$12)/12)),2)</f>
        <v/>
      </c>
      <c r="Z183" s="27">
        <f>MIN((AA182)+Y183,MAX(0,$C183-(E183+H183+K183+N183+Q183+T183+W183)))</f>
        <v/>
      </c>
      <c r="AA183" s="27">
        <f>ROUND(MAX(0,(AA182)+Y183-Z183),2)</f>
        <v/>
      </c>
      <c r="AB183" s="18">
        <f>F183+I183+L183+O183+R183+U183+X183+AA183</f>
        <v/>
      </c>
      <c r="AC183" s="26">
        <f>AC182+D183+G183+J183+M183+P183+S183+V183+Y183</f>
        <v/>
      </c>
    </row>
    <row r="184">
      <c r="A184" s="24" t="n">
        <v>179</v>
      </c>
      <c r="B184" s="25">
        <f>EDATE('Your Debts'!$B$19,178)</f>
        <v/>
      </c>
      <c r="C184" s="26">
        <f>'Your Debts'!$B$18</f>
        <v/>
      </c>
      <c r="D184" s="27">
        <f>ROUND((F183)*(IF('Your Debts'!$G$5=0,0,INDEX('Your Debts'!$C$5:$C$12,'Your Debts'!$G$5)/12)),2)</f>
        <v/>
      </c>
      <c r="E184" s="27">
        <f>MIN((F183)+D184,MAX(0,$C184-(0)))</f>
        <v/>
      </c>
      <c r="F184" s="27">
        <f>ROUND(MAX(0,(F183)+D184-E184),2)</f>
        <v/>
      </c>
      <c r="G184" s="27">
        <f>ROUND((I183)*(IF('Your Debts'!$G$6=0,0,INDEX('Your Debts'!$C$5:$C$12,'Your Debts'!$G$6)/12)),2)</f>
        <v/>
      </c>
      <c r="H184" s="27">
        <f>MIN((I183)+G184,MAX(0,$C184-(E184)))</f>
        <v/>
      </c>
      <c r="I184" s="27">
        <f>ROUND(MAX(0,(I183)+G184-H184),2)</f>
        <v/>
      </c>
      <c r="J184" s="27">
        <f>ROUND((L183)*(IF('Your Debts'!$G$7=0,0,INDEX('Your Debts'!$C$5:$C$12,'Your Debts'!$G$7)/12)),2)</f>
        <v/>
      </c>
      <c r="K184" s="27">
        <f>MIN((L183)+J184,MAX(0,$C184-(E184+H184)))</f>
        <v/>
      </c>
      <c r="L184" s="27">
        <f>ROUND(MAX(0,(L183)+J184-K184),2)</f>
        <v/>
      </c>
      <c r="M184" s="27">
        <f>ROUND((O183)*(IF('Your Debts'!$G$8=0,0,INDEX('Your Debts'!$C$5:$C$12,'Your Debts'!$G$8)/12)),2)</f>
        <v/>
      </c>
      <c r="N184" s="27">
        <f>MIN((O183)+M184,MAX(0,$C184-(E184+H184+K184)))</f>
        <v/>
      </c>
      <c r="O184" s="27">
        <f>ROUND(MAX(0,(O183)+M184-N184),2)</f>
        <v/>
      </c>
      <c r="P184" s="27">
        <f>ROUND((R183)*(IF('Your Debts'!$G$9=0,0,INDEX('Your Debts'!$C$5:$C$12,'Your Debts'!$G$9)/12)),2)</f>
        <v/>
      </c>
      <c r="Q184" s="27">
        <f>MIN((R183)+P184,MAX(0,$C184-(E184+H184+K184+N184)))</f>
        <v/>
      </c>
      <c r="R184" s="27">
        <f>ROUND(MAX(0,(R183)+P184-Q184),2)</f>
        <v/>
      </c>
      <c r="S184" s="27">
        <f>ROUND((U183)*(IF('Your Debts'!$G$10=0,0,INDEX('Your Debts'!$C$5:$C$12,'Your Debts'!$G$10)/12)),2)</f>
        <v/>
      </c>
      <c r="T184" s="27">
        <f>MIN((U183)+S184,MAX(0,$C184-(E184+H184+K184+N184+Q184)))</f>
        <v/>
      </c>
      <c r="U184" s="27">
        <f>ROUND(MAX(0,(U183)+S184-T184),2)</f>
        <v/>
      </c>
      <c r="V184" s="27">
        <f>ROUND((X183)*(IF('Your Debts'!$G$11=0,0,INDEX('Your Debts'!$C$5:$C$12,'Your Debts'!$G$11)/12)),2)</f>
        <v/>
      </c>
      <c r="W184" s="27">
        <f>MIN((X183)+V184,MAX(0,$C184-(E184+H184+K184+N184+Q184+T184)))</f>
        <v/>
      </c>
      <c r="X184" s="27">
        <f>ROUND(MAX(0,(X183)+V184-W184),2)</f>
        <v/>
      </c>
      <c r="Y184" s="27">
        <f>ROUND((AA183)*(IF('Your Debts'!$G$12=0,0,INDEX('Your Debts'!$C$5:$C$12,'Your Debts'!$G$12)/12)),2)</f>
        <v/>
      </c>
      <c r="Z184" s="27">
        <f>MIN((AA183)+Y184,MAX(0,$C184-(E184+H184+K184+N184+Q184+T184+W184)))</f>
        <v/>
      </c>
      <c r="AA184" s="27">
        <f>ROUND(MAX(0,(AA183)+Y184-Z184),2)</f>
        <v/>
      </c>
      <c r="AB184" s="18">
        <f>F184+I184+L184+O184+R184+U184+X184+AA184</f>
        <v/>
      </c>
      <c r="AC184" s="26">
        <f>AC183+D184+G184+J184+M184+P184+S184+V184+Y184</f>
        <v/>
      </c>
    </row>
    <row r="185">
      <c r="A185" s="24" t="n">
        <v>180</v>
      </c>
      <c r="B185" s="25">
        <f>EDATE('Your Debts'!$B$19,179)</f>
        <v/>
      </c>
      <c r="C185" s="26">
        <f>'Your Debts'!$B$18</f>
        <v/>
      </c>
      <c r="D185" s="27">
        <f>ROUND((F184)*(IF('Your Debts'!$G$5=0,0,INDEX('Your Debts'!$C$5:$C$12,'Your Debts'!$G$5)/12)),2)</f>
        <v/>
      </c>
      <c r="E185" s="27">
        <f>MIN((F184)+D185,MAX(0,$C185-(0)))</f>
        <v/>
      </c>
      <c r="F185" s="27">
        <f>ROUND(MAX(0,(F184)+D185-E185),2)</f>
        <v/>
      </c>
      <c r="G185" s="27">
        <f>ROUND((I184)*(IF('Your Debts'!$G$6=0,0,INDEX('Your Debts'!$C$5:$C$12,'Your Debts'!$G$6)/12)),2)</f>
        <v/>
      </c>
      <c r="H185" s="27">
        <f>MIN((I184)+G185,MAX(0,$C185-(E185)))</f>
        <v/>
      </c>
      <c r="I185" s="27">
        <f>ROUND(MAX(0,(I184)+G185-H185),2)</f>
        <v/>
      </c>
      <c r="J185" s="27">
        <f>ROUND((L184)*(IF('Your Debts'!$G$7=0,0,INDEX('Your Debts'!$C$5:$C$12,'Your Debts'!$G$7)/12)),2)</f>
        <v/>
      </c>
      <c r="K185" s="27">
        <f>MIN((L184)+J185,MAX(0,$C185-(E185+H185)))</f>
        <v/>
      </c>
      <c r="L185" s="27">
        <f>ROUND(MAX(0,(L184)+J185-K185),2)</f>
        <v/>
      </c>
      <c r="M185" s="27">
        <f>ROUND((O184)*(IF('Your Debts'!$G$8=0,0,INDEX('Your Debts'!$C$5:$C$12,'Your Debts'!$G$8)/12)),2)</f>
        <v/>
      </c>
      <c r="N185" s="27">
        <f>MIN((O184)+M185,MAX(0,$C185-(E185+H185+K185)))</f>
        <v/>
      </c>
      <c r="O185" s="27">
        <f>ROUND(MAX(0,(O184)+M185-N185),2)</f>
        <v/>
      </c>
      <c r="P185" s="27">
        <f>ROUND((R184)*(IF('Your Debts'!$G$9=0,0,INDEX('Your Debts'!$C$5:$C$12,'Your Debts'!$G$9)/12)),2)</f>
        <v/>
      </c>
      <c r="Q185" s="27">
        <f>MIN((R184)+P185,MAX(0,$C185-(E185+H185+K185+N185)))</f>
        <v/>
      </c>
      <c r="R185" s="27">
        <f>ROUND(MAX(0,(R184)+P185-Q185),2)</f>
        <v/>
      </c>
      <c r="S185" s="27">
        <f>ROUND((U184)*(IF('Your Debts'!$G$10=0,0,INDEX('Your Debts'!$C$5:$C$12,'Your Debts'!$G$10)/12)),2)</f>
        <v/>
      </c>
      <c r="T185" s="27">
        <f>MIN((U184)+S185,MAX(0,$C185-(E185+H185+K185+N185+Q185)))</f>
        <v/>
      </c>
      <c r="U185" s="27">
        <f>ROUND(MAX(0,(U184)+S185-T185),2)</f>
        <v/>
      </c>
      <c r="V185" s="27">
        <f>ROUND((X184)*(IF('Your Debts'!$G$11=0,0,INDEX('Your Debts'!$C$5:$C$12,'Your Debts'!$G$11)/12)),2)</f>
        <v/>
      </c>
      <c r="W185" s="27">
        <f>MIN((X184)+V185,MAX(0,$C185-(E185+H185+K185+N185+Q185+T185)))</f>
        <v/>
      </c>
      <c r="X185" s="27">
        <f>ROUND(MAX(0,(X184)+V185-W185),2)</f>
        <v/>
      </c>
      <c r="Y185" s="27">
        <f>ROUND((AA184)*(IF('Your Debts'!$G$12=0,0,INDEX('Your Debts'!$C$5:$C$12,'Your Debts'!$G$12)/12)),2)</f>
        <v/>
      </c>
      <c r="Z185" s="27">
        <f>MIN((AA184)+Y185,MAX(0,$C185-(E185+H185+K185+N185+Q185+T185+W185)))</f>
        <v/>
      </c>
      <c r="AA185" s="27">
        <f>ROUND(MAX(0,(AA184)+Y185-Z185),2)</f>
        <v/>
      </c>
      <c r="AB185" s="18">
        <f>F185+I185+L185+O185+R185+U185+X185+AA185</f>
        <v/>
      </c>
      <c r="AC185" s="26">
        <f>AC184+D185+G185+J185+M185+P185+S185+V185+Y185</f>
        <v/>
      </c>
    </row>
  </sheetData>
  <mergeCells count="8">
    <mergeCell ref="M4:O4"/>
    <mergeCell ref="D4:F4"/>
    <mergeCell ref="S4:U4"/>
    <mergeCell ref="G4:I4"/>
    <mergeCell ref="V4:X4"/>
    <mergeCell ref="J4:L4"/>
    <mergeCell ref="Y4:AA4"/>
    <mergeCell ref="P4:R4"/>
  </mergeCells>
  <pageMargins left="0.75" right="0.75" top="1" bottom="1" header="0.5" footer="0.5"/>
</worksheet>
</file>

<file path=xl/worksheets/sheet4.xml><?xml version="1.0" encoding="utf-8"?>
<worksheet xmlns="http://schemas.openxmlformats.org/spreadsheetml/2006/main">
  <sheetPr>
    <tabColor rgb="0000B4A6"/>
    <outlinePr summaryBelow="1" summaryRight="1"/>
    <pageSetUpPr/>
  </sheetPr>
  <dimension ref="A1:F19"/>
  <sheetViews>
    <sheetView showGridLines="0" workbookViewId="0">
      <selection activeCell="A1" sqref="A1"/>
    </sheetView>
  </sheetViews>
  <sheetFormatPr baseColWidth="8" defaultRowHeight="15"/>
  <cols>
    <col width="34" customWidth="1" min="1" max="1"/>
    <col width="20" customWidth="1" min="2" max="2"/>
  </cols>
  <sheetData>
    <row r="1" ht="30" customHeight="1">
      <c r="A1" s="1" t="inlineStr">
        <is>
          <t>Summary</t>
        </is>
      </c>
      <c r="B1" s="2" t="n"/>
      <c r="C1" s="2" t="n"/>
      <c r="D1" s="2" t="n"/>
      <c r="E1" s="2" t="n"/>
      <c r="F1" s="2" t="n"/>
    </row>
    <row r="2" ht="18" customHeight="1">
      <c r="A2" s="3" t="inlineStr">
        <is>
          <t>The two numbers that matter: when you are free, and what it cost.</t>
        </is>
      </c>
      <c r="B2" s="2" t="n"/>
      <c r="C2" s="2" t="n"/>
      <c r="D2" s="2" t="n"/>
      <c r="E2" s="2" t="n"/>
      <c r="F2" s="2" t="n"/>
    </row>
    <row r="4" ht="20" customHeight="1">
      <c r="A4" s="19" t="inlineStr">
        <is>
          <t>YOUR RESULT</t>
        </is>
      </c>
      <c r="B4" s="20" t="n"/>
      <c r="C4" s="20" t="n"/>
      <c r="D4" s="20" t="n"/>
      <c r="E4" s="20" t="n"/>
      <c r="F4" s="20" t="n"/>
    </row>
    <row r="6">
      <c r="A6" s="17" t="inlineStr">
        <is>
          <t>Method chosen</t>
        </is>
      </c>
      <c r="B6" s="28">
        <f>'Your Debts'!B16</f>
        <v/>
      </c>
    </row>
    <row r="7">
      <c r="A7" s="17" t="inlineStr">
        <is>
          <t>Total debt today</t>
        </is>
      </c>
      <c r="B7" s="18">
        <f>'Your Debts'!B13</f>
        <v/>
      </c>
    </row>
    <row r="8">
      <c r="A8" s="17" t="inlineStr">
        <is>
          <t>Monthly budget</t>
        </is>
      </c>
      <c r="B8" s="18">
        <f>'Your Debts'!$B$18</f>
        <v/>
      </c>
    </row>
    <row r="9">
      <c r="A9" s="17" t="inlineStr">
        <is>
          <t>Months to debt-free</t>
        </is>
      </c>
      <c r="B9" s="29">
        <f>IF(COUNTIF('Payoff Plan'!$AB$6:$AB$185,"&gt;=0.01")=180,"Not paid off in 15 yrs",COUNTIF('Payoff Plan'!$AB$6:$AB$185,"&gt;=0.01"))</f>
        <v/>
      </c>
    </row>
    <row r="10">
      <c r="A10" s="17" t="inlineStr">
        <is>
          <t>Years to debt-free</t>
        </is>
      </c>
      <c r="B10" s="30">
        <f>IF(ISNUMBER(B9),B9/12,"—")</f>
        <v/>
      </c>
    </row>
    <row r="11">
      <c r="A11" s="17" t="inlineStr">
        <is>
          <t>Debt-free date</t>
        </is>
      </c>
      <c r="B11" s="31">
        <f>IF(ISNUMBER(B9),EDATE('Your Debts'!$B$19,B9-1),"—")</f>
        <v/>
      </c>
    </row>
    <row r="12">
      <c r="A12" s="17" t="inlineStr">
        <is>
          <t>Total interest you will pay</t>
        </is>
      </c>
      <c r="B12" s="18">
        <f>INDEX('Payoff Plan'!$AC$6:$AC$185,IF(ISNUMBER(B9),B9,180))</f>
        <v/>
      </c>
    </row>
    <row r="13">
      <c r="A13" s="17" t="inlineStr">
        <is>
          <t>Total you will repay</t>
        </is>
      </c>
      <c r="B13" s="18">
        <f>B7+B12</f>
        <v/>
      </c>
    </row>
    <row r="15" ht="20" customHeight="1">
      <c r="A15" s="19" t="inlineStr">
        <is>
          <t>HOW TO USE THIS</t>
        </is>
      </c>
      <c r="B15" s="20" t="n"/>
      <c r="C15" s="20" t="n"/>
      <c r="D15" s="20" t="n"/>
      <c r="E15" s="20" t="n"/>
      <c r="F15" s="20" t="n"/>
    </row>
    <row r="16" ht="30" customHeight="1">
      <c r="A16" s="32" t="inlineStr">
        <is>
          <t>•  Change the extra payment on Your Debts and watch the debt-free date move. That is the whole exercise.</t>
        </is>
      </c>
    </row>
    <row r="17" ht="30" customHeight="1">
      <c r="A17" s="32" t="inlineStr">
        <is>
          <t>•  Switch between Snowball and Avalanche to see the trade-off: Snowball clears accounts sooner and keeps you motivated; Avalanche costs less interest.</t>
        </is>
      </c>
    </row>
    <row r="18" ht="30" customHeight="1">
      <c r="A18" s="32" t="inlineStr">
        <is>
          <t>•  Every time a debt hits zero, its payment rolls onto the next one automatically. Do not lower your budget when that happens — that is where the speed comes from.</t>
        </is>
      </c>
    </row>
    <row r="19" ht="30" customHeight="1">
      <c r="A19" s="32" t="inlineStr">
        <is>
          <t>•  If the months-to-debt-free cell says not paid off, your budget is too close to the interest charge. Raise the extra payment or look at consolidating.</t>
        </is>
      </c>
    </row>
  </sheetData>
  <mergeCells count="4">
    <mergeCell ref="A19:F19"/>
    <mergeCell ref="A16:F16"/>
    <mergeCell ref="A17:F17"/>
    <mergeCell ref="A18:F1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2026-09-05T08:21:32Z</dcterms:created>
  <dcterms:modified xsi:type="dcterms:W3CDTF">2026-09-05T08:21:32Z</dcterms:modified>
</cp:coreProperties>
</file>